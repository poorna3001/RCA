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Insights\New Outputs\"/>
    </mc:Choice>
  </mc:AlternateContent>
  <xr:revisionPtr revIDLastSave="0" documentId="13_ncr:1_{015BC60F-18EA-4E9F-AC8A-B33864BE76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Sheet1!$A$1:$AE$1122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5" i="1"/>
  <c r="T4" i="1"/>
  <c r="T2" i="1"/>
  <c r="AB1099" i="1"/>
  <c r="AD1099" i="1" s="1"/>
  <c r="AE1099" i="1" s="1"/>
  <c r="AB1098" i="1"/>
  <c r="AD1098" i="1" s="1"/>
  <c r="AE1098" i="1" s="1"/>
  <c r="AB1097" i="1"/>
  <c r="AD1097" i="1" s="1"/>
  <c r="AE1097" i="1" s="1"/>
  <c r="AB1096" i="1"/>
  <c r="AD1096" i="1" s="1"/>
  <c r="AE1096" i="1" s="1"/>
  <c r="AB1095" i="1"/>
  <c r="AD1095" i="1" s="1"/>
  <c r="AE1095" i="1" s="1"/>
  <c r="AB1094" i="1"/>
  <c r="AD1094" i="1" s="1"/>
  <c r="AE1094" i="1" s="1"/>
  <c r="AB1093" i="1"/>
  <c r="AD1093" i="1" s="1"/>
  <c r="AE1093" i="1" s="1"/>
  <c r="AB1092" i="1"/>
  <c r="AD1092" i="1" s="1"/>
  <c r="AE1092" i="1" s="1"/>
  <c r="AB1091" i="1"/>
  <c r="AD1091" i="1" s="1"/>
  <c r="AE1091" i="1" s="1"/>
  <c r="AB1090" i="1"/>
  <c r="AD1090" i="1" s="1"/>
  <c r="AE1090" i="1" s="1"/>
  <c r="AB1089" i="1"/>
  <c r="AD1089" i="1" s="1"/>
  <c r="AE1089" i="1" s="1"/>
  <c r="AB1088" i="1"/>
  <c r="AD1088" i="1" s="1"/>
  <c r="AE1088" i="1" s="1"/>
  <c r="AB1087" i="1"/>
  <c r="AD1087" i="1" s="1"/>
  <c r="AE1087" i="1" s="1"/>
  <c r="AB1086" i="1"/>
  <c r="AB1085" i="1"/>
  <c r="AD1085" i="1" s="1"/>
  <c r="AE1085" i="1" s="1"/>
  <c r="AB1084" i="1"/>
  <c r="AD1084" i="1" s="1"/>
  <c r="AE1084" i="1" s="1"/>
  <c r="AB1083" i="1"/>
  <c r="AD1083" i="1" s="1"/>
  <c r="AE1083" i="1" s="1"/>
  <c r="AB1082" i="1"/>
  <c r="AD1082" i="1" s="1"/>
  <c r="AE1082" i="1" s="1"/>
  <c r="AB1081" i="1"/>
  <c r="AD1081" i="1" s="1"/>
  <c r="AE1081" i="1" s="1"/>
  <c r="AB1113" i="1"/>
  <c r="AD1113" i="1" s="1"/>
  <c r="AE1113" i="1" s="1"/>
  <c r="AB1056" i="1"/>
  <c r="AD1056" i="1" s="1"/>
  <c r="AE1056" i="1" s="1"/>
  <c r="AB1055" i="1"/>
  <c r="AD1055" i="1" s="1"/>
  <c r="AE1055" i="1" s="1"/>
  <c r="AB1054" i="1"/>
  <c r="AD1054" i="1" s="1"/>
  <c r="AE1054" i="1" s="1"/>
  <c r="AB1053" i="1"/>
  <c r="AD1053" i="1" s="1"/>
  <c r="AE1053" i="1" s="1"/>
  <c r="AB1052" i="1"/>
  <c r="AD1052" i="1" s="1"/>
  <c r="AE1052" i="1" s="1"/>
  <c r="AB1051" i="1"/>
  <c r="AD1051" i="1" s="1"/>
  <c r="AE1051" i="1" s="1"/>
  <c r="AB1050" i="1"/>
  <c r="AD1050" i="1" s="1"/>
  <c r="AE1050" i="1" s="1"/>
  <c r="AB1049" i="1"/>
  <c r="AD1049" i="1" s="1"/>
  <c r="AE1049" i="1" s="1"/>
  <c r="AB1048" i="1"/>
  <c r="AD1048" i="1" s="1"/>
  <c r="AE1048" i="1" s="1"/>
  <c r="AB1047" i="1"/>
  <c r="AD1047" i="1" s="1"/>
  <c r="AE1047" i="1" s="1"/>
  <c r="AB1046" i="1"/>
  <c r="AD1046" i="1" s="1"/>
  <c r="AE1046" i="1" s="1"/>
  <c r="AB1045" i="1"/>
  <c r="AD1045" i="1" s="1"/>
  <c r="AE1045" i="1" s="1"/>
  <c r="AB1044" i="1"/>
  <c r="AD1044" i="1" s="1"/>
  <c r="AE1044" i="1" s="1"/>
  <c r="AB1043" i="1"/>
  <c r="AD1043" i="1" s="1"/>
  <c r="AE1043" i="1" s="1"/>
  <c r="AB985" i="1"/>
  <c r="AD985" i="1" s="1"/>
  <c r="AE985" i="1" s="1"/>
  <c r="AB983" i="1"/>
  <c r="AD983" i="1" s="1"/>
  <c r="AE983" i="1" s="1"/>
  <c r="AB981" i="1"/>
  <c r="AD981" i="1" s="1"/>
  <c r="AE981" i="1" s="1"/>
  <c r="AB833" i="1"/>
  <c r="AD833" i="1" s="1"/>
  <c r="AE833" i="1" s="1"/>
  <c r="AB832" i="1"/>
  <c r="AD832" i="1" s="1"/>
  <c r="AE832" i="1" s="1"/>
  <c r="AB831" i="1"/>
  <c r="AD831" i="1" s="1"/>
  <c r="AE831" i="1" s="1"/>
  <c r="AB830" i="1"/>
  <c r="AD830" i="1" s="1"/>
  <c r="AE830" i="1" s="1"/>
  <c r="AB829" i="1"/>
  <c r="AD829" i="1" s="1"/>
  <c r="AE829" i="1" s="1"/>
  <c r="AB828" i="1"/>
  <c r="AD828" i="1" s="1"/>
  <c r="AE828" i="1" s="1"/>
  <c r="AB827" i="1"/>
  <c r="AD827" i="1" s="1"/>
  <c r="AE827" i="1" s="1"/>
  <c r="AB826" i="1"/>
  <c r="AD826" i="1" s="1"/>
  <c r="AE826" i="1" s="1"/>
  <c r="AB825" i="1"/>
  <c r="AD825" i="1" s="1"/>
  <c r="AE825" i="1" s="1"/>
  <c r="AB824" i="1"/>
  <c r="AD824" i="1" s="1"/>
  <c r="AE824" i="1" s="1"/>
  <c r="AB823" i="1"/>
  <c r="AD823" i="1" s="1"/>
  <c r="AE823" i="1" s="1"/>
  <c r="AB822" i="1"/>
  <c r="AD822" i="1" s="1"/>
  <c r="AE822" i="1" s="1"/>
  <c r="AB821" i="1"/>
  <c r="AD821" i="1" s="1"/>
  <c r="AE821" i="1" s="1"/>
  <c r="AB820" i="1"/>
  <c r="AD820" i="1" s="1"/>
  <c r="AE820" i="1" s="1"/>
  <c r="AB819" i="1"/>
  <c r="AD819" i="1" s="1"/>
  <c r="AE819" i="1" s="1"/>
  <c r="AB818" i="1"/>
  <c r="AD818" i="1" s="1"/>
  <c r="AE818" i="1" s="1"/>
  <c r="AB817" i="1"/>
  <c r="AD817" i="1" s="1"/>
  <c r="AE817" i="1" s="1"/>
  <c r="AB816" i="1"/>
  <c r="AD816" i="1" s="1"/>
  <c r="AE816" i="1" s="1"/>
  <c r="AB815" i="1"/>
  <c r="AD815" i="1" s="1"/>
  <c r="AE815" i="1" s="1"/>
  <c r="AB814" i="1"/>
  <c r="AD814" i="1" s="1"/>
  <c r="AE814" i="1" s="1"/>
  <c r="AB813" i="1"/>
  <c r="AD813" i="1" s="1"/>
  <c r="AE813" i="1" s="1"/>
  <c r="AB812" i="1"/>
  <c r="AD812" i="1" s="1"/>
  <c r="AE812" i="1" s="1"/>
  <c r="AB811" i="1"/>
  <c r="AD811" i="1" s="1"/>
  <c r="AE811" i="1" s="1"/>
  <c r="AB810" i="1"/>
  <c r="AD810" i="1" s="1"/>
  <c r="AE810" i="1" s="1"/>
  <c r="AB809" i="1"/>
  <c r="AD809" i="1" s="1"/>
  <c r="AE809" i="1" s="1"/>
  <c r="AB808" i="1"/>
  <c r="AD808" i="1" s="1"/>
  <c r="AE808" i="1" s="1"/>
  <c r="AB807" i="1"/>
  <c r="AD807" i="1" s="1"/>
  <c r="AE807" i="1" s="1"/>
  <c r="AB806" i="1"/>
  <c r="AD806" i="1" s="1"/>
  <c r="AE806" i="1" s="1"/>
  <c r="AB805" i="1"/>
  <c r="AD805" i="1" s="1"/>
  <c r="AE805" i="1" s="1"/>
  <c r="AB773" i="1"/>
  <c r="AD773" i="1" s="1"/>
  <c r="AE773" i="1" s="1"/>
  <c r="AB772" i="1"/>
  <c r="AD772" i="1" s="1"/>
  <c r="AE772" i="1" s="1"/>
  <c r="AB706" i="1"/>
  <c r="AD706" i="1" s="1"/>
  <c r="AE706" i="1" s="1"/>
  <c r="AB705" i="1"/>
  <c r="AD705" i="1" s="1"/>
  <c r="AE705" i="1" s="1"/>
  <c r="AB704" i="1"/>
  <c r="AD704" i="1" s="1"/>
  <c r="AE704" i="1" s="1"/>
  <c r="AB703" i="1"/>
  <c r="AD703" i="1" s="1"/>
  <c r="AE703" i="1" s="1"/>
  <c r="AB702" i="1"/>
  <c r="AD702" i="1" s="1"/>
  <c r="AE702" i="1" s="1"/>
  <c r="AB701" i="1"/>
  <c r="AD701" i="1" s="1"/>
  <c r="AE701" i="1" s="1"/>
  <c r="AB700" i="1"/>
  <c r="AD700" i="1" s="1"/>
  <c r="AE700" i="1" s="1"/>
  <c r="AB699" i="1"/>
  <c r="AD699" i="1" s="1"/>
  <c r="AE699" i="1" s="1"/>
  <c r="AB698" i="1"/>
  <c r="AD698" i="1" s="1"/>
  <c r="AE698" i="1" s="1"/>
  <c r="AB697" i="1"/>
  <c r="AD697" i="1" s="1"/>
  <c r="AE697" i="1" s="1"/>
  <c r="AB696" i="1"/>
  <c r="AD696" i="1" s="1"/>
  <c r="AE696" i="1" s="1"/>
  <c r="AB563" i="1"/>
  <c r="AD563" i="1" s="1"/>
  <c r="AE563" i="1" s="1"/>
  <c r="AB509" i="1"/>
  <c r="AD509" i="1" s="1"/>
  <c r="AE509" i="1" s="1"/>
  <c r="AB508" i="1"/>
  <c r="AD508" i="1" s="1"/>
  <c r="AE508" i="1" s="1"/>
  <c r="AB507" i="1"/>
  <c r="AD507" i="1" s="1"/>
  <c r="AE507" i="1" s="1"/>
  <c r="AB479" i="1"/>
  <c r="AD479" i="1" s="1"/>
  <c r="AE479" i="1" s="1"/>
  <c r="AB417" i="1"/>
  <c r="AD417" i="1" s="1"/>
  <c r="AE417" i="1" s="1"/>
  <c r="AB416" i="1"/>
  <c r="AD416" i="1" s="1"/>
  <c r="AE416" i="1" s="1"/>
  <c r="AB415" i="1"/>
  <c r="AD415" i="1" s="1"/>
  <c r="AE415" i="1" s="1"/>
  <c r="AB414" i="1"/>
  <c r="AD414" i="1" s="1"/>
  <c r="AE414" i="1" s="1"/>
  <c r="AB328" i="1"/>
  <c r="AD328" i="1" s="1"/>
  <c r="AE328" i="1" s="1"/>
  <c r="AB312" i="1"/>
  <c r="AD312" i="1" s="1"/>
  <c r="AE312" i="1" s="1"/>
  <c r="AB309" i="1"/>
  <c r="AD309" i="1" s="1"/>
  <c r="AE309" i="1" s="1"/>
  <c r="AB306" i="1"/>
  <c r="AD306" i="1" s="1"/>
  <c r="AE306" i="1" s="1"/>
  <c r="AB299" i="1"/>
  <c r="AD299" i="1" s="1"/>
  <c r="AE299" i="1" s="1"/>
  <c r="AB288" i="1"/>
  <c r="AD288" i="1" s="1"/>
  <c r="AE288" i="1" s="1"/>
  <c r="AB285" i="1"/>
  <c r="AD285" i="1" s="1"/>
  <c r="AE285" i="1" s="1"/>
  <c r="AB280" i="1"/>
  <c r="AD280" i="1" s="1"/>
  <c r="AE280" i="1" s="1"/>
  <c r="AB273" i="1"/>
  <c r="AD273" i="1" s="1"/>
  <c r="AE273" i="1" s="1"/>
  <c r="AB264" i="1"/>
  <c r="AD264" i="1" s="1"/>
  <c r="AE264" i="1" s="1"/>
  <c r="AB257" i="1"/>
  <c r="AD257" i="1" s="1"/>
  <c r="AE257" i="1" s="1"/>
  <c r="AB254" i="1"/>
  <c r="AD254" i="1" s="1"/>
  <c r="AE254" i="1" s="1"/>
  <c r="AB243" i="1"/>
  <c r="AD243" i="1" s="1"/>
  <c r="AE243" i="1" s="1"/>
  <c r="AB236" i="1"/>
  <c r="AD236" i="1" s="1"/>
  <c r="AE236" i="1" s="1"/>
  <c r="AB233" i="1"/>
  <c r="AD233" i="1" s="1"/>
  <c r="AE233" i="1" s="1"/>
  <c r="AB230" i="1"/>
  <c r="AD230" i="1" s="1"/>
  <c r="AE230" i="1" s="1"/>
  <c r="AB227" i="1"/>
  <c r="AD227" i="1" s="1"/>
  <c r="AE227" i="1" s="1"/>
  <c r="AB224" i="1"/>
  <c r="AD224" i="1" s="1"/>
  <c r="AE224" i="1" s="1"/>
  <c r="AB221" i="1"/>
  <c r="AD221" i="1" s="1"/>
  <c r="AE221" i="1" s="1"/>
  <c r="AB212" i="1"/>
  <c r="AD212" i="1" s="1"/>
  <c r="AE212" i="1" s="1"/>
  <c r="AB203" i="1"/>
  <c r="AD203" i="1" s="1"/>
  <c r="AE203" i="1" s="1"/>
  <c r="AB200" i="1"/>
  <c r="AD200" i="1" s="1"/>
  <c r="AE200" i="1" s="1"/>
  <c r="AB195" i="1"/>
  <c r="AD195" i="1" s="1"/>
  <c r="AE195" i="1" s="1"/>
  <c r="AB190" i="1"/>
  <c r="AD190" i="1" s="1"/>
  <c r="AE190" i="1" s="1"/>
  <c r="AB183" i="1"/>
  <c r="AD183" i="1" s="1"/>
  <c r="AE183" i="1" s="1"/>
  <c r="AB176" i="1"/>
  <c r="AD176" i="1" s="1"/>
  <c r="AE176" i="1" s="1"/>
  <c r="AB169" i="1"/>
  <c r="AD169" i="1" s="1"/>
  <c r="AE169" i="1" s="1"/>
  <c r="AB162" i="1"/>
  <c r="AD162" i="1" s="1"/>
  <c r="AE162" i="1" s="1"/>
  <c r="AB159" i="1"/>
  <c r="AD159" i="1" s="1"/>
  <c r="AE159" i="1" s="1"/>
  <c r="AB156" i="1"/>
  <c r="AD156" i="1" s="1"/>
  <c r="AE156" i="1" s="1"/>
  <c r="AB151" i="1"/>
  <c r="AD151" i="1" s="1"/>
  <c r="AE151" i="1" s="1"/>
  <c r="AB148" i="1"/>
  <c r="AD148" i="1" s="1"/>
  <c r="AE148" i="1" s="1"/>
  <c r="AB143" i="1"/>
  <c r="AD143" i="1" s="1"/>
  <c r="AE143" i="1" s="1"/>
  <c r="AB140" i="1"/>
  <c r="AD140" i="1" s="1"/>
  <c r="AE140" i="1" s="1"/>
  <c r="AB129" i="1"/>
  <c r="AD129" i="1" s="1"/>
  <c r="AE129" i="1" s="1"/>
  <c r="AB126" i="1"/>
  <c r="AD126" i="1" s="1"/>
  <c r="AE126" i="1" s="1"/>
  <c r="AB113" i="1"/>
  <c r="AD113" i="1" s="1"/>
  <c r="AE113" i="1" s="1"/>
  <c r="AB110" i="1"/>
  <c r="AD110" i="1" s="1"/>
  <c r="AE110" i="1" s="1"/>
  <c r="AB107" i="1"/>
  <c r="AD107" i="1" s="1"/>
  <c r="AE107" i="1" s="1"/>
  <c r="AB104" i="1"/>
  <c r="AD104" i="1" s="1"/>
  <c r="AE104" i="1" s="1"/>
  <c r="AB97" i="1"/>
  <c r="AD97" i="1" s="1"/>
  <c r="AE97" i="1" s="1"/>
  <c r="AB94" i="1"/>
  <c r="AD94" i="1" s="1"/>
  <c r="AE94" i="1" s="1"/>
  <c r="AB89" i="1"/>
  <c r="AD89" i="1" s="1"/>
  <c r="AE89" i="1" s="1"/>
  <c r="AB84" i="1"/>
  <c r="AD84" i="1" s="1"/>
  <c r="AE84" i="1" s="1"/>
  <c r="AB81" i="1"/>
  <c r="AD81" i="1" s="1"/>
  <c r="AE81" i="1" s="1"/>
  <c r="AB78" i="1"/>
  <c r="AD78" i="1" s="1"/>
  <c r="AE78" i="1" s="1"/>
  <c r="AB73" i="1"/>
  <c r="AD73" i="1" s="1"/>
  <c r="AE73" i="1" s="1"/>
  <c r="AB70" i="1"/>
  <c r="AD70" i="1" s="1"/>
  <c r="AE70" i="1" s="1"/>
  <c r="AB63" i="1"/>
  <c r="AD63" i="1" s="1"/>
  <c r="AE63" i="1" s="1"/>
  <c r="AB58" i="1"/>
  <c r="AD58" i="1" s="1"/>
  <c r="AE58" i="1" s="1"/>
  <c r="AB53" i="1"/>
  <c r="AD53" i="1" s="1"/>
  <c r="AE53" i="1" s="1"/>
  <c r="AB50" i="1"/>
  <c r="AD50" i="1" s="1"/>
  <c r="AE50" i="1" s="1"/>
  <c r="AB35" i="1"/>
  <c r="AD35" i="1" s="1"/>
  <c r="AE35" i="1" s="1"/>
  <c r="AB32" i="1"/>
  <c r="AD32" i="1" s="1"/>
  <c r="AE32" i="1" s="1"/>
  <c r="AB27" i="1"/>
  <c r="AD27" i="1" s="1"/>
  <c r="AE27" i="1" s="1"/>
  <c r="AB18" i="1"/>
  <c r="AD18" i="1" s="1"/>
  <c r="AE18" i="1" s="1"/>
  <c r="AB15" i="1"/>
  <c r="AD15" i="1" s="1"/>
  <c r="AE15" i="1" s="1"/>
  <c r="AB11" i="1"/>
  <c r="AD11" i="1" s="1"/>
  <c r="AE11" i="1" s="1"/>
  <c r="AB10" i="1"/>
  <c r="AD10" i="1" s="1"/>
  <c r="AE10" i="1" s="1"/>
  <c r="AB1119" i="1"/>
  <c r="AD1119" i="1" s="1"/>
  <c r="AE1119" i="1" s="1"/>
  <c r="AB1118" i="1"/>
  <c r="AD1118" i="1" s="1"/>
  <c r="AE1118" i="1" s="1"/>
  <c r="AB1117" i="1"/>
  <c r="AD1117" i="1" s="1"/>
  <c r="AE1117" i="1" s="1"/>
  <c r="AB1112" i="1"/>
  <c r="AD1112" i="1" s="1"/>
  <c r="AE1112" i="1" s="1"/>
  <c r="AB1111" i="1"/>
  <c r="AD1111" i="1" s="1"/>
  <c r="AE1111" i="1" s="1"/>
  <c r="AB1110" i="1"/>
  <c r="AD1110" i="1" s="1"/>
  <c r="AE1110" i="1" s="1"/>
  <c r="AB1106" i="1"/>
  <c r="AD1106" i="1" s="1"/>
  <c r="AE1106" i="1" s="1"/>
  <c r="AB1105" i="1"/>
  <c r="AD1105" i="1" s="1"/>
  <c r="AE1105" i="1" s="1"/>
  <c r="AB1104" i="1"/>
  <c r="AD1104" i="1" s="1"/>
  <c r="AE1104" i="1" s="1"/>
  <c r="AB1042" i="1"/>
  <c r="AD1042" i="1" s="1"/>
  <c r="AE1042" i="1" s="1"/>
  <c r="AB1041" i="1"/>
  <c r="AD1041" i="1" s="1"/>
  <c r="AE1041" i="1" s="1"/>
  <c r="AB1040" i="1"/>
  <c r="AD1040" i="1" s="1"/>
  <c r="AE1040" i="1" s="1"/>
  <c r="AB1039" i="1"/>
  <c r="AD1039" i="1" s="1"/>
  <c r="AE1039" i="1" s="1"/>
  <c r="AB1038" i="1"/>
  <c r="AD1038" i="1" s="1"/>
  <c r="AE1038" i="1" s="1"/>
  <c r="AB1037" i="1"/>
  <c r="AD1037" i="1" s="1"/>
  <c r="AE1037" i="1" s="1"/>
  <c r="AB1036" i="1"/>
  <c r="AD1036" i="1" s="1"/>
  <c r="AE1036" i="1" s="1"/>
  <c r="AB1035" i="1"/>
  <c r="AD1035" i="1" s="1"/>
  <c r="AE1035" i="1" s="1"/>
  <c r="AB1034" i="1"/>
  <c r="AD1034" i="1" s="1"/>
  <c r="AE1034" i="1" s="1"/>
  <c r="AB1033" i="1"/>
  <c r="AD1033" i="1" s="1"/>
  <c r="AE1033" i="1" s="1"/>
  <c r="AB1032" i="1"/>
  <c r="AD1032" i="1" s="1"/>
  <c r="AE1032" i="1" s="1"/>
  <c r="AB1031" i="1"/>
  <c r="AD1031" i="1" s="1"/>
  <c r="AE1031" i="1" s="1"/>
  <c r="AB1030" i="1"/>
  <c r="AD1030" i="1" s="1"/>
  <c r="AE1030" i="1" s="1"/>
  <c r="AB1029" i="1"/>
  <c r="AD1029" i="1" s="1"/>
  <c r="AE1029" i="1" s="1"/>
  <c r="AB1028" i="1"/>
  <c r="AD1028" i="1" s="1"/>
  <c r="AE1028" i="1" s="1"/>
  <c r="AB1027" i="1"/>
  <c r="AD1027" i="1" s="1"/>
  <c r="AE1027" i="1" s="1"/>
  <c r="AB1026" i="1"/>
  <c r="AD1026" i="1" s="1"/>
  <c r="AE1026" i="1" s="1"/>
  <c r="AB1025" i="1"/>
  <c r="AD1025" i="1" s="1"/>
  <c r="AE1025" i="1" s="1"/>
  <c r="AB1024" i="1"/>
  <c r="AD1024" i="1" s="1"/>
  <c r="AE1024" i="1" s="1"/>
  <c r="AB1023" i="1"/>
  <c r="AD1023" i="1" s="1"/>
  <c r="AE1023" i="1" s="1"/>
  <c r="AB1022" i="1"/>
  <c r="AD1022" i="1" s="1"/>
  <c r="AE1022" i="1" s="1"/>
  <c r="AB1021" i="1"/>
  <c r="AD1021" i="1" s="1"/>
  <c r="AE1021" i="1" s="1"/>
  <c r="AB1020" i="1"/>
  <c r="AD1020" i="1" s="1"/>
  <c r="AE1020" i="1" s="1"/>
  <c r="AB1019" i="1"/>
  <c r="AD1019" i="1" s="1"/>
  <c r="AE1019" i="1" s="1"/>
  <c r="AB1018" i="1"/>
  <c r="AD1018" i="1" s="1"/>
  <c r="AE1018" i="1" s="1"/>
  <c r="AB1017" i="1"/>
  <c r="AD1017" i="1" s="1"/>
  <c r="AE1017" i="1" s="1"/>
  <c r="AB1016" i="1"/>
  <c r="AD1016" i="1" s="1"/>
  <c r="AE1016" i="1" s="1"/>
  <c r="AB1015" i="1"/>
  <c r="AD1015" i="1" s="1"/>
  <c r="AE1015" i="1" s="1"/>
  <c r="AB1014" i="1"/>
  <c r="AD1014" i="1" s="1"/>
  <c r="AE1014" i="1" s="1"/>
  <c r="AB1013" i="1"/>
  <c r="AD1013" i="1" s="1"/>
  <c r="AE1013" i="1" s="1"/>
  <c r="AB1012" i="1"/>
  <c r="AD1012" i="1" s="1"/>
  <c r="AE1012" i="1" s="1"/>
  <c r="AB1011" i="1"/>
  <c r="AD1011" i="1" s="1"/>
  <c r="AE1011" i="1" s="1"/>
  <c r="AB1010" i="1"/>
  <c r="AD1010" i="1" s="1"/>
  <c r="AE1010" i="1" s="1"/>
  <c r="AB1009" i="1"/>
  <c r="AD1009" i="1" s="1"/>
  <c r="AE1009" i="1" s="1"/>
  <c r="AB1008" i="1"/>
  <c r="AD1008" i="1" s="1"/>
  <c r="AE1008" i="1" s="1"/>
  <c r="AB1007" i="1"/>
  <c r="AD1007" i="1" s="1"/>
  <c r="AE1007" i="1" s="1"/>
  <c r="AB1006" i="1"/>
  <c r="AD1006" i="1" s="1"/>
  <c r="AE1006" i="1" s="1"/>
  <c r="AB1005" i="1"/>
  <c r="AD1005" i="1" s="1"/>
  <c r="AE1005" i="1" s="1"/>
  <c r="AB1004" i="1"/>
  <c r="AD1004" i="1" s="1"/>
  <c r="AE1004" i="1" s="1"/>
  <c r="AB1003" i="1"/>
  <c r="AD1003" i="1" s="1"/>
  <c r="AE1003" i="1" s="1"/>
  <c r="AB1002" i="1"/>
  <c r="AD1002" i="1" s="1"/>
  <c r="AE1002" i="1" s="1"/>
  <c r="AB1001" i="1"/>
  <c r="AD1001" i="1" s="1"/>
  <c r="AE1001" i="1" s="1"/>
  <c r="AB1000" i="1"/>
  <c r="AD1000" i="1" s="1"/>
  <c r="AE1000" i="1" s="1"/>
  <c r="AB999" i="1"/>
  <c r="AD999" i="1" s="1"/>
  <c r="AE999" i="1" s="1"/>
  <c r="AB998" i="1"/>
  <c r="AD998" i="1" s="1"/>
  <c r="AE998" i="1" s="1"/>
  <c r="AB997" i="1"/>
  <c r="AD997" i="1" s="1"/>
  <c r="AE997" i="1" s="1"/>
  <c r="AB996" i="1"/>
  <c r="AD996" i="1" s="1"/>
  <c r="AE996" i="1" s="1"/>
  <c r="AB995" i="1"/>
  <c r="AD995" i="1" s="1"/>
  <c r="AE995" i="1" s="1"/>
  <c r="AB994" i="1"/>
  <c r="AD994" i="1" s="1"/>
  <c r="AE994" i="1" s="1"/>
  <c r="AB993" i="1"/>
  <c r="AD993" i="1" s="1"/>
  <c r="AE993" i="1" s="1"/>
  <c r="AB992" i="1"/>
  <c r="AD992" i="1" s="1"/>
  <c r="AE992" i="1" s="1"/>
  <c r="AB991" i="1"/>
  <c r="AD991" i="1" s="1"/>
  <c r="AE991" i="1" s="1"/>
  <c r="AB990" i="1"/>
  <c r="AD990" i="1" s="1"/>
  <c r="AE990" i="1" s="1"/>
  <c r="AB989" i="1"/>
  <c r="AD989" i="1" s="1"/>
  <c r="AE989" i="1" s="1"/>
  <c r="AB988" i="1"/>
  <c r="AD988" i="1" s="1"/>
  <c r="AE988" i="1" s="1"/>
  <c r="AB987" i="1"/>
  <c r="AD987" i="1" s="1"/>
  <c r="AE987" i="1" s="1"/>
  <c r="AB984" i="1"/>
  <c r="AD984" i="1" s="1"/>
  <c r="AE984" i="1" s="1"/>
  <c r="AB982" i="1"/>
  <c r="AD982" i="1" s="1"/>
  <c r="AE982" i="1" s="1"/>
  <c r="AB980" i="1"/>
  <c r="AD980" i="1" s="1"/>
  <c r="AE980" i="1" s="1"/>
  <c r="AB979" i="1"/>
  <c r="AD979" i="1" s="1"/>
  <c r="AE979" i="1" s="1"/>
  <c r="AB978" i="1"/>
  <c r="AD978" i="1" s="1"/>
  <c r="AE978" i="1" s="1"/>
  <c r="AB977" i="1"/>
  <c r="AD977" i="1" s="1"/>
  <c r="AE977" i="1" s="1"/>
  <c r="AB976" i="1"/>
  <c r="AD976" i="1" s="1"/>
  <c r="AE976" i="1" s="1"/>
  <c r="AB975" i="1"/>
  <c r="AD975" i="1" s="1"/>
  <c r="AE975" i="1" s="1"/>
  <c r="AB974" i="1"/>
  <c r="AD974" i="1" s="1"/>
  <c r="AE974" i="1" s="1"/>
  <c r="AB973" i="1"/>
  <c r="AD973" i="1" s="1"/>
  <c r="AE973" i="1" s="1"/>
  <c r="AB972" i="1"/>
  <c r="AD972" i="1" s="1"/>
  <c r="AE972" i="1" s="1"/>
  <c r="AB971" i="1"/>
  <c r="AD971" i="1" s="1"/>
  <c r="AE971" i="1" s="1"/>
  <c r="AB970" i="1"/>
  <c r="AD970" i="1" s="1"/>
  <c r="AE970" i="1" s="1"/>
  <c r="AB969" i="1"/>
  <c r="AD969" i="1" s="1"/>
  <c r="AE969" i="1" s="1"/>
  <c r="AB968" i="1"/>
  <c r="AD968" i="1" s="1"/>
  <c r="AE968" i="1" s="1"/>
  <c r="AB967" i="1"/>
  <c r="AD967" i="1" s="1"/>
  <c r="AE967" i="1" s="1"/>
  <c r="AB966" i="1"/>
  <c r="AD966" i="1" s="1"/>
  <c r="AE966" i="1" s="1"/>
  <c r="AB965" i="1"/>
  <c r="AD965" i="1" s="1"/>
  <c r="AE965" i="1" s="1"/>
  <c r="AB964" i="1"/>
  <c r="AD964" i="1" s="1"/>
  <c r="AE964" i="1" s="1"/>
  <c r="AB963" i="1"/>
  <c r="AD963" i="1" s="1"/>
  <c r="AE963" i="1" s="1"/>
  <c r="AB962" i="1"/>
  <c r="AD962" i="1" s="1"/>
  <c r="AE962" i="1" s="1"/>
  <c r="AB961" i="1"/>
  <c r="AD961" i="1" s="1"/>
  <c r="AE961" i="1" s="1"/>
  <c r="AB960" i="1"/>
  <c r="AD960" i="1" s="1"/>
  <c r="AE960" i="1" s="1"/>
  <c r="AB959" i="1"/>
  <c r="AD959" i="1" s="1"/>
  <c r="AE959" i="1" s="1"/>
  <c r="AB958" i="1"/>
  <c r="AD958" i="1" s="1"/>
  <c r="AE958" i="1" s="1"/>
  <c r="AB957" i="1"/>
  <c r="AD957" i="1" s="1"/>
  <c r="AE957" i="1" s="1"/>
  <c r="AB956" i="1"/>
  <c r="AD956" i="1" s="1"/>
  <c r="AE956" i="1" s="1"/>
  <c r="AB955" i="1"/>
  <c r="AD955" i="1" s="1"/>
  <c r="AE955" i="1" s="1"/>
  <c r="AB954" i="1"/>
  <c r="AD954" i="1" s="1"/>
  <c r="AE954" i="1" s="1"/>
  <c r="AB953" i="1"/>
  <c r="AD953" i="1" s="1"/>
  <c r="AE953" i="1" s="1"/>
  <c r="AB952" i="1"/>
  <c r="AD952" i="1" s="1"/>
  <c r="AE952" i="1" s="1"/>
  <c r="AB951" i="1"/>
  <c r="AD951" i="1" s="1"/>
  <c r="AE951" i="1" s="1"/>
  <c r="AB950" i="1"/>
  <c r="AD950" i="1" s="1"/>
  <c r="AE950" i="1" s="1"/>
  <c r="AB949" i="1"/>
  <c r="AD949" i="1" s="1"/>
  <c r="AE949" i="1" s="1"/>
  <c r="AB948" i="1"/>
  <c r="AD948" i="1" s="1"/>
  <c r="AE948" i="1" s="1"/>
  <c r="AB947" i="1"/>
  <c r="AD947" i="1" s="1"/>
  <c r="AE947" i="1" s="1"/>
  <c r="AB946" i="1"/>
  <c r="AD946" i="1" s="1"/>
  <c r="AE946" i="1" s="1"/>
  <c r="AB945" i="1"/>
  <c r="AD945" i="1" s="1"/>
  <c r="AE945" i="1" s="1"/>
  <c r="AB944" i="1"/>
  <c r="AD944" i="1" s="1"/>
  <c r="AE944" i="1" s="1"/>
  <c r="AB943" i="1"/>
  <c r="AD943" i="1" s="1"/>
  <c r="AE943" i="1" s="1"/>
  <c r="AB942" i="1"/>
  <c r="AD942" i="1" s="1"/>
  <c r="AE942" i="1" s="1"/>
  <c r="AB941" i="1"/>
  <c r="AD941" i="1" s="1"/>
  <c r="AE941" i="1" s="1"/>
  <c r="AB940" i="1"/>
  <c r="AD940" i="1" s="1"/>
  <c r="AE940" i="1" s="1"/>
  <c r="AB939" i="1"/>
  <c r="AD939" i="1" s="1"/>
  <c r="AE939" i="1" s="1"/>
  <c r="AB938" i="1"/>
  <c r="AD938" i="1" s="1"/>
  <c r="AE938" i="1" s="1"/>
  <c r="AB937" i="1"/>
  <c r="AD937" i="1" s="1"/>
  <c r="AE937" i="1" s="1"/>
  <c r="AB936" i="1"/>
  <c r="AD936" i="1" s="1"/>
  <c r="AE936" i="1" s="1"/>
  <c r="AB935" i="1"/>
  <c r="AD935" i="1" s="1"/>
  <c r="AE935" i="1" s="1"/>
  <c r="AB934" i="1"/>
  <c r="AD934" i="1" s="1"/>
  <c r="AE934" i="1" s="1"/>
  <c r="AB933" i="1"/>
  <c r="AD933" i="1" s="1"/>
  <c r="AE933" i="1" s="1"/>
  <c r="AB932" i="1"/>
  <c r="AD932" i="1" s="1"/>
  <c r="AE932" i="1" s="1"/>
  <c r="AB931" i="1"/>
  <c r="AD931" i="1" s="1"/>
  <c r="AE931" i="1" s="1"/>
  <c r="AB930" i="1"/>
  <c r="AD930" i="1" s="1"/>
  <c r="AE930" i="1" s="1"/>
  <c r="AB929" i="1"/>
  <c r="AD929" i="1" s="1"/>
  <c r="AE929" i="1" s="1"/>
  <c r="AB928" i="1"/>
  <c r="AD928" i="1" s="1"/>
  <c r="AE928" i="1" s="1"/>
  <c r="AB927" i="1"/>
  <c r="AD927" i="1" s="1"/>
  <c r="AE927" i="1" s="1"/>
  <c r="AB926" i="1"/>
  <c r="AD926" i="1" s="1"/>
  <c r="AE926" i="1" s="1"/>
  <c r="AB925" i="1"/>
  <c r="AD925" i="1" s="1"/>
  <c r="AE925" i="1" s="1"/>
  <c r="AB924" i="1"/>
  <c r="AD924" i="1" s="1"/>
  <c r="AE924" i="1" s="1"/>
  <c r="AB923" i="1"/>
  <c r="AD923" i="1" s="1"/>
  <c r="AE923" i="1" s="1"/>
  <c r="AB922" i="1"/>
  <c r="AD922" i="1" s="1"/>
  <c r="AE922" i="1" s="1"/>
  <c r="AB921" i="1"/>
  <c r="AD921" i="1" s="1"/>
  <c r="AE921" i="1" s="1"/>
  <c r="AB920" i="1"/>
  <c r="AD920" i="1" s="1"/>
  <c r="AE920" i="1" s="1"/>
  <c r="AB919" i="1"/>
  <c r="AD919" i="1" s="1"/>
  <c r="AE919" i="1" s="1"/>
  <c r="AB918" i="1"/>
  <c r="AD918" i="1" s="1"/>
  <c r="AE918" i="1" s="1"/>
  <c r="AB917" i="1"/>
  <c r="AD917" i="1" s="1"/>
  <c r="AE917" i="1" s="1"/>
  <c r="AB916" i="1"/>
  <c r="AD916" i="1" s="1"/>
  <c r="AE916" i="1" s="1"/>
  <c r="AB915" i="1"/>
  <c r="AD915" i="1" s="1"/>
  <c r="AE915" i="1" s="1"/>
  <c r="AB914" i="1"/>
  <c r="AD914" i="1" s="1"/>
  <c r="AE914" i="1" s="1"/>
  <c r="AB804" i="1"/>
  <c r="AD804" i="1" s="1"/>
  <c r="AE804" i="1" s="1"/>
  <c r="AB803" i="1"/>
  <c r="AD803" i="1" s="1"/>
  <c r="AE803" i="1" s="1"/>
  <c r="AB771" i="1"/>
  <c r="AD771" i="1" s="1"/>
  <c r="AE771" i="1" s="1"/>
  <c r="AB770" i="1"/>
  <c r="AD770" i="1" s="1"/>
  <c r="AE770" i="1" s="1"/>
  <c r="AB769" i="1"/>
  <c r="AD769" i="1" s="1"/>
  <c r="AE769" i="1" s="1"/>
  <c r="AB768" i="1"/>
  <c r="AD768" i="1" s="1"/>
  <c r="AE768" i="1" s="1"/>
  <c r="AB767" i="1"/>
  <c r="AD767" i="1" s="1"/>
  <c r="AE767" i="1" s="1"/>
  <c r="AB766" i="1"/>
  <c r="AD766" i="1" s="1"/>
  <c r="AE766" i="1" s="1"/>
  <c r="AB765" i="1"/>
  <c r="AD765" i="1" s="1"/>
  <c r="AE765" i="1" s="1"/>
  <c r="AB764" i="1"/>
  <c r="AD764" i="1" s="1"/>
  <c r="AE764" i="1" s="1"/>
  <c r="AB763" i="1"/>
  <c r="AD763" i="1" s="1"/>
  <c r="AE763" i="1" s="1"/>
  <c r="AB762" i="1"/>
  <c r="AD762" i="1" s="1"/>
  <c r="AE762" i="1" s="1"/>
  <c r="AB761" i="1"/>
  <c r="AD761" i="1" s="1"/>
  <c r="AE761" i="1" s="1"/>
  <c r="AB760" i="1"/>
  <c r="AD760" i="1" s="1"/>
  <c r="AE760" i="1" s="1"/>
  <c r="AB759" i="1"/>
  <c r="AD759" i="1" s="1"/>
  <c r="AE759" i="1" s="1"/>
  <c r="AB758" i="1"/>
  <c r="AD758" i="1" s="1"/>
  <c r="AE758" i="1" s="1"/>
  <c r="AB757" i="1"/>
  <c r="AD757" i="1" s="1"/>
  <c r="AE757" i="1" s="1"/>
  <c r="AB756" i="1"/>
  <c r="AD756" i="1" s="1"/>
  <c r="AE756" i="1" s="1"/>
  <c r="AB755" i="1"/>
  <c r="AD755" i="1" s="1"/>
  <c r="AE755" i="1" s="1"/>
  <c r="AB754" i="1"/>
  <c r="AD754" i="1" s="1"/>
  <c r="AE754" i="1" s="1"/>
  <c r="AB753" i="1"/>
  <c r="AD753" i="1" s="1"/>
  <c r="AE753" i="1" s="1"/>
  <c r="AB752" i="1"/>
  <c r="AD752" i="1" s="1"/>
  <c r="AE752" i="1" s="1"/>
  <c r="AB751" i="1"/>
  <c r="AD751" i="1" s="1"/>
  <c r="AE751" i="1" s="1"/>
  <c r="AB750" i="1"/>
  <c r="AD750" i="1" s="1"/>
  <c r="AE750" i="1" s="1"/>
  <c r="AB749" i="1"/>
  <c r="AD749" i="1" s="1"/>
  <c r="AE749" i="1" s="1"/>
  <c r="AB748" i="1"/>
  <c r="AD748" i="1" s="1"/>
  <c r="AE748" i="1" s="1"/>
  <c r="AB747" i="1"/>
  <c r="AD747" i="1" s="1"/>
  <c r="AE747" i="1" s="1"/>
  <c r="AB746" i="1"/>
  <c r="AD746" i="1" s="1"/>
  <c r="AE746" i="1" s="1"/>
  <c r="AB745" i="1"/>
  <c r="AD745" i="1" s="1"/>
  <c r="AE745" i="1" s="1"/>
  <c r="AB744" i="1"/>
  <c r="AD744" i="1" s="1"/>
  <c r="AE744" i="1" s="1"/>
  <c r="AB743" i="1"/>
  <c r="AD743" i="1" s="1"/>
  <c r="AE743" i="1" s="1"/>
  <c r="AB695" i="1"/>
  <c r="AD695" i="1" s="1"/>
  <c r="AE695" i="1" s="1"/>
  <c r="AB694" i="1"/>
  <c r="AD694" i="1" s="1"/>
  <c r="AE694" i="1" s="1"/>
  <c r="AB693" i="1"/>
  <c r="AD693" i="1" s="1"/>
  <c r="AE693" i="1" s="1"/>
  <c r="AB692" i="1"/>
  <c r="AD692" i="1" s="1"/>
  <c r="AE692" i="1" s="1"/>
  <c r="AB691" i="1"/>
  <c r="AD691" i="1" s="1"/>
  <c r="AE691" i="1" s="1"/>
  <c r="AB690" i="1"/>
  <c r="AD690" i="1" s="1"/>
  <c r="AE690" i="1" s="1"/>
  <c r="AB689" i="1"/>
  <c r="AD689" i="1" s="1"/>
  <c r="AE689" i="1" s="1"/>
  <c r="AB688" i="1"/>
  <c r="AD688" i="1" s="1"/>
  <c r="AE688" i="1" s="1"/>
  <c r="AB687" i="1"/>
  <c r="AD687" i="1" s="1"/>
  <c r="AE687" i="1" s="1"/>
  <c r="AB686" i="1"/>
  <c r="AD686" i="1" s="1"/>
  <c r="AE686" i="1" s="1"/>
  <c r="AB685" i="1"/>
  <c r="AD685" i="1" s="1"/>
  <c r="AE685" i="1" s="1"/>
  <c r="AB684" i="1"/>
  <c r="AD684" i="1" s="1"/>
  <c r="AE684" i="1" s="1"/>
  <c r="AB683" i="1"/>
  <c r="AD683" i="1" s="1"/>
  <c r="AE683" i="1" s="1"/>
  <c r="AB682" i="1"/>
  <c r="AD682" i="1" s="1"/>
  <c r="AE682" i="1" s="1"/>
  <c r="AB681" i="1"/>
  <c r="AD681" i="1" s="1"/>
  <c r="AE681" i="1" s="1"/>
  <c r="AB680" i="1"/>
  <c r="AD680" i="1" s="1"/>
  <c r="AE680" i="1" s="1"/>
  <c r="AB679" i="1"/>
  <c r="AD679" i="1" s="1"/>
  <c r="AE679" i="1" s="1"/>
  <c r="AB678" i="1"/>
  <c r="AD678" i="1" s="1"/>
  <c r="AE678" i="1" s="1"/>
  <c r="AB677" i="1"/>
  <c r="AD677" i="1" s="1"/>
  <c r="AE677" i="1" s="1"/>
  <c r="AB676" i="1"/>
  <c r="AD676" i="1" s="1"/>
  <c r="AE676" i="1" s="1"/>
  <c r="AB675" i="1"/>
  <c r="AD675" i="1" s="1"/>
  <c r="AE675" i="1" s="1"/>
  <c r="AB674" i="1"/>
  <c r="AD674" i="1" s="1"/>
  <c r="AE674" i="1" s="1"/>
  <c r="AB673" i="1"/>
  <c r="AD673" i="1" s="1"/>
  <c r="AE673" i="1" s="1"/>
  <c r="AB672" i="1"/>
  <c r="AD672" i="1" s="1"/>
  <c r="AE672" i="1" s="1"/>
  <c r="AB671" i="1"/>
  <c r="AD671" i="1" s="1"/>
  <c r="AE671" i="1" s="1"/>
  <c r="AB670" i="1"/>
  <c r="AD670" i="1" s="1"/>
  <c r="AE670" i="1" s="1"/>
  <c r="AB669" i="1"/>
  <c r="AD669" i="1" s="1"/>
  <c r="AE669" i="1" s="1"/>
  <c r="AB668" i="1"/>
  <c r="AD668" i="1" s="1"/>
  <c r="AE668" i="1" s="1"/>
  <c r="AB667" i="1"/>
  <c r="AD667" i="1" s="1"/>
  <c r="AE667" i="1" s="1"/>
  <c r="AB666" i="1"/>
  <c r="AD666" i="1" s="1"/>
  <c r="AE666" i="1" s="1"/>
  <c r="AB665" i="1"/>
  <c r="AD665" i="1" s="1"/>
  <c r="AE665" i="1" s="1"/>
  <c r="AB664" i="1"/>
  <c r="AD664" i="1" s="1"/>
  <c r="AE664" i="1" s="1"/>
  <c r="AB663" i="1"/>
  <c r="AD663" i="1" s="1"/>
  <c r="AE663" i="1" s="1"/>
  <c r="AB662" i="1"/>
  <c r="AD662" i="1" s="1"/>
  <c r="AE662" i="1" s="1"/>
  <c r="AB661" i="1"/>
  <c r="AD661" i="1" s="1"/>
  <c r="AE661" i="1" s="1"/>
  <c r="AB660" i="1"/>
  <c r="AD660" i="1" s="1"/>
  <c r="AE660" i="1" s="1"/>
  <c r="AB659" i="1"/>
  <c r="AD659" i="1" s="1"/>
  <c r="AE659" i="1" s="1"/>
  <c r="AB658" i="1"/>
  <c r="AD658" i="1" s="1"/>
  <c r="AE658" i="1" s="1"/>
  <c r="AB657" i="1"/>
  <c r="AD657" i="1" s="1"/>
  <c r="AE657" i="1" s="1"/>
  <c r="AB656" i="1"/>
  <c r="AD656" i="1" s="1"/>
  <c r="AE656" i="1" s="1"/>
  <c r="AB655" i="1"/>
  <c r="AD655" i="1" s="1"/>
  <c r="AE655" i="1" s="1"/>
  <c r="AB654" i="1"/>
  <c r="AD654" i="1" s="1"/>
  <c r="AE654" i="1" s="1"/>
  <c r="AB653" i="1"/>
  <c r="AD653" i="1" s="1"/>
  <c r="AE653" i="1" s="1"/>
  <c r="AB652" i="1"/>
  <c r="AD652" i="1" s="1"/>
  <c r="AE652" i="1" s="1"/>
  <c r="AB651" i="1"/>
  <c r="AD651" i="1" s="1"/>
  <c r="AE651" i="1" s="1"/>
  <c r="AB650" i="1"/>
  <c r="AD650" i="1" s="1"/>
  <c r="AE650" i="1" s="1"/>
  <c r="AB649" i="1"/>
  <c r="AD649" i="1" s="1"/>
  <c r="AE649" i="1" s="1"/>
  <c r="AB648" i="1"/>
  <c r="AD648" i="1" s="1"/>
  <c r="AE648" i="1" s="1"/>
  <c r="AB647" i="1"/>
  <c r="AD647" i="1" s="1"/>
  <c r="AE647" i="1" s="1"/>
  <c r="AB646" i="1"/>
  <c r="AD646" i="1" s="1"/>
  <c r="AE646" i="1" s="1"/>
  <c r="AB645" i="1"/>
  <c r="AD645" i="1" s="1"/>
  <c r="AE645" i="1" s="1"/>
  <c r="AB644" i="1"/>
  <c r="AD644" i="1" s="1"/>
  <c r="AE644" i="1" s="1"/>
  <c r="AB643" i="1"/>
  <c r="AD643" i="1" s="1"/>
  <c r="AE643" i="1" s="1"/>
  <c r="AB642" i="1"/>
  <c r="AD642" i="1" s="1"/>
  <c r="AE642" i="1" s="1"/>
  <c r="AB641" i="1"/>
  <c r="AD641" i="1" s="1"/>
  <c r="AE641" i="1" s="1"/>
  <c r="AB640" i="1"/>
  <c r="AD640" i="1" s="1"/>
  <c r="AE640" i="1" s="1"/>
  <c r="AB639" i="1"/>
  <c r="AD639" i="1" s="1"/>
  <c r="AE639" i="1" s="1"/>
  <c r="AB638" i="1"/>
  <c r="AD638" i="1" s="1"/>
  <c r="AE638" i="1" s="1"/>
  <c r="AB637" i="1"/>
  <c r="AD637" i="1" s="1"/>
  <c r="AE637" i="1" s="1"/>
  <c r="AB636" i="1"/>
  <c r="AD636" i="1" s="1"/>
  <c r="AE636" i="1" s="1"/>
  <c r="AB635" i="1"/>
  <c r="AD635" i="1" s="1"/>
  <c r="AE635" i="1" s="1"/>
  <c r="AB634" i="1"/>
  <c r="AD634" i="1" s="1"/>
  <c r="AE634" i="1" s="1"/>
  <c r="AB633" i="1"/>
  <c r="AD633" i="1" s="1"/>
  <c r="AE633" i="1" s="1"/>
  <c r="AB632" i="1"/>
  <c r="AD632" i="1" s="1"/>
  <c r="AE632" i="1" s="1"/>
  <c r="AB631" i="1"/>
  <c r="AD631" i="1" s="1"/>
  <c r="AE631" i="1" s="1"/>
  <c r="AB630" i="1"/>
  <c r="AD630" i="1" s="1"/>
  <c r="AE630" i="1" s="1"/>
  <c r="AB629" i="1"/>
  <c r="AD629" i="1" s="1"/>
  <c r="AE629" i="1" s="1"/>
  <c r="AB628" i="1"/>
  <c r="AD628" i="1" s="1"/>
  <c r="AE628" i="1" s="1"/>
  <c r="AB627" i="1"/>
  <c r="AD627" i="1" s="1"/>
  <c r="AE627" i="1" s="1"/>
  <c r="AB626" i="1"/>
  <c r="AD626" i="1" s="1"/>
  <c r="AE626" i="1" s="1"/>
  <c r="AB586" i="1"/>
  <c r="AD586" i="1" s="1"/>
  <c r="AE586" i="1" s="1"/>
  <c r="AB585" i="1"/>
  <c r="AD585" i="1" s="1"/>
  <c r="AE585" i="1" s="1"/>
  <c r="AB584" i="1"/>
  <c r="AD584" i="1" s="1"/>
  <c r="AE584" i="1" s="1"/>
  <c r="AB583" i="1"/>
  <c r="AD583" i="1" s="1"/>
  <c r="AE583" i="1" s="1"/>
  <c r="AB582" i="1"/>
  <c r="AD582" i="1" s="1"/>
  <c r="AE582" i="1" s="1"/>
  <c r="AB581" i="1"/>
  <c r="AD581" i="1" s="1"/>
  <c r="AE581" i="1" s="1"/>
  <c r="AB580" i="1"/>
  <c r="AD580" i="1" s="1"/>
  <c r="AE580" i="1" s="1"/>
  <c r="AB579" i="1"/>
  <c r="AD579" i="1" s="1"/>
  <c r="AE579" i="1" s="1"/>
  <c r="AB578" i="1"/>
  <c r="AD578" i="1" s="1"/>
  <c r="AE578" i="1" s="1"/>
  <c r="AB577" i="1"/>
  <c r="AD577" i="1" s="1"/>
  <c r="AE577" i="1" s="1"/>
  <c r="AB576" i="1"/>
  <c r="AD576" i="1" s="1"/>
  <c r="AE576" i="1" s="1"/>
  <c r="AB562" i="1"/>
  <c r="AD562" i="1" s="1"/>
  <c r="AE562" i="1" s="1"/>
  <c r="AB561" i="1"/>
  <c r="AD561" i="1" s="1"/>
  <c r="AE561" i="1" s="1"/>
  <c r="AB560" i="1"/>
  <c r="AD560" i="1" s="1"/>
  <c r="AE560" i="1" s="1"/>
  <c r="AB559" i="1"/>
  <c r="AD559" i="1" s="1"/>
  <c r="AE559" i="1" s="1"/>
  <c r="AB558" i="1"/>
  <c r="AD558" i="1" s="1"/>
  <c r="AE558" i="1" s="1"/>
  <c r="AB557" i="1"/>
  <c r="AD557" i="1" s="1"/>
  <c r="AE557" i="1" s="1"/>
  <c r="AB556" i="1"/>
  <c r="AD556" i="1" s="1"/>
  <c r="AE556" i="1" s="1"/>
  <c r="AB555" i="1"/>
  <c r="AD555" i="1" s="1"/>
  <c r="AE555" i="1" s="1"/>
  <c r="AB554" i="1"/>
  <c r="AD554" i="1" s="1"/>
  <c r="AE554" i="1" s="1"/>
  <c r="AB553" i="1"/>
  <c r="AD553" i="1" s="1"/>
  <c r="AE553" i="1" s="1"/>
  <c r="AB552" i="1"/>
  <c r="AD552" i="1" s="1"/>
  <c r="AE552" i="1" s="1"/>
  <c r="AB551" i="1"/>
  <c r="AD551" i="1" s="1"/>
  <c r="AE551" i="1" s="1"/>
  <c r="AB550" i="1"/>
  <c r="AD550" i="1" s="1"/>
  <c r="AE550" i="1" s="1"/>
  <c r="AB549" i="1"/>
  <c r="AD549" i="1" s="1"/>
  <c r="AE549" i="1" s="1"/>
  <c r="AB548" i="1"/>
  <c r="AD548" i="1" s="1"/>
  <c r="AE548" i="1" s="1"/>
  <c r="AB547" i="1"/>
  <c r="AD547" i="1" s="1"/>
  <c r="AE547" i="1" s="1"/>
  <c r="AB546" i="1"/>
  <c r="AD546" i="1" s="1"/>
  <c r="AE546" i="1" s="1"/>
  <c r="AB545" i="1"/>
  <c r="AD545" i="1" s="1"/>
  <c r="AE545" i="1" s="1"/>
  <c r="AB544" i="1"/>
  <c r="AD544" i="1" s="1"/>
  <c r="AE544" i="1" s="1"/>
  <c r="AB543" i="1"/>
  <c r="AD543" i="1" s="1"/>
  <c r="AE543" i="1" s="1"/>
  <c r="AB542" i="1"/>
  <c r="AD542" i="1" s="1"/>
  <c r="AE542" i="1" s="1"/>
  <c r="AB541" i="1"/>
  <c r="AD541" i="1" s="1"/>
  <c r="AE541" i="1" s="1"/>
  <c r="AB540" i="1"/>
  <c r="AD540" i="1" s="1"/>
  <c r="AE540" i="1" s="1"/>
  <c r="AB539" i="1"/>
  <c r="AD539" i="1" s="1"/>
  <c r="AE539" i="1" s="1"/>
  <c r="AB538" i="1"/>
  <c r="AD538" i="1" s="1"/>
  <c r="AE538" i="1" s="1"/>
  <c r="AB537" i="1"/>
  <c r="AD537" i="1" s="1"/>
  <c r="AE537" i="1" s="1"/>
  <c r="AB536" i="1"/>
  <c r="AD536" i="1" s="1"/>
  <c r="AE536" i="1" s="1"/>
  <c r="AB535" i="1"/>
  <c r="AD535" i="1" s="1"/>
  <c r="AE535" i="1" s="1"/>
  <c r="AB534" i="1"/>
  <c r="AD534" i="1" s="1"/>
  <c r="AE534" i="1" s="1"/>
  <c r="AB506" i="1"/>
  <c r="AD506" i="1" s="1"/>
  <c r="AE506" i="1" s="1"/>
  <c r="AB505" i="1"/>
  <c r="AD505" i="1" s="1"/>
  <c r="AE505" i="1" s="1"/>
  <c r="AB504" i="1"/>
  <c r="AD504" i="1" s="1"/>
  <c r="AE504" i="1" s="1"/>
  <c r="AB503" i="1"/>
  <c r="AD503" i="1" s="1"/>
  <c r="AE503" i="1" s="1"/>
  <c r="AB502" i="1"/>
  <c r="AD502" i="1" s="1"/>
  <c r="AE502" i="1" s="1"/>
  <c r="AB501" i="1"/>
  <c r="AD501" i="1" s="1"/>
  <c r="AE501" i="1" s="1"/>
  <c r="AB500" i="1"/>
  <c r="AD500" i="1" s="1"/>
  <c r="AE500" i="1" s="1"/>
  <c r="AB478" i="1"/>
  <c r="AD478" i="1" s="1"/>
  <c r="AE478" i="1" s="1"/>
  <c r="AB477" i="1"/>
  <c r="AD477" i="1" s="1"/>
  <c r="AE477" i="1" s="1"/>
  <c r="AB476" i="1"/>
  <c r="AD476" i="1" s="1"/>
  <c r="AE476" i="1" s="1"/>
  <c r="AB475" i="1"/>
  <c r="AD475" i="1" s="1"/>
  <c r="AE475" i="1" s="1"/>
  <c r="AB474" i="1"/>
  <c r="AD474" i="1" s="1"/>
  <c r="AE474" i="1" s="1"/>
  <c r="AB473" i="1"/>
  <c r="AD473" i="1" s="1"/>
  <c r="AE473" i="1" s="1"/>
  <c r="AB472" i="1"/>
  <c r="AD472" i="1" s="1"/>
  <c r="AE472" i="1" s="1"/>
  <c r="AB471" i="1"/>
  <c r="AD471" i="1" s="1"/>
  <c r="AE471" i="1" s="1"/>
  <c r="AB470" i="1"/>
  <c r="AD470" i="1" s="1"/>
  <c r="AE470" i="1" s="1"/>
  <c r="AB469" i="1"/>
  <c r="AD469" i="1" s="1"/>
  <c r="AE469" i="1" s="1"/>
  <c r="AB468" i="1"/>
  <c r="AD468" i="1" s="1"/>
  <c r="AE468" i="1" s="1"/>
  <c r="AB467" i="1"/>
  <c r="AD467" i="1" s="1"/>
  <c r="AE467" i="1" s="1"/>
  <c r="AB466" i="1"/>
  <c r="AD466" i="1" s="1"/>
  <c r="AE466" i="1" s="1"/>
  <c r="AB465" i="1"/>
  <c r="AD465" i="1" s="1"/>
  <c r="AE465" i="1" s="1"/>
  <c r="AB464" i="1"/>
  <c r="AD464" i="1" s="1"/>
  <c r="AE464" i="1" s="1"/>
  <c r="AB463" i="1"/>
  <c r="AD463" i="1" s="1"/>
  <c r="AE463" i="1" s="1"/>
  <c r="AB462" i="1"/>
  <c r="AD462" i="1" s="1"/>
  <c r="AE462" i="1" s="1"/>
  <c r="AB461" i="1"/>
  <c r="AD461" i="1" s="1"/>
  <c r="AE461" i="1" s="1"/>
  <c r="AB460" i="1"/>
  <c r="AD460" i="1" s="1"/>
  <c r="AE460" i="1" s="1"/>
  <c r="AB459" i="1"/>
  <c r="AD459" i="1" s="1"/>
  <c r="AE459" i="1" s="1"/>
  <c r="AB413" i="1"/>
  <c r="AD413" i="1" s="1"/>
  <c r="AE413" i="1" s="1"/>
  <c r="AB412" i="1"/>
  <c r="AD412" i="1" s="1"/>
  <c r="AE412" i="1" s="1"/>
  <c r="AB411" i="1"/>
  <c r="AD411" i="1" s="1"/>
  <c r="AE411" i="1" s="1"/>
  <c r="AB410" i="1"/>
  <c r="AD410" i="1" s="1"/>
  <c r="AE410" i="1" s="1"/>
  <c r="AB409" i="1"/>
  <c r="AD409" i="1" s="1"/>
  <c r="AE409" i="1" s="1"/>
  <c r="AB408" i="1"/>
  <c r="AD408" i="1" s="1"/>
  <c r="AE408" i="1" s="1"/>
  <c r="AB407" i="1"/>
  <c r="AD407" i="1" s="1"/>
  <c r="AE407" i="1" s="1"/>
  <c r="AB406" i="1"/>
  <c r="AD406" i="1" s="1"/>
  <c r="AE406" i="1" s="1"/>
  <c r="AB405" i="1"/>
  <c r="AD405" i="1" s="1"/>
  <c r="AE405" i="1" s="1"/>
  <c r="AB404" i="1"/>
  <c r="AD404" i="1" s="1"/>
  <c r="AE404" i="1" s="1"/>
  <c r="AB403" i="1"/>
  <c r="AD403" i="1" s="1"/>
  <c r="AE403" i="1" s="1"/>
  <c r="AB402" i="1"/>
  <c r="AD402" i="1" s="1"/>
  <c r="AE402" i="1" s="1"/>
  <c r="AB401" i="1"/>
  <c r="AD401" i="1" s="1"/>
  <c r="AE401" i="1" s="1"/>
  <c r="AB400" i="1"/>
  <c r="AD400" i="1" s="1"/>
  <c r="AE400" i="1" s="1"/>
  <c r="AB399" i="1"/>
  <c r="AD399" i="1" s="1"/>
  <c r="AE399" i="1" s="1"/>
  <c r="AB398" i="1"/>
  <c r="AD398" i="1" s="1"/>
  <c r="AE398" i="1" s="1"/>
  <c r="AB397" i="1"/>
  <c r="AD397" i="1" s="1"/>
  <c r="AE397" i="1" s="1"/>
  <c r="AB396" i="1"/>
  <c r="AD396" i="1" s="1"/>
  <c r="AE396" i="1" s="1"/>
  <c r="AB395" i="1"/>
  <c r="AD395" i="1" s="1"/>
  <c r="AE395" i="1" s="1"/>
  <c r="AB394" i="1"/>
  <c r="AD394" i="1" s="1"/>
  <c r="AE394" i="1" s="1"/>
  <c r="AB393" i="1"/>
  <c r="AD393" i="1" s="1"/>
  <c r="AE393" i="1" s="1"/>
  <c r="AB392" i="1"/>
  <c r="AD392" i="1" s="1"/>
  <c r="AE392" i="1" s="1"/>
  <c r="AB391" i="1"/>
  <c r="AD391" i="1" s="1"/>
  <c r="AE391" i="1" s="1"/>
  <c r="AB390" i="1"/>
  <c r="AD390" i="1" s="1"/>
  <c r="AE390" i="1" s="1"/>
  <c r="AB389" i="1"/>
  <c r="AD389" i="1" s="1"/>
  <c r="AE389" i="1" s="1"/>
  <c r="AB388" i="1"/>
  <c r="AD388" i="1" s="1"/>
  <c r="AE388" i="1" s="1"/>
  <c r="AB387" i="1"/>
  <c r="AD387" i="1" s="1"/>
  <c r="AE387" i="1" s="1"/>
  <c r="AB386" i="1"/>
  <c r="AD386" i="1" s="1"/>
  <c r="AE386" i="1" s="1"/>
  <c r="AB385" i="1"/>
  <c r="AD385" i="1" s="1"/>
  <c r="AE385" i="1" s="1"/>
  <c r="AB384" i="1"/>
  <c r="AD384" i="1" s="1"/>
  <c r="AE384" i="1" s="1"/>
  <c r="AB383" i="1"/>
  <c r="AD383" i="1" s="1"/>
  <c r="AE383" i="1" s="1"/>
  <c r="AB382" i="1"/>
  <c r="AD382" i="1" s="1"/>
  <c r="AE382" i="1" s="1"/>
  <c r="AB381" i="1"/>
  <c r="AD381" i="1" s="1"/>
  <c r="AE381" i="1" s="1"/>
  <c r="AB380" i="1"/>
  <c r="AD380" i="1" s="1"/>
  <c r="AE380" i="1" s="1"/>
  <c r="AB379" i="1"/>
  <c r="AD379" i="1" s="1"/>
  <c r="AE379" i="1" s="1"/>
  <c r="AB378" i="1"/>
  <c r="AD378" i="1" s="1"/>
  <c r="AE378" i="1" s="1"/>
  <c r="AB377" i="1"/>
  <c r="AD377" i="1" s="1"/>
  <c r="AE377" i="1" s="1"/>
  <c r="AB376" i="1"/>
  <c r="AD376" i="1" s="1"/>
  <c r="AE376" i="1" s="1"/>
  <c r="AB375" i="1"/>
  <c r="AD375" i="1" s="1"/>
  <c r="AE375" i="1" s="1"/>
  <c r="AB374" i="1"/>
  <c r="AD374" i="1" s="1"/>
  <c r="AE374" i="1" s="1"/>
  <c r="AB373" i="1"/>
  <c r="AD373" i="1" s="1"/>
  <c r="AE373" i="1" s="1"/>
  <c r="AB363" i="1"/>
  <c r="AD363" i="1" s="1"/>
  <c r="AE363" i="1" s="1"/>
  <c r="AB362" i="1"/>
  <c r="AD362" i="1" s="1"/>
  <c r="AE362" i="1" s="1"/>
  <c r="AB361" i="1"/>
  <c r="AD361" i="1" s="1"/>
  <c r="AE361" i="1" s="1"/>
  <c r="AB360" i="1"/>
  <c r="AD360" i="1" s="1"/>
  <c r="AE360" i="1" s="1"/>
  <c r="AB359" i="1"/>
  <c r="AD359" i="1" s="1"/>
  <c r="AE359" i="1" s="1"/>
  <c r="AB358" i="1"/>
  <c r="AD358" i="1" s="1"/>
  <c r="AE358" i="1" s="1"/>
  <c r="AB357" i="1"/>
  <c r="AD357" i="1" s="1"/>
  <c r="AE357" i="1" s="1"/>
  <c r="AB356" i="1"/>
  <c r="AD356" i="1" s="1"/>
  <c r="AE356" i="1" s="1"/>
  <c r="AB355" i="1"/>
  <c r="AD355" i="1" s="1"/>
  <c r="AE355" i="1" s="1"/>
  <c r="AB345" i="1"/>
  <c r="AD345" i="1" s="1"/>
  <c r="AE345" i="1" s="1"/>
  <c r="AB344" i="1"/>
  <c r="AD344" i="1" s="1"/>
  <c r="AE344" i="1" s="1"/>
  <c r="AB343" i="1"/>
  <c r="AD343" i="1" s="1"/>
  <c r="AE343" i="1" s="1"/>
  <c r="AB342" i="1"/>
  <c r="AD342" i="1" s="1"/>
  <c r="AE342" i="1" s="1"/>
  <c r="AB341" i="1"/>
  <c r="AD341" i="1" s="1"/>
  <c r="AE341" i="1" s="1"/>
  <c r="AB340" i="1"/>
  <c r="AD340" i="1" s="1"/>
  <c r="AE340" i="1" s="1"/>
  <c r="AB339" i="1"/>
  <c r="AD339" i="1" s="1"/>
  <c r="AE339" i="1" s="1"/>
  <c r="AB338" i="1"/>
  <c r="AD338" i="1" s="1"/>
  <c r="AE338" i="1" s="1"/>
  <c r="AB337" i="1"/>
  <c r="AD337" i="1" s="1"/>
  <c r="AE337" i="1" s="1"/>
  <c r="AB327" i="1"/>
  <c r="AD327" i="1" s="1"/>
  <c r="AE327" i="1" s="1"/>
  <c r="AB326" i="1"/>
  <c r="AD326" i="1" s="1"/>
  <c r="AE326" i="1" s="1"/>
  <c r="AB325" i="1"/>
  <c r="AD325" i="1" s="1"/>
  <c r="AE325" i="1" s="1"/>
  <c r="AB324" i="1"/>
  <c r="AD324" i="1" s="1"/>
  <c r="AE324" i="1" s="1"/>
  <c r="AB323" i="1"/>
  <c r="AD323" i="1" s="1"/>
  <c r="AE323" i="1" s="1"/>
  <c r="AB322" i="1"/>
  <c r="AD322" i="1" s="1"/>
  <c r="AE322" i="1" s="1"/>
  <c r="AB321" i="1"/>
  <c r="AD321" i="1" s="1"/>
  <c r="AE321" i="1" s="1"/>
  <c r="AB320" i="1"/>
  <c r="AD320" i="1" s="1"/>
  <c r="AE320" i="1" s="1"/>
  <c r="AB318" i="1"/>
  <c r="AD318" i="1" s="1"/>
  <c r="AE318" i="1" s="1"/>
  <c r="AB316" i="1"/>
  <c r="AD316" i="1" s="1"/>
  <c r="AE316" i="1" s="1"/>
  <c r="AB314" i="1"/>
  <c r="AD314" i="1" s="1"/>
  <c r="AE314" i="1" s="1"/>
  <c r="AB311" i="1"/>
  <c r="AD311" i="1" s="1"/>
  <c r="AE311" i="1" s="1"/>
  <c r="AB308" i="1"/>
  <c r="AD308" i="1" s="1"/>
  <c r="AE308" i="1" s="1"/>
  <c r="AB305" i="1"/>
  <c r="AD305" i="1" s="1"/>
  <c r="AE305" i="1" s="1"/>
  <c r="AB303" i="1"/>
  <c r="AD303" i="1" s="1"/>
  <c r="AE303" i="1" s="1"/>
  <c r="AB301" i="1"/>
  <c r="AD301" i="1" s="1"/>
  <c r="AE301" i="1" s="1"/>
  <c r="AB298" i="1"/>
  <c r="AD298" i="1" s="1"/>
  <c r="AE298" i="1" s="1"/>
  <c r="AB296" i="1"/>
  <c r="AD296" i="1" s="1"/>
  <c r="AE296" i="1" s="1"/>
  <c r="AB294" i="1"/>
  <c r="AD294" i="1" s="1"/>
  <c r="AE294" i="1" s="1"/>
  <c r="AB292" i="1"/>
  <c r="AD292" i="1" s="1"/>
  <c r="AE292" i="1" s="1"/>
  <c r="AB290" i="1"/>
  <c r="AD290" i="1" s="1"/>
  <c r="AE290" i="1" s="1"/>
  <c r="AB287" i="1"/>
  <c r="AD287" i="1" s="1"/>
  <c r="AE287" i="1" s="1"/>
  <c r="AB284" i="1"/>
  <c r="AD284" i="1" s="1"/>
  <c r="AE284" i="1" s="1"/>
  <c r="AB282" i="1"/>
  <c r="AD282" i="1" s="1"/>
  <c r="AE282" i="1" s="1"/>
  <c r="AB279" i="1"/>
  <c r="AD279" i="1" s="1"/>
  <c r="AE279" i="1" s="1"/>
  <c r="AB277" i="1"/>
  <c r="AD277" i="1" s="1"/>
  <c r="AE277" i="1" s="1"/>
  <c r="AB275" i="1"/>
  <c r="AD275" i="1" s="1"/>
  <c r="AE275" i="1" s="1"/>
  <c r="AB272" i="1"/>
  <c r="AD272" i="1" s="1"/>
  <c r="AE272" i="1" s="1"/>
  <c r="AB270" i="1"/>
  <c r="AD270" i="1" s="1"/>
  <c r="AE270" i="1" s="1"/>
  <c r="AB268" i="1"/>
  <c r="AD268" i="1" s="1"/>
  <c r="AE268" i="1" s="1"/>
  <c r="AB266" i="1"/>
  <c r="AD266" i="1" s="1"/>
  <c r="AE266" i="1" s="1"/>
  <c r="AB263" i="1"/>
  <c r="AD263" i="1" s="1"/>
  <c r="AE263" i="1" s="1"/>
  <c r="AB261" i="1"/>
  <c r="AD261" i="1" s="1"/>
  <c r="AE261" i="1" s="1"/>
  <c r="AB259" i="1"/>
  <c r="AD259" i="1" s="1"/>
  <c r="AE259" i="1" s="1"/>
  <c r="AB256" i="1"/>
  <c r="AD256" i="1" s="1"/>
  <c r="AE256" i="1" s="1"/>
  <c r="AB253" i="1"/>
  <c r="AD253" i="1" s="1"/>
  <c r="AE253" i="1" s="1"/>
  <c r="AB251" i="1"/>
  <c r="AD251" i="1" s="1"/>
  <c r="AE251" i="1" s="1"/>
  <c r="AB249" i="1"/>
  <c r="AD249" i="1" s="1"/>
  <c r="AE249" i="1" s="1"/>
  <c r="AB247" i="1"/>
  <c r="AD247" i="1" s="1"/>
  <c r="AE247" i="1" s="1"/>
  <c r="AB245" i="1"/>
  <c r="AD245" i="1" s="1"/>
  <c r="AE245" i="1" s="1"/>
  <c r="AB242" i="1"/>
  <c r="AD242" i="1" s="1"/>
  <c r="AE242" i="1" s="1"/>
  <c r="AB240" i="1"/>
  <c r="AD240" i="1" s="1"/>
  <c r="AE240" i="1" s="1"/>
  <c r="AB238" i="1"/>
  <c r="AD238" i="1" s="1"/>
  <c r="AE238" i="1" s="1"/>
  <c r="AB235" i="1"/>
  <c r="AD235" i="1" s="1"/>
  <c r="AE235" i="1" s="1"/>
  <c r="AB232" i="1"/>
  <c r="AD232" i="1" s="1"/>
  <c r="AE232" i="1" s="1"/>
  <c r="AB229" i="1"/>
  <c r="AD229" i="1" s="1"/>
  <c r="AE229" i="1" s="1"/>
  <c r="AB226" i="1"/>
  <c r="AD226" i="1" s="1"/>
  <c r="AE226" i="1" s="1"/>
  <c r="AB223" i="1"/>
  <c r="AD223" i="1" s="1"/>
  <c r="AE223" i="1" s="1"/>
  <c r="AB220" i="1"/>
  <c r="AD220" i="1" s="1"/>
  <c r="AE220" i="1" s="1"/>
  <c r="AB218" i="1"/>
  <c r="AD218" i="1" s="1"/>
  <c r="AE218" i="1" s="1"/>
  <c r="AB216" i="1"/>
  <c r="AD216" i="1" s="1"/>
  <c r="AE216" i="1" s="1"/>
  <c r="AB214" i="1"/>
  <c r="AD214" i="1" s="1"/>
  <c r="AE214" i="1" s="1"/>
  <c r="AB211" i="1"/>
  <c r="AD211" i="1" s="1"/>
  <c r="AE211" i="1" s="1"/>
  <c r="AB209" i="1"/>
  <c r="AD209" i="1" s="1"/>
  <c r="AE209" i="1" s="1"/>
  <c r="AB207" i="1"/>
  <c r="AD207" i="1" s="1"/>
  <c r="AE207" i="1" s="1"/>
  <c r="AB205" i="1"/>
  <c r="AD205" i="1" s="1"/>
  <c r="AE205" i="1" s="1"/>
  <c r="AB202" i="1"/>
  <c r="AD202" i="1" s="1"/>
  <c r="AE202" i="1" s="1"/>
  <c r="AB199" i="1"/>
  <c r="AD199" i="1" s="1"/>
  <c r="AE199" i="1" s="1"/>
  <c r="AB197" i="1"/>
  <c r="AD197" i="1" s="1"/>
  <c r="AE197" i="1" s="1"/>
  <c r="AB194" i="1"/>
  <c r="AD194" i="1" s="1"/>
  <c r="AE194" i="1" s="1"/>
  <c r="AB192" i="1"/>
  <c r="AD192" i="1" s="1"/>
  <c r="AE192" i="1" s="1"/>
  <c r="AB189" i="1"/>
  <c r="AD189" i="1" s="1"/>
  <c r="AE189" i="1" s="1"/>
  <c r="AB187" i="1"/>
  <c r="AD187" i="1" s="1"/>
  <c r="AE187" i="1" s="1"/>
  <c r="AB185" i="1"/>
  <c r="AD185" i="1" s="1"/>
  <c r="AE185" i="1" s="1"/>
  <c r="AB182" i="1"/>
  <c r="AD182" i="1" s="1"/>
  <c r="AE182" i="1" s="1"/>
  <c r="AB180" i="1"/>
  <c r="AD180" i="1" s="1"/>
  <c r="AE180" i="1" s="1"/>
  <c r="AB178" i="1"/>
  <c r="AD178" i="1" s="1"/>
  <c r="AE178" i="1" s="1"/>
  <c r="AB175" i="1"/>
  <c r="AD175" i="1" s="1"/>
  <c r="AE175" i="1" s="1"/>
  <c r="AB173" i="1"/>
  <c r="AD173" i="1" s="1"/>
  <c r="AE173" i="1" s="1"/>
  <c r="AB171" i="1"/>
  <c r="AD171" i="1" s="1"/>
  <c r="AE171" i="1" s="1"/>
  <c r="AB168" i="1"/>
  <c r="AD168" i="1" s="1"/>
  <c r="AE168" i="1" s="1"/>
  <c r="AB166" i="1"/>
  <c r="AD166" i="1" s="1"/>
  <c r="AE166" i="1" s="1"/>
  <c r="AB164" i="1"/>
  <c r="AD164" i="1" s="1"/>
  <c r="AE164" i="1" s="1"/>
  <c r="AB161" i="1"/>
  <c r="AD161" i="1" s="1"/>
  <c r="AE161" i="1" s="1"/>
  <c r="AB158" i="1"/>
  <c r="AD158" i="1" s="1"/>
  <c r="AE158" i="1" s="1"/>
  <c r="AB155" i="1"/>
  <c r="AD155" i="1" s="1"/>
  <c r="AE155" i="1" s="1"/>
  <c r="AB153" i="1"/>
  <c r="AD153" i="1" s="1"/>
  <c r="AE153" i="1" s="1"/>
  <c r="AB150" i="1"/>
  <c r="AD150" i="1" s="1"/>
  <c r="AE150" i="1" s="1"/>
  <c r="AB147" i="1"/>
  <c r="AD147" i="1" s="1"/>
  <c r="AE147" i="1" s="1"/>
  <c r="AB145" i="1"/>
  <c r="AD145" i="1" s="1"/>
  <c r="AE145" i="1" s="1"/>
  <c r="AB142" i="1"/>
  <c r="AD142" i="1" s="1"/>
  <c r="AE142" i="1" s="1"/>
  <c r="AB139" i="1"/>
  <c r="AD139" i="1" s="1"/>
  <c r="AE139" i="1" s="1"/>
  <c r="AB137" i="1"/>
  <c r="AD137" i="1" s="1"/>
  <c r="AE137" i="1" s="1"/>
  <c r="AB135" i="1"/>
  <c r="AD135" i="1" s="1"/>
  <c r="AE135" i="1" s="1"/>
  <c r="AB133" i="1"/>
  <c r="AD133" i="1" s="1"/>
  <c r="AE133" i="1" s="1"/>
  <c r="AB131" i="1"/>
  <c r="AD131" i="1" s="1"/>
  <c r="AE131" i="1" s="1"/>
  <c r="AB128" i="1"/>
  <c r="AD128" i="1" s="1"/>
  <c r="AE128" i="1" s="1"/>
  <c r="AB125" i="1"/>
  <c r="AD125" i="1" s="1"/>
  <c r="AE125" i="1" s="1"/>
  <c r="AB123" i="1"/>
  <c r="AD123" i="1" s="1"/>
  <c r="AE123" i="1" s="1"/>
  <c r="AB121" i="1"/>
  <c r="AD121" i="1" s="1"/>
  <c r="AE121" i="1" s="1"/>
  <c r="AB119" i="1"/>
  <c r="AD119" i="1" s="1"/>
  <c r="AE119" i="1" s="1"/>
  <c r="AB117" i="1"/>
  <c r="AD117" i="1" s="1"/>
  <c r="AE117" i="1" s="1"/>
  <c r="AB115" i="1"/>
  <c r="AD115" i="1" s="1"/>
  <c r="AE115" i="1" s="1"/>
  <c r="AB112" i="1"/>
  <c r="AD112" i="1" s="1"/>
  <c r="AE112" i="1" s="1"/>
  <c r="AB109" i="1"/>
  <c r="AD109" i="1" s="1"/>
  <c r="AE109" i="1" s="1"/>
  <c r="AB106" i="1"/>
  <c r="AD106" i="1" s="1"/>
  <c r="AE106" i="1" s="1"/>
  <c r="AB103" i="1"/>
  <c r="AD103" i="1" s="1"/>
  <c r="AE103" i="1" s="1"/>
  <c r="AB101" i="1"/>
  <c r="AD101" i="1" s="1"/>
  <c r="AE101" i="1" s="1"/>
  <c r="AB99" i="1"/>
  <c r="AD99" i="1" s="1"/>
  <c r="AE99" i="1" s="1"/>
  <c r="AB96" i="1"/>
  <c r="AD96" i="1" s="1"/>
  <c r="AE96" i="1" s="1"/>
  <c r="AB93" i="1"/>
  <c r="AD93" i="1" s="1"/>
  <c r="AE93" i="1" s="1"/>
  <c r="AB91" i="1"/>
  <c r="AD91" i="1" s="1"/>
  <c r="AE91" i="1" s="1"/>
  <c r="AB88" i="1"/>
  <c r="AD88" i="1" s="1"/>
  <c r="AE88" i="1" s="1"/>
  <c r="AB86" i="1"/>
  <c r="AD86" i="1" s="1"/>
  <c r="AE86" i="1" s="1"/>
  <c r="AB83" i="1"/>
  <c r="AD83" i="1" s="1"/>
  <c r="AE83" i="1" s="1"/>
  <c r="AB80" i="1"/>
  <c r="AD80" i="1" s="1"/>
  <c r="AE80" i="1" s="1"/>
  <c r="AB77" i="1"/>
  <c r="AD77" i="1" s="1"/>
  <c r="AE77" i="1" s="1"/>
  <c r="AB75" i="1"/>
  <c r="AD75" i="1" s="1"/>
  <c r="AE75" i="1" s="1"/>
  <c r="AB72" i="1"/>
  <c r="AD72" i="1" s="1"/>
  <c r="AE72" i="1" s="1"/>
  <c r="AB69" i="1"/>
  <c r="AD69" i="1" s="1"/>
  <c r="AE69" i="1" s="1"/>
  <c r="AB67" i="1"/>
  <c r="AD67" i="1" s="1"/>
  <c r="AE67" i="1" s="1"/>
  <c r="AB65" i="1"/>
  <c r="AD65" i="1" s="1"/>
  <c r="AE65" i="1" s="1"/>
  <c r="AB62" i="1"/>
  <c r="AD62" i="1" s="1"/>
  <c r="AE62" i="1" s="1"/>
  <c r="AB60" i="1"/>
  <c r="AD60" i="1" s="1"/>
  <c r="AE60" i="1" s="1"/>
  <c r="AB57" i="1"/>
  <c r="AD57" i="1" s="1"/>
  <c r="AE57" i="1" s="1"/>
  <c r="AB55" i="1"/>
  <c r="AD55" i="1" s="1"/>
  <c r="AE55" i="1" s="1"/>
  <c r="AB52" i="1"/>
  <c r="AD52" i="1" s="1"/>
  <c r="AE52" i="1" s="1"/>
  <c r="AB49" i="1"/>
  <c r="AD49" i="1" s="1"/>
  <c r="AE49" i="1" s="1"/>
  <c r="AB48" i="1"/>
  <c r="AD48" i="1" s="1"/>
  <c r="AE48" i="1" s="1"/>
  <c r="AB47" i="1"/>
  <c r="AD47" i="1" s="1"/>
  <c r="AE47" i="1" s="1"/>
  <c r="AB46" i="1"/>
  <c r="AD46" i="1" s="1"/>
  <c r="AE46" i="1" s="1"/>
  <c r="AB45" i="1"/>
  <c r="AD45" i="1" s="1"/>
  <c r="AE45" i="1" s="1"/>
  <c r="AB44" i="1"/>
  <c r="AD44" i="1" s="1"/>
  <c r="AE44" i="1" s="1"/>
  <c r="AB43" i="1"/>
  <c r="AD43" i="1" s="1"/>
  <c r="AE43" i="1" s="1"/>
  <c r="AB42" i="1"/>
  <c r="AD42" i="1" s="1"/>
  <c r="AE42" i="1" s="1"/>
  <c r="AB41" i="1"/>
  <c r="AD41" i="1" s="1"/>
  <c r="AE41" i="1" s="1"/>
  <c r="AB40" i="1"/>
  <c r="AD40" i="1" s="1"/>
  <c r="AE40" i="1" s="1"/>
  <c r="AB39" i="1"/>
  <c r="AD39" i="1" s="1"/>
  <c r="AE39" i="1" s="1"/>
  <c r="AB37" i="1"/>
  <c r="AD37" i="1" s="1"/>
  <c r="AE37" i="1" s="1"/>
  <c r="AB34" i="1"/>
  <c r="AD34" i="1" s="1"/>
  <c r="AE34" i="1" s="1"/>
  <c r="AB31" i="1"/>
  <c r="AD31" i="1" s="1"/>
  <c r="AE31" i="1" s="1"/>
  <c r="AB29" i="1"/>
  <c r="AD29" i="1" s="1"/>
  <c r="AE29" i="1" s="1"/>
  <c r="AB26" i="1"/>
  <c r="AD26" i="1" s="1"/>
  <c r="AE26" i="1" s="1"/>
  <c r="AB24" i="1"/>
  <c r="AD24" i="1" s="1"/>
  <c r="AE24" i="1" s="1"/>
  <c r="AB22" i="1"/>
  <c r="AD22" i="1" s="1"/>
  <c r="AE22" i="1" s="1"/>
  <c r="AB20" i="1"/>
  <c r="AD20" i="1" s="1"/>
  <c r="AE20" i="1" s="1"/>
  <c r="AB17" i="1"/>
  <c r="AD17" i="1" s="1"/>
  <c r="AE17" i="1" s="1"/>
  <c r="AB14" i="1"/>
  <c r="AD14" i="1" s="1"/>
  <c r="AE14" i="1" s="1"/>
  <c r="AB1103" i="1"/>
  <c r="AD1103" i="1" s="1"/>
  <c r="AE1103" i="1" s="1"/>
  <c r="AB1102" i="1"/>
  <c r="AD1102" i="1" s="1"/>
  <c r="AE1102" i="1" s="1"/>
  <c r="AB1101" i="1"/>
  <c r="AD1101" i="1" s="1"/>
  <c r="AE1101" i="1" s="1"/>
  <c r="AB1100" i="1"/>
  <c r="AD1100" i="1" s="1"/>
  <c r="AE1100" i="1" s="1"/>
  <c r="AB13" i="1"/>
  <c r="AD13" i="1" s="1"/>
  <c r="AE13" i="1" s="1"/>
  <c r="AB12" i="1"/>
  <c r="AD12" i="1" s="1"/>
  <c r="AE12" i="1" s="1"/>
  <c r="AB9" i="1"/>
  <c r="AD9" i="1" s="1"/>
  <c r="AE9" i="1" s="1"/>
  <c r="AB8" i="1"/>
  <c r="AD8" i="1" s="1"/>
  <c r="AE8" i="1" s="1"/>
  <c r="AB7" i="1"/>
  <c r="AD7" i="1" s="1"/>
  <c r="AE7" i="1" s="1"/>
  <c r="AB6" i="1"/>
  <c r="AD6" i="1" s="1"/>
  <c r="AE6" i="1" s="1"/>
  <c r="AB5" i="1"/>
  <c r="AD5" i="1" s="1"/>
  <c r="AE5" i="1" s="1"/>
  <c r="AB4" i="1"/>
  <c r="AD4" i="1" s="1"/>
  <c r="AE4" i="1" s="1"/>
  <c r="AB3" i="1"/>
  <c r="AD3" i="1" s="1"/>
  <c r="AE3" i="1" s="1"/>
  <c r="AB2" i="1"/>
  <c r="AD2" i="1" s="1"/>
  <c r="AE2" i="1" s="1"/>
  <c r="AD1086" i="1"/>
  <c r="AE1086" i="1" s="1"/>
  <c r="AB1122" i="1"/>
  <c r="AD1122" i="1" s="1"/>
  <c r="AE1122" i="1" s="1"/>
  <c r="AB1121" i="1"/>
  <c r="AD1121" i="1" s="1"/>
  <c r="AE1121" i="1" s="1"/>
  <c r="AB1120" i="1"/>
  <c r="AD1120" i="1" s="1"/>
  <c r="AE1120" i="1" s="1"/>
  <c r="AB1116" i="1"/>
  <c r="AD1116" i="1" s="1"/>
  <c r="AE1116" i="1" s="1"/>
  <c r="AB1115" i="1"/>
  <c r="AD1115" i="1" s="1"/>
  <c r="AE1115" i="1" s="1"/>
  <c r="AB1114" i="1"/>
  <c r="AD1114" i="1" s="1"/>
  <c r="AE1114" i="1" s="1"/>
  <c r="AB1109" i="1"/>
  <c r="AD1109" i="1" s="1"/>
  <c r="AE1109" i="1" s="1"/>
  <c r="AB1108" i="1"/>
  <c r="AD1108" i="1" s="1"/>
  <c r="AE1108" i="1" s="1"/>
  <c r="AB1107" i="1"/>
  <c r="AD1107" i="1" s="1"/>
  <c r="AE1107" i="1" s="1"/>
  <c r="AB1080" i="1"/>
  <c r="AD1080" i="1" s="1"/>
  <c r="AE1080" i="1" s="1"/>
  <c r="AB1079" i="1"/>
  <c r="AD1079" i="1" s="1"/>
  <c r="AE1079" i="1" s="1"/>
  <c r="AB1078" i="1"/>
  <c r="AD1078" i="1" s="1"/>
  <c r="AE1078" i="1" s="1"/>
  <c r="AB1077" i="1"/>
  <c r="AD1077" i="1" s="1"/>
  <c r="AE1077" i="1" s="1"/>
  <c r="AB1076" i="1"/>
  <c r="AD1076" i="1" s="1"/>
  <c r="AE1076" i="1" s="1"/>
  <c r="AB1075" i="1"/>
  <c r="AD1075" i="1" s="1"/>
  <c r="AE1075" i="1" s="1"/>
  <c r="AB1074" i="1"/>
  <c r="AD1074" i="1" s="1"/>
  <c r="AE1074" i="1" s="1"/>
  <c r="AB1073" i="1"/>
  <c r="AD1073" i="1" s="1"/>
  <c r="AE1073" i="1" s="1"/>
  <c r="AB1072" i="1"/>
  <c r="AD1072" i="1" s="1"/>
  <c r="AE1072" i="1" s="1"/>
  <c r="AB1071" i="1"/>
  <c r="AD1071" i="1" s="1"/>
  <c r="AE1071" i="1" s="1"/>
  <c r="AB1070" i="1"/>
  <c r="AD1070" i="1" s="1"/>
  <c r="AE1070" i="1" s="1"/>
  <c r="AB1069" i="1"/>
  <c r="AD1069" i="1" s="1"/>
  <c r="AE1069" i="1" s="1"/>
  <c r="AB1068" i="1"/>
  <c r="AD1068" i="1" s="1"/>
  <c r="AE1068" i="1" s="1"/>
  <c r="AB1067" i="1"/>
  <c r="AD1067" i="1" s="1"/>
  <c r="AE1067" i="1" s="1"/>
  <c r="AB1066" i="1"/>
  <c r="AD1066" i="1" s="1"/>
  <c r="AE1066" i="1" s="1"/>
  <c r="AB1065" i="1"/>
  <c r="AD1065" i="1" s="1"/>
  <c r="AE1065" i="1" s="1"/>
  <c r="AB1064" i="1"/>
  <c r="AD1064" i="1" s="1"/>
  <c r="AE1064" i="1" s="1"/>
  <c r="AB1063" i="1"/>
  <c r="AD1063" i="1" s="1"/>
  <c r="AE1063" i="1" s="1"/>
  <c r="AB1062" i="1"/>
  <c r="AD1062" i="1" s="1"/>
  <c r="AE1062" i="1" s="1"/>
  <c r="AB1061" i="1"/>
  <c r="AD1061" i="1" s="1"/>
  <c r="AE1061" i="1" s="1"/>
  <c r="AB1060" i="1"/>
  <c r="AD1060" i="1" s="1"/>
  <c r="AE1060" i="1" s="1"/>
  <c r="AB1059" i="1"/>
  <c r="AD1059" i="1" s="1"/>
  <c r="AE1059" i="1" s="1"/>
  <c r="AB1058" i="1"/>
  <c r="AD1058" i="1" s="1"/>
  <c r="AE1058" i="1" s="1"/>
  <c r="AB1057" i="1"/>
  <c r="AD1057" i="1" s="1"/>
  <c r="AE1057" i="1" s="1"/>
  <c r="AB986" i="1"/>
  <c r="AD986" i="1" s="1"/>
  <c r="AE986" i="1" s="1"/>
  <c r="AB913" i="1"/>
  <c r="AD913" i="1" s="1"/>
  <c r="AE913" i="1" s="1"/>
  <c r="AB912" i="1"/>
  <c r="AD912" i="1" s="1"/>
  <c r="AE912" i="1" s="1"/>
  <c r="AB911" i="1"/>
  <c r="AD911" i="1" s="1"/>
  <c r="AE911" i="1" s="1"/>
  <c r="AB910" i="1"/>
  <c r="AD910" i="1" s="1"/>
  <c r="AE910" i="1" s="1"/>
  <c r="AB909" i="1"/>
  <c r="AD909" i="1" s="1"/>
  <c r="AE909" i="1" s="1"/>
  <c r="AB908" i="1"/>
  <c r="AD908" i="1" s="1"/>
  <c r="AE908" i="1" s="1"/>
  <c r="AB907" i="1"/>
  <c r="AD907" i="1" s="1"/>
  <c r="AE907" i="1" s="1"/>
  <c r="AB906" i="1"/>
  <c r="AD906" i="1" s="1"/>
  <c r="AE906" i="1" s="1"/>
  <c r="AB905" i="1"/>
  <c r="AD905" i="1" s="1"/>
  <c r="AE905" i="1" s="1"/>
  <c r="AB904" i="1"/>
  <c r="AD904" i="1" s="1"/>
  <c r="AE904" i="1" s="1"/>
  <c r="AB903" i="1"/>
  <c r="AD903" i="1" s="1"/>
  <c r="AE903" i="1" s="1"/>
  <c r="AB902" i="1"/>
  <c r="AD902" i="1" s="1"/>
  <c r="AE902" i="1" s="1"/>
  <c r="AB901" i="1"/>
  <c r="AD901" i="1" s="1"/>
  <c r="AE901" i="1" s="1"/>
  <c r="AB900" i="1"/>
  <c r="AD900" i="1" s="1"/>
  <c r="AE900" i="1" s="1"/>
  <c r="AB899" i="1"/>
  <c r="AD899" i="1" s="1"/>
  <c r="AE899" i="1" s="1"/>
  <c r="AB898" i="1"/>
  <c r="AD898" i="1" s="1"/>
  <c r="AE898" i="1" s="1"/>
  <c r="AB897" i="1"/>
  <c r="AD897" i="1" s="1"/>
  <c r="AE897" i="1" s="1"/>
  <c r="AB896" i="1"/>
  <c r="AD896" i="1" s="1"/>
  <c r="AE896" i="1" s="1"/>
  <c r="AB895" i="1"/>
  <c r="AD895" i="1" s="1"/>
  <c r="AE895" i="1" s="1"/>
  <c r="AB894" i="1"/>
  <c r="AD894" i="1" s="1"/>
  <c r="AE894" i="1" s="1"/>
  <c r="AB893" i="1"/>
  <c r="AD893" i="1" s="1"/>
  <c r="AE893" i="1" s="1"/>
  <c r="AB892" i="1"/>
  <c r="AD892" i="1" s="1"/>
  <c r="AE892" i="1" s="1"/>
  <c r="AB891" i="1"/>
  <c r="AD891" i="1" s="1"/>
  <c r="AE891" i="1" s="1"/>
  <c r="AB890" i="1"/>
  <c r="AD890" i="1" s="1"/>
  <c r="AE890" i="1" s="1"/>
  <c r="AB889" i="1"/>
  <c r="AD889" i="1" s="1"/>
  <c r="AE889" i="1" s="1"/>
  <c r="AB888" i="1"/>
  <c r="AD888" i="1" s="1"/>
  <c r="AE888" i="1" s="1"/>
  <c r="AB887" i="1"/>
  <c r="AD887" i="1" s="1"/>
  <c r="AE887" i="1" s="1"/>
  <c r="AB886" i="1"/>
  <c r="AD886" i="1" s="1"/>
  <c r="AE886" i="1" s="1"/>
  <c r="AB885" i="1"/>
  <c r="AD885" i="1" s="1"/>
  <c r="AE885" i="1" s="1"/>
  <c r="AB884" i="1"/>
  <c r="AD884" i="1" s="1"/>
  <c r="AE884" i="1" s="1"/>
  <c r="AB883" i="1"/>
  <c r="AD883" i="1" s="1"/>
  <c r="AE883" i="1" s="1"/>
  <c r="AB882" i="1"/>
  <c r="AD882" i="1" s="1"/>
  <c r="AE882" i="1" s="1"/>
  <c r="AB881" i="1"/>
  <c r="AD881" i="1" s="1"/>
  <c r="AE881" i="1" s="1"/>
  <c r="AB880" i="1"/>
  <c r="AD880" i="1" s="1"/>
  <c r="AE880" i="1" s="1"/>
  <c r="AB879" i="1"/>
  <c r="AD879" i="1" s="1"/>
  <c r="AE879" i="1" s="1"/>
  <c r="AB878" i="1"/>
  <c r="AD878" i="1" s="1"/>
  <c r="AE878" i="1" s="1"/>
  <c r="AB877" i="1"/>
  <c r="AD877" i="1" s="1"/>
  <c r="AE877" i="1" s="1"/>
  <c r="AB876" i="1"/>
  <c r="AD876" i="1" s="1"/>
  <c r="AE876" i="1" s="1"/>
  <c r="AB875" i="1"/>
  <c r="AD875" i="1" s="1"/>
  <c r="AE875" i="1" s="1"/>
  <c r="AB874" i="1"/>
  <c r="AD874" i="1" s="1"/>
  <c r="AE874" i="1" s="1"/>
  <c r="AB873" i="1"/>
  <c r="AD873" i="1" s="1"/>
  <c r="AE873" i="1" s="1"/>
  <c r="AB872" i="1"/>
  <c r="AD872" i="1" s="1"/>
  <c r="AE872" i="1" s="1"/>
  <c r="AB871" i="1"/>
  <c r="AD871" i="1" s="1"/>
  <c r="AE871" i="1" s="1"/>
  <c r="AB870" i="1"/>
  <c r="AD870" i="1" s="1"/>
  <c r="AE870" i="1" s="1"/>
  <c r="AB869" i="1"/>
  <c r="AD869" i="1" s="1"/>
  <c r="AE869" i="1" s="1"/>
  <c r="AB868" i="1"/>
  <c r="AD868" i="1" s="1"/>
  <c r="AE868" i="1" s="1"/>
  <c r="AB867" i="1"/>
  <c r="AD867" i="1" s="1"/>
  <c r="AE867" i="1" s="1"/>
  <c r="AB866" i="1"/>
  <c r="AD866" i="1" s="1"/>
  <c r="AE866" i="1" s="1"/>
  <c r="AB865" i="1"/>
  <c r="AD865" i="1" s="1"/>
  <c r="AE865" i="1" s="1"/>
  <c r="AB864" i="1"/>
  <c r="AD864" i="1" s="1"/>
  <c r="AE864" i="1" s="1"/>
  <c r="AB863" i="1"/>
  <c r="AD863" i="1" s="1"/>
  <c r="AE863" i="1" s="1"/>
  <c r="AB862" i="1"/>
  <c r="AD862" i="1" s="1"/>
  <c r="AE862" i="1" s="1"/>
  <c r="AB861" i="1"/>
  <c r="AD861" i="1" s="1"/>
  <c r="AE861" i="1" s="1"/>
  <c r="AB860" i="1"/>
  <c r="AD860" i="1" s="1"/>
  <c r="AE860" i="1" s="1"/>
  <c r="AB859" i="1"/>
  <c r="AD859" i="1" s="1"/>
  <c r="AE859" i="1" s="1"/>
  <c r="AB858" i="1"/>
  <c r="AD858" i="1" s="1"/>
  <c r="AE858" i="1" s="1"/>
  <c r="AB857" i="1"/>
  <c r="AD857" i="1" s="1"/>
  <c r="AE857" i="1" s="1"/>
  <c r="AB856" i="1"/>
  <c r="AD856" i="1" s="1"/>
  <c r="AE856" i="1" s="1"/>
  <c r="AB855" i="1"/>
  <c r="AD855" i="1" s="1"/>
  <c r="AE855" i="1" s="1"/>
  <c r="AB854" i="1"/>
  <c r="AD854" i="1" s="1"/>
  <c r="AE854" i="1" s="1"/>
  <c r="AB853" i="1"/>
  <c r="AD853" i="1" s="1"/>
  <c r="AE853" i="1" s="1"/>
  <c r="AB852" i="1"/>
  <c r="AD852" i="1" s="1"/>
  <c r="AE852" i="1" s="1"/>
  <c r="AB851" i="1"/>
  <c r="AD851" i="1" s="1"/>
  <c r="AE851" i="1" s="1"/>
  <c r="AB850" i="1"/>
  <c r="AD850" i="1" s="1"/>
  <c r="AE850" i="1" s="1"/>
  <c r="AB849" i="1"/>
  <c r="AD849" i="1" s="1"/>
  <c r="AE849" i="1" s="1"/>
  <c r="AB848" i="1"/>
  <c r="AD848" i="1" s="1"/>
  <c r="AE848" i="1" s="1"/>
  <c r="AB847" i="1"/>
  <c r="AD847" i="1" s="1"/>
  <c r="AE847" i="1" s="1"/>
  <c r="AB846" i="1"/>
  <c r="AD846" i="1" s="1"/>
  <c r="AE846" i="1" s="1"/>
  <c r="AB845" i="1"/>
  <c r="AD845" i="1" s="1"/>
  <c r="AE845" i="1" s="1"/>
  <c r="AB844" i="1"/>
  <c r="AD844" i="1" s="1"/>
  <c r="AE844" i="1" s="1"/>
  <c r="AB843" i="1"/>
  <c r="AD843" i="1" s="1"/>
  <c r="AE843" i="1" s="1"/>
  <c r="AB842" i="1"/>
  <c r="AD842" i="1" s="1"/>
  <c r="AE842" i="1" s="1"/>
  <c r="AB841" i="1"/>
  <c r="AD841" i="1" s="1"/>
  <c r="AE841" i="1" s="1"/>
  <c r="AB840" i="1"/>
  <c r="AD840" i="1" s="1"/>
  <c r="AE840" i="1" s="1"/>
  <c r="AB839" i="1"/>
  <c r="AD839" i="1" s="1"/>
  <c r="AE839" i="1" s="1"/>
  <c r="AB838" i="1"/>
  <c r="AD838" i="1" s="1"/>
  <c r="AE838" i="1" s="1"/>
  <c r="AB837" i="1"/>
  <c r="AD837" i="1" s="1"/>
  <c r="AE837" i="1" s="1"/>
  <c r="AB836" i="1"/>
  <c r="AD836" i="1" s="1"/>
  <c r="AE836" i="1" s="1"/>
  <c r="AB835" i="1"/>
  <c r="AD835" i="1" s="1"/>
  <c r="AE835" i="1" s="1"/>
  <c r="AB834" i="1"/>
  <c r="AD834" i="1" s="1"/>
  <c r="AE834" i="1" s="1"/>
  <c r="AB802" i="1"/>
  <c r="AD802" i="1" s="1"/>
  <c r="AE802" i="1" s="1"/>
  <c r="AB801" i="1"/>
  <c r="AD801" i="1" s="1"/>
  <c r="AE801" i="1" s="1"/>
  <c r="AB800" i="1"/>
  <c r="AD800" i="1" s="1"/>
  <c r="AE800" i="1" s="1"/>
  <c r="AB799" i="1"/>
  <c r="AD799" i="1" s="1"/>
  <c r="AE799" i="1" s="1"/>
  <c r="AB798" i="1"/>
  <c r="AD798" i="1" s="1"/>
  <c r="AE798" i="1" s="1"/>
  <c r="AB797" i="1"/>
  <c r="AD797" i="1" s="1"/>
  <c r="AE797" i="1" s="1"/>
  <c r="AB796" i="1"/>
  <c r="AD796" i="1" s="1"/>
  <c r="AE796" i="1" s="1"/>
  <c r="AB795" i="1"/>
  <c r="AD795" i="1" s="1"/>
  <c r="AE795" i="1" s="1"/>
  <c r="AB794" i="1"/>
  <c r="AD794" i="1" s="1"/>
  <c r="AE794" i="1" s="1"/>
  <c r="AB793" i="1"/>
  <c r="AD793" i="1" s="1"/>
  <c r="AE793" i="1" s="1"/>
  <c r="AB792" i="1"/>
  <c r="AD792" i="1" s="1"/>
  <c r="AE792" i="1" s="1"/>
  <c r="AB791" i="1"/>
  <c r="AD791" i="1" s="1"/>
  <c r="AE791" i="1" s="1"/>
  <c r="AB790" i="1"/>
  <c r="AD790" i="1" s="1"/>
  <c r="AE790" i="1" s="1"/>
  <c r="AB789" i="1"/>
  <c r="AD789" i="1" s="1"/>
  <c r="AE789" i="1" s="1"/>
  <c r="AB788" i="1"/>
  <c r="AD788" i="1" s="1"/>
  <c r="AE788" i="1" s="1"/>
  <c r="AB787" i="1"/>
  <c r="AD787" i="1" s="1"/>
  <c r="AE787" i="1" s="1"/>
  <c r="AB786" i="1"/>
  <c r="AD786" i="1" s="1"/>
  <c r="AE786" i="1" s="1"/>
  <c r="AB785" i="1"/>
  <c r="AD785" i="1" s="1"/>
  <c r="AE785" i="1" s="1"/>
  <c r="AB784" i="1"/>
  <c r="AD784" i="1" s="1"/>
  <c r="AE784" i="1" s="1"/>
  <c r="AB783" i="1"/>
  <c r="AD783" i="1" s="1"/>
  <c r="AE783" i="1" s="1"/>
  <c r="AB782" i="1"/>
  <c r="AD782" i="1" s="1"/>
  <c r="AE782" i="1" s="1"/>
  <c r="AB781" i="1"/>
  <c r="AD781" i="1" s="1"/>
  <c r="AE781" i="1" s="1"/>
  <c r="AB780" i="1"/>
  <c r="AD780" i="1" s="1"/>
  <c r="AE780" i="1" s="1"/>
  <c r="AB779" i="1"/>
  <c r="AD779" i="1" s="1"/>
  <c r="AE779" i="1" s="1"/>
  <c r="AB778" i="1"/>
  <c r="AD778" i="1" s="1"/>
  <c r="AE778" i="1" s="1"/>
  <c r="AB777" i="1"/>
  <c r="AD777" i="1" s="1"/>
  <c r="AE777" i="1" s="1"/>
  <c r="AB776" i="1"/>
  <c r="AD776" i="1" s="1"/>
  <c r="AE776" i="1" s="1"/>
  <c r="AB775" i="1"/>
  <c r="AD775" i="1" s="1"/>
  <c r="AE775" i="1" s="1"/>
  <c r="AB774" i="1"/>
  <c r="AD774" i="1" s="1"/>
  <c r="AE774" i="1" s="1"/>
  <c r="AB742" i="1"/>
  <c r="AD742" i="1" s="1"/>
  <c r="AE742" i="1" s="1"/>
  <c r="AB741" i="1"/>
  <c r="AD741" i="1" s="1"/>
  <c r="AE741" i="1" s="1"/>
  <c r="AB740" i="1"/>
  <c r="AD740" i="1" s="1"/>
  <c r="AE740" i="1" s="1"/>
  <c r="AB739" i="1"/>
  <c r="AD739" i="1" s="1"/>
  <c r="AE739" i="1" s="1"/>
  <c r="AB738" i="1"/>
  <c r="AD738" i="1" s="1"/>
  <c r="AE738" i="1" s="1"/>
  <c r="AB737" i="1"/>
  <c r="AD737" i="1" s="1"/>
  <c r="AE737" i="1" s="1"/>
  <c r="AB736" i="1"/>
  <c r="AD736" i="1" s="1"/>
  <c r="AE736" i="1" s="1"/>
  <c r="AB735" i="1"/>
  <c r="AD735" i="1" s="1"/>
  <c r="AE735" i="1" s="1"/>
  <c r="AB734" i="1"/>
  <c r="AD734" i="1" s="1"/>
  <c r="AE734" i="1" s="1"/>
  <c r="AB733" i="1"/>
  <c r="AD733" i="1" s="1"/>
  <c r="AE733" i="1" s="1"/>
  <c r="AB732" i="1"/>
  <c r="AD732" i="1" s="1"/>
  <c r="AE732" i="1" s="1"/>
  <c r="AB731" i="1"/>
  <c r="AD731" i="1" s="1"/>
  <c r="AE731" i="1" s="1"/>
  <c r="AB730" i="1"/>
  <c r="AD730" i="1" s="1"/>
  <c r="AE730" i="1" s="1"/>
  <c r="AB729" i="1"/>
  <c r="AD729" i="1" s="1"/>
  <c r="AE729" i="1" s="1"/>
  <c r="AB728" i="1"/>
  <c r="AD728" i="1" s="1"/>
  <c r="AE728" i="1" s="1"/>
  <c r="AB727" i="1"/>
  <c r="AD727" i="1" s="1"/>
  <c r="AE727" i="1" s="1"/>
  <c r="AB726" i="1"/>
  <c r="AD726" i="1" s="1"/>
  <c r="AE726" i="1" s="1"/>
  <c r="AB725" i="1"/>
  <c r="AD725" i="1" s="1"/>
  <c r="AE725" i="1" s="1"/>
  <c r="AB724" i="1"/>
  <c r="AD724" i="1" s="1"/>
  <c r="AE724" i="1" s="1"/>
  <c r="AB723" i="1"/>
  <c r="AD723" i="1" s="1"/>
  <c r="AE723" i="1" s="1"/>
  <c r="AB722" i="1"/>
  <c r="AD722" i="1" s="1"/>
  <c r="AE722" i="1" s="1"/>
  <c r="AB721" i="1"/>
  <c r="AD721" i="1" s="1"/>
  <c r="AE721" i="1" s="1"/>
  <c r="AB720" i="1"/>
  <c r="AD720" i="1" s="1"/>
  <c r="AE720" i="1" s="1"/>
  <c r="AB719" i="1"/>
  <c r="AD719" i="1" s="1"/>
  <c r="AE719" i="1" s="1"/>
  <c r="AB718" i="1"/>
  <c r="AD718" i="1" s="1"/>
  <c r="AE718" i="1" s="1"/>
  <c r="AB717" i="1"/>
  <c r="AD717" i="1" s="1"/>
  <c r="AE717" i="1" s="1"/>
  <c r="AB716" i="1"/>
  <c r="AD716" i="1" s="1"/>
  <c r="AE716" i="1" s="1"/>
  <c r="AB715" i="1"/>
  <c r="AD715" i="1" s="1"/>
  <c r="AE715" i="1" s="1"/>
  <c r="AB714" i="1"/>
  <c r="AD714" i="1" s="1"/>
  <c r="AE714" i="1" s="1"/>
  <c r="AB713" i="1"/>
  <c r="AD713" i="1" s="1"/>
  <c r="AE713" i="1" s="1"/>
  <c r="AB712" i="1"/>
  <c r="AD712" i="1" s="1"/>
  <c r="AE712" i="1" s="1"/>
  <c r="AB711" i="1"/>
  <c r="AD711" i="1" s="1"/>
  <c r="AE711" i="1" s="1"/>
  <c r="AB710" i="1"/>
  <c r="AD710" i="1" s="1"/>
  <c r="AE710" i="1" s="1"/>
  <c r="AB709" i="1"/>
  <c r="AD709" i="1" s="1"/>
  <c r="AE709" i="1" s="1"/>
  <c r="AB708" i="1"/>
  <c r="AD708" i="1" s="1"/>
  <c r="AE708" i="1" s="1"/>
  <c r="AB707" i="1"/>
  <c r="AD707" i="1" s="1"/>
  <c r="AE707" i="1" s="1"/>
  <c r="AB625" i="1"/>
  <c r="AD625" i="1" s="1"/>
  <c r="AE625" i="1" s="1"/>
  <c r="AB624" i="1"/>
  <c r="AD624" i="1" s="1"/>
  <c r="AE624" i="1" s="1"/>
  <c r="AB623" i="1"/>
  <c r="AD623" i="1" s="1"/>
  <c r="AE623" i="1" s="1"/>
  <c r="AB622" i="1"/>
  <c r="AD622" i="1" s="1"/>
  <c r="AE622" i="1" s="1"/>
  <c r="AB621" i="1"/>
  <c r="AD621" i="1" s="1"/>
  <c r="AE621" i="1" s="1"/>
  <c r="AB620" i="1"/>
  <c r="AD620" i="1" s="1"/>
  <c r="AE620" i="1" s="1"/>
  <c r="AB619" i="1"/>
  <c r="AD619" i="1" s="1"/>
  <c r="AE619" i="1" s="1"/>
  <c r="AB618" i="1"/>
  <c r="AD618" i="1" s="1"/>
  <c r="AE618" i="1" s="1"/>
  <c r="AB617" i="1"/>
  <c r="AD617" i="1" s="1"/>
  <c r="AE617" i="1" s="1"/>
  <c r="AB616" i="1"/>
  <c r="AD616" i="1" s="1"/>
  <c r="AE616" i="1" s="1"/>
  <c r="AB615" i="1"/>
  <c r="AD615" i="1" s="1"/>
  <c r="AE615" i="1" s="1"/>
  <c r="AB614" i="1"/>
  <c r="AD614" i="1" s="1"/>
  <c r="AE614" i="1" s="1"/>
  <c r="AB613" i="1"/>
  <c r="AD613" i="1" s="1"/>
  <c r="AE613" i="1" s="1"/>
  <c r="AB612" i="1"/>
  <c r="AD612" i="1" s="1"/>
  <c r="AE612" i="1" s="1"/>
  <c r="AB611" i="1"/>
  <c r="AD611" i="1" s="1"/>
  <c r="AE611" i="1" s="1"/>
  <c r="AB610" i="1"/>
  <c r="AD610" i="1" s="1"/>
  <c r="AE610" i="1" s="1"/>
  <c r="AB609" i="1"/>
  <c r="AD609" i="1" s="1"/>
  <c r="AE609" i="1" s="1"/>
  <c r="AB608" i="1"/>
  <c r="AD608" i="1" s="1"/>
  <c r="AE608" i="1" s="1"/>
  <c r="AB607" i="1"/>
  <c r="AD607" i="1" s="1"/>
  <c r="AE607" i="1" s="1"/>
  <c r="AB606" i="1"/>
  <c r="AD606" i="1" s="1"/>
  <c r="AE606" i="1" s="1"/>
  <c r="AB605" i="1"/>
  <c r="AD605" i="1" s="1"/>
  <c r="AE605" i="1" s="1"/>
  <c r="AB604" i="1"/>
  <c r="AD604" i="1" s="1"/>
  <c r="AE604" i="1" s="1"/>
  <c r="AB603" i="1"/>
  <c r="AD603" i="1" s="1"/>
  <c r="AE603" i="1" s="1"/>
  <c r="AB602" i="1"/>
  <c r="AD602" i="1" s="1"/>
  <c r="AE602" i="1" s="1"/>
  <c r="AB601" i="1"/>
  <c r="AD601" i="1" s="1"/>
  <c r="AE601" i="1" s="1"/>
  <c r="AB600" i="1"/>
  <c r="AD600" i="1" s="1"/>
  <c r="AE600" i="1" s="1"/>
  <c r="AB599" i="1"/>
  <c r="AD599" i="1" s="1"/>
  <c r="AE599" i="1" s="1"/>
  <c r="AB598" i="1"/>
  <c r="AD598" i="1" s="1"/>
  <c r="AE598" i="1" s="1"/>
  <c r="AB597" i="1"/>
  <c r="AD597" i="1" s="1"/>
  <c r="AE597" i="1" s="1"/>
  <c r="AB596" i="1"/>
  <c r="AD596" i="1" s="1"/>
  <c r="AE596" i="1" s="1"/>
  <c r="AB595" i="1"/>
  <c r="AD595" i="1" s="1"/>
  <c r="AE595" i="1" s="1"/>
  <c r="AB594" i="1"/>
  <c r="AD594" i="1" s="1"/>
  <c r="AE594" i="1" s="1"/>
  <c r="AB593" i="1"/>
  <c r="AD593" i="1" s="1"/>
  <c r="AE593" i="1" s="1"/>
  <c r="AB592" i="1"/>
  <c r="AD592" i="1" s="1"/>
  <c r="AE592" i="1" s="1"/>
  <c r="AB591" i="1"/>
  <c r="AD591" i="1" s="1"/>
  <c r="AE591" i="1" s="1"/>
  <c r="AB590" i="1"/>
  <c r="AD590" i="1" s="1"/>
  <c r="AE590" i="1" s="1"/>
  <c r="AB589" i="1"/>
  <c r="AD589" i="1" s="1"/>
  <c r="AE589" i="1" s="1"/>
  <c r="AB588" i="1"/>
  <c r="AD588" i="1" s="1"/>
  <c r="AE588" i="1" s="1"/>
  <c r="AB587" i="1"/>
  <c r="AD587" i="1" s="1"/>
  <c r="AE587" i="1" s="1"/>
  <c r="AB575" i="1"/>
  <c r="AD575" i="1" s="1"/>
  <c r="AE575" i="1" s="1"/>
  <c r="AB574" i="1"/>
  <c r="AD574" i="1" s="1"/>
  <c r="AE574" i="1" s="1"/>
  <c r="AB573" i="1"/>
  <c r="AD573" i="1" s="1"/>
  <c r="AE573" i="1" s="1"/>
  <c r="AB572" i="1"/>
  <c r="AD572" i="1" s="1"/>
  <c r="AE572" i="1" s="1"/>
  <c r="AB571" i="1"/>
  <c r="AD571" i="1" s="1"/>
  <c r="AE571" i="1" s="1"/>
  <c r="AB570" i="1"/>
  <c r="AD570" i="1" s="1"/>
  <c r="AE570" i="1" s="1"/>
  <c r="AB569" i="1"/>
  <c r="AD569" i="1" s="1"/>
  <c r="AE569" i="1" s="1"/>
  <c r="AB568" i="1"/>
  <c r="AD568" i="1" s="1"/>
  <c r="AE568" i="1" s="1"/>
  <c r="AB567" i="1"/>
  <c r="AD567" i="1" s="1"/>
  <c r="AE567" i="1" s="1"/>
  <c r="AB566" i="1"/>
  <c r="AD566" i="1" s="1"/>
  <c r="AE566" i="1" s="1"/>
  <c r="AB565" i="1"/>
  <c r="AD565" i="1" s="1"/>
  <c r="AE565" i="1" s="1"/>
  <c r="AB564" i="1"/>
  <c r="AD564" i="1" s="1"/>
  <c r="AE564" i="1" s="1"/>
  <c r="AB533" i="1"/>
  <c r="AD533" i="1" s="1"/>
  <c r="AE533" i="1" s="1"/>
  <c r="AB532" i="1"/>
  <c r="AD532" i="1" s="1"/>
  <c r="AE532" i="1" s="1"/>
  <c r="AB531" i="1"/>
  <c r="AD531" i="1" s="1"/>
  <c r="AE531" i="1" s="1"/>
  <c r="AB530" i="1"/>
  <c r="AD530" i="1" s="1"/>
  <c r="AE530" i="1" s="1"/>
  <c r="AB529" i="1"/>
  <c r="AD529" i="1" s="1"/>
  <c r="AE529" i="1" s="1"/>
  <c r="AB528" i="1"/>
  <c r="AD528" i="1" s="1"/>
  <c r="AE528" i="1" s="1"/>
  <c r="AB527" i="1"/>
  <c r="AD527" i="1" s="1"/>
  <c r="AE527" i="1" s="1"/>
  <c r="AB526" i="1"/>
  <c r="AD526" i="1" s="1"/>
  <c r="AE526" i="1" s="1"/>
  <c r="AB525" i="1"/>
  <c r="AD525" i="1" s="1"/>
  <c r="AE525" i="1" s="1"/>
  <c r="AB524" i="1"/>
  <c r="AD524" i="1" s="1"/>
  <c r="AE524" i="1" s="1"/>
  <c r="AB523" i="1"/>
  <c r="AD523" i="1" s="1"/>
  <c r="AE523" i="1" s="1"/>
  <c r="AB522" i="1"/>
  <c r="AD522" i="1" s="1"/>
  <c r="AE522" i="1" s="1"/>
  <c r="AB521" i="1"/>
  <c r="AD521" i="1" s="1"/>
  <c r="AE521" i="1" s="1"/>
  <c r="AB520" i="1"/>
  <c r="AD520" i="1" s="1"/>
  <c r="AE520" i="1" s="1"/>
  <c r="AB519" i="1"/>
  <c r="AD519" i="1" s="1"/>
  <c r="AE519" i="1" s="1"/>
  <c r="AB518" i="1"/>
  <c r="AD518" i="1" s="1"/>
  <c r="AE518" i="1" s="1"/>
  <c r="AB517" i="1"/>
  <c r="AD517" i="1" s="1"/>
  <c r="AE517" i="1" s="1"/>
  <c r="AB516" i="1"/>
  <c r="AD516" i="1" s="1"/>
  <c r="AE516" i="1" s="1"/>
  <c r="AB515" i="1"/>
  <c r="AD515" i="1" s="1"/>
  <c r="AE515" i="1" s="1"/>
  <c r="AB514" i="1"/>
  <c r="AD514" i="1" s="1"/>
  <c r="AE514" i="1" s="1"/>
  <c r="AB513" i="1"/>
  <c r="AD513" i="1" s="1"/>
  <c r="AE513" i="1" s="1"/>
  <c r="AB512" i="1"/>
  <c r="AD512" i="1" s="1"/>
  <c r="AE512" i="1" s="1"/>
  <c r="AB511" i="1"/>
  <c r="AD511" i="1" s="1"/>
  <c r="AE511" i="1" s="1"/>
  <c r="AB510" i="1"/>
  <c r="AD510" i="1" s="1"/>
  <c r="AE510" i="1" s="1"/>
  <c r="AB499" i="1"/>
  <c r="AD499" i="1" s="1"/>
  <c r="AE499" i="1" s="1"/>
  <c r="AB498" i="1"/>
  <c r="AD498" i="1" s="1"/>
  <c r="AE498" i="1" s="1"/>
  <c r="AB497" i="1"/>
  <c r="AD497" i="1" s="1"/>
  <c r="AE497" i="1" s="1"/>
  <c r="AB496" i="1"/>
  <c r="AD496" i="1" s="1"/>
  <c r="AE496" i="1" s="1"/>
  <c r="AB495" i="1"/>
  <c r="AD495" i="1" s="1"/>
  <c r="AE495" i="1" s="1"/>
  <c r="AB494" i="1"/>
  <c r="AD494" i="1" s="1"/>
  <c r="AE494" i="1" s="1"/>
  <c r="AB493" i="1"/>
  <c r="AD493" i="1" s="1"/>
  <c r="AE493" i="1" s="1"/>
  <c r="AB492" i="1"/>
  <c r="AD492" i="1" s="1"/>
  <c r="AE492" i="1" s="1"/>
  <c r="AB491" i="1"/>
  <c r="AD491" i="1" s="1"/>
  <c r="AE491" i="1" s="1"/>
  <c r="AB490" i="1"/>
  <c r="AD490" i="1" s="1"/>
  <c r="AE490" i="1" s="1"/>
  <c r="AB489" i="1"/>
  <c r="AD489" i="1" s="1"/>
  <c r="AE489" i="1" s="1"/>
  <c r="AB488" i="1"/>
  <c r="AD488" i="1" s="1"/>
  <c r="AE488" i="1" s="1"/>
  <c r="AB487" i="1"/>
  <c r="AD487" i="1" s="1"/>
  <c r="AE487" i="1" s="1"/>
  <c r="AB486" i="1"/>
  <c r="AD486" i="1" s="1"/>
  <c r="AE486" i="1" s="1"/>
  <c r="AB485" i="1"/>
  <c r="AD485" i="1" s="1"/>
  <c r="AE485" i="1" s="1"/>
  <c r="AB484" i="1"/>
  <c r="AD484" i="1" s="1"/>
  <c r="AE484" i="1" s="1"/>
  <c r="AB483" i="1"/>
  <c r="AD483" i="1" s="1"/>
  <c r="AE483" i="1" s="1"/>
  <c r="AB482" i="1"/>
  <c r="AD482" i="1" s="1"/>
  <c r="AE482" i="1" s="1"/>
  <c r="AB481" i="1"/>
  <c r="AD481" i="1" s="1"/>
  <c r="AE481" i="1" s="1"/>
  <c r="AB480" i="1"/>
  <c r="AD480" i="1" s="1"/>
  <c r="AE480" i="1" s="1"/>
  <c r="AB458" i="1"/>
  <c r="AD458" i="1" s="1"/>
  <c r="AE458" i="1" s="1"/>
  <c r="AB457" i="1"/>
  <c r="AD457" i="1" s="1"/>
  <c r="AE457" i="1" s="1"/>
  <c r="AB456" i="1"/>
  <c r="AD456" i="1" s="1"/>
  <c r="AE456" i="1" s="1"/>
  <c r="AB455" i="1"/>
  <c r="AD455" i="1" s="1"/>
  <c r="AE455" i="1" s="1"/>
  <c r="AB454" i="1"/>
  <c r="AD454" i="1" s="1"/>
  <c r="AE454" i="1" s="1"/>
  <c r="AB453" i="1"/>
  <c r="AD453" i="1" s="1"/>
  <c r="AE453" i="1" s="1"/>
  <c r="AB452" i="1"/>
  <c r="AD452" i="1" s="1"/>
  <c r="AE452" i="1" s="1"/>
  <c r="AB451" i="1"/>
  <c r="AD451" i="1" s="1"/>
  <c r="AE451" i="1" s="1"/>
  <c r="AB450" i="1"/>
  <c r="AD450" i="1" s="1"/>
  <c r="AE450" i="1" s="1"/>
  <c r="AB449" i="1"/>
  <c r="AD449" i="1" s="1"/>
  <c r="AE449" i="1" s="1"/>
  <c r="AB448" i="1"/>
  <c r="AD448" i="1" s="1"/>
  <c r="AE448" i="1" s="1"/>
  <c r="AB447" i="1"/>
  <c r="AD447" i="1" s="1"/>
  <c r="AE447" i="1" s="1"/>
  <c r="AB446" i="1"/>
  <c r="AD446" i="1" s="1"/>
  <c r="AE446" i="1" s="1"/>
  <c r="AB445" i="1"/>
  <c r="AD445" i="1" s="1"/>
  <c r="AE445" i="1" s="1"/>
  <c r="AB444" i="1"/>
  <c r="AD444" i="1" s="1"/>
  <c r="AE444" i="1" s="1"/>
  <c r="AB443" i="1"/>
  <c r="AD443" i="1" s="1"/>
  <c r="AE443" i="1" s="1"/>
  <c r="AB442" i="1"/>
  <c r="AD442" i="1" s="1"/>
  <c r="AE442" i="1" s="1"/>
  <c r="AB441" i="1"/>
  <c r="AD441" i="1" s="1"/>
  <c r="AE441" i="1" s="1"/>
  <c r="AB440" i="1"/>
  <c r="AD440" i="1" s="1"/>
  <c r="AE440" i="1" s="1"/>
  <c r="AB439" i="1"/>
  <c r="AD439" i="1" s="1"/>
  <c r="AE439" i="1" s="1"/>
  <c r="AB438" i="1"/>
  <c r="AD438" i="1" s="1"/>
  <c r="AE438" i="1" s="1"/>
  <c r="AB437" i="1"/>
  <c r="AD437" i="1" s="1"/>
  <c r="AE437" i="1" s="1"/>
  <c r="AB436" i="1"/>
  <c r="AD436" i="1" s="1"/>
  <c r="AE436" i="1" s="1"/>
  <c r="AB435" i="1"/>
  <c r="AD435" i="1" s="1"/>
  <c r="AE435" i="1" s="1"/>
  <c r="AB434" i="1"/>
  <c r="AD434" i="1" s="1"/>
  <c r="AE434" i="1" s="1"/>
  <c r="AB433" i="1"/>
  <c r="AD433" i="1" s="1"/>
  <c r="AE433" i="1" s="1"/>
  <c r="AB432" i="1"/>
  <c r="AD432" i="1" s="1"/>
  <c r="AE432" i="1" s="1"/>
  <c r="AB431" i="1"/>
  <c r="AD431" i="1" s="1"/>
  <c r="AE431" i="1" s="1"/>
  <c r="AB430" i="1"/>
  <c r="AD430" i="1" s="1"/>
  <c r="AE430" i="1" s="1"/>
  <c r="AB429" i="1"/>
  <c r="AD429" i="1" s="1"/>
  <c r="AE429" i="1" s="1"/>
  <c r="AB428" i="1"/>
  <c r="AD428" i="1" s="1"/>
  <c r="AE428" i="1" s="1"/>
  <c r="AB427" i="1"/>
  <c r="AD427" i="1" s="1"/>
  <c r="AE427" i="1" s="1"/>
  <c r="AB426" i="1"/>
  <c r="AD426" i="1" s="1"/>
  <c r="AE426" i="1" s="1"/>
  <c r="AB425" i="1"/>
  <c r="AD425" i="1" s="1"/>
  <c r="AE425" i="1" s="1"/>
  <c r="AB424" i="1"/>
  <c r="AD424" i="1" s="1"/>
  <c r="AE424" i="1" s="1"/>
  <c r="AB423" i="1"/>
  <c r="AD423" i="1" s="1"/>
  <c r="AE423" i="1" s="1"/>
  <c r="AB422" i="1"/>
  <c r="AD422" i="1" s="1"/>
  <c r="AE422" i="1" s="1"/>
  <c r="AB421" i="1"/>
  <c r="AD421" i="1" s="1"/>
  <c r="AE421" i="1" s="1"/>
  <c r="AB420" i="1"/>
  <c r="AD420" i="1" s="1"/>
  <c r="AE420" i="1" s="1"/>
  <c r="AB419" i="1"/>
  <c r="AD419" i="1" s="1"/>
  <c r="AE419" i="1" s="1"/>
  <c r="AB418" i="1"/>
  <c r="AD418" i="1" s="1"/>
  <c r="AE418" i="1" s="1"/>
  <c r="AB372" i="1"/>
  <c r="AD372" i="1" s="1"/>
  <c r="AE372" i="1" s="1"/>
  <c r="AB371" i="1"/>
  <c r="AD371" i="1" s="1"/>
  <c r="AE371" i="1" s="1"/>
  <c r="AB370" i="1"/>
  <c r="AD370" i="1" s="1"/>
  <c r="AE370" i="1" s="1"/>
  <c r="AB369" i="1"/>
  <c r="AD369" i="1" s="1"/>
  <c r="AE369" i="1" s="1"/>
  <c r="AB368" i="1"/>
  <c r="AD368" i="1" s="1"/>
  <c r="AE368" i="1" s="1"/>
  <c r="AB367" i="1"/>
  <c r="AD367" i="1" s="1"/>
  <c r="AE367" i="1" s="1"/>
  <c r="AB366" i="1"/>
  <c r="AD366" i="1" s="1"/>
  <c r="AE366" i="1" s="1"/>
  <c r="AB365" i="1"/>
  <c r="AD365" i="1" s="1"/>
  <c r="AE365" i="1" s="1"/>
  <c r="AB364" i="1"/>
  <c r="AD364" i="1" s="1"/>
  <c r="AE364" i="1" s="1"/>
  <c r="AB354" i="1"/>
  <c r="AD354" i="1" s="1"/>
  <c r="AE354" i="1" s="1"/>
  <c r="AB353" i="1"/>
  <c r="AD353" i="1" s="1"/>
  <c r="AE353" i="1" s="1"/>
  <c r="AB352" i="1"/>
  <c r="AD352" i="1" s="1"/>
  <c r="AE352" i="1" s="1"/>
  <c r="AB351" i="1"/>
  <c r="AD351" i="1" s="1"/>
  <c r="AE351" i="1" s="1"/>
  <c r="AB350" i="1"/>
  <c r="AD350" i="1" s="1"/>
  <c r="AE350" i="1" s="1"/>
  <c r="AB349" i="1"/>
  <c r="AD349" i="1" s="1"/>
  <c r="AE349" i="1" s="1"/>
  <c r="AB348" i="1"/>
  <c r="AD348" i="1" s="1"/>
  <c r="AE348" i="1" s="1"/>
  <c r="AB347" i="1"/>
  <c r="AD347" i="1" s="1"/>
  <c r="AE347" i="1" s="1"/>
  <c r="AB346" i="1"/>
  <c r="AD346" i="1" s="1"/>
  <c r="AE346" i="1" s="1"/>
  <c r="AB336" i="1"/>
  <c r="AD336" i="1" s="1"/>
  <c r="AE336" i="1" s="1"/>
  <c r="AB335" i="1"/>
  <c r="AD335" i="1" s="1"/>
  <c r="AE335" i="1" s="1"/>
  <c r="AB334" i="1"/>
  <c r="AD334" i="1" s="1"/>
  <c r="AE334" i="1" s="1"/>
  <c r="AB333" i="1"/>
  <c r="AD333" i="1" s="1"/>
  <c r="AE333" i="1" s="1"/>
  <c r="AB332" i="1"/>
  <c r="AD332" i="1" s="1"/>
  <c r="AE332" i="1" s="1"/>
  <c r="AB331" i="1"/>
  <c r="AD331" i="1" s="1"/>
  <c r="AE331" i="1" s="1"/>
  <c r="AB330" i="1"/>
  <c r="AD330" i="1" s="1"/>
  <c r="AE330" i="1" s="1"/>
  <c r="AB329" i="1"/>
  <c r="AD329" i="1" s="1"/>
  <c r="AE329" i="1" s="1"/>
  <c r="AB319" i="1"/>
  <c r="AD319" i="1" s="1"/>
  <c r="AE319" i="1" s="1"/>
  <c r="AB317" i="1"/>
  <c r="AD317" i="1" s="1"/>
  <c r="AE317" i="1" s="1"/>
  <c r="AB315" i="1"/>
  <c r="AD315" i="1" s="1"/>
  <c r="AE315" i="1" s="1"/>
  <c r="AB313" i="1"/>
  <c r="AD313" i="1" s="1"/>
  <c r="AE313" i="1" s="1"/>
  <c r="AB310" i="1"/>
  <c r="AD310" i="1" s="1"/>
  <c r="AE310" i="1" s="1"/>
  <c r="AB307" i="1"/>
  <c r="AD307" i="1" s="1"/>
  <c r="AE307" i="1" s="1"/>
  <c r="AB304" i="1"/>
  <c r="AD304" i="1" s="1"/>
  <c r="AE304" i="1" s="1"/>
  <c r="AB302" i="1"/>
  <c r="AD302" i="1" s="1"/>
  <c r="AE302" i="1" s="1"/>
  <c r="AB300" i="1"/>
  <c r="AD300" i="1" s="1"/>
  <c r="AE300" i="1" s="1"/>
  <c r="AB297" i="1"/>
  <c r="AD297" i="1" s="1"/>
  <c r="AE297" i="1" s="1"/>
  <c r="AB295" i="1"/>
  <c r="AD295" i="1" s="1"/>
  <c r="AE295" i="1" s="1"/>
  <c r="AB293" i="1"/>
  <c r="AD293" i="1" s="1"/>
  <c r="AE293" i="1" s="1"/>
  <c r="AB291" i="1"/>
  <c r="AD291" i="1" s="1"/>
  <c r="AE291" i="1" s="1"/>
  <c r="AB289" i="1"/>
  <c r="AD289" i="1" s="1"/>
  <c r="AE289" i="1" s="1"/>
  <c r="AB286" i="1"/>
  <c r="AD286" i="1" s="1"/>
  <c r="AE286" i="1" s="1"/>
  <c r="AB283" i="1"/>
  <c r="AD283" i="1" s="1"/>
  <c r="AE283" i="1" s="1"/>
  <c r="AB281" i="1"/>
  <c r="AD281" i="1" s="1"/>
  <c r="AE281" i="1" s="1"/>
  <c r="AB278" i="1"/>
  <c r="AD278" i="1" s="1"/>
  <c r="AE278" i="1" s="1"/>
  <c r="AB276" i="1"/>
  <c r="AD276" i="1" s="1"/>
  <c r="AE276" i="1" s="1"/>
  <c r="AB274" i="1"/>
  <c r="AD274" i="1" s="1"/>
  <c r="AE274" i="1" s="1"/>
  <c r="AB271" i="1"/>
  <c r="AD271" i="1" s="1"/>
  <c r="AE271" i="1" s="1"/>
  <c r="AB269" i="1"/>
  <c r="AD269" i="1" s="1"/>
  <c r="AE269" i="1" s="1"/>
  <c r="AB267" i="1"/>
  <c r="AD267" i="1" s="1"/>
  <c r="AE267" i="1" s="1"/>
  <c r="AB265" i="1"/>
  <c r="AD265" i="1" s="1"/>
  <c r="AE265" i="1" s="1"/>
  <c r="AB262" i="1"/>
  <c r="AD262" i="1" s="1"/>
  <c r="AE262" i="1" s="1"/>
  <c r="AB260" i="1"/>
  <c r="AD260" i="1" s="1"/>
  <c r="AE260" i="1" s="1"/>
  <c r="AB258" i="1"/>
  <c r="AD258" i="1" s="1"/>
  <c r="AE258" i="1" s="1"/>
  <c r="AB255" i="1"/>
  <c r="AD255" i="1" s="1"/>
  <c r="AE255" i="1" s="1"/>
  <c r="AB252" i="1"/>
  <c r="AD252" i="1" s="1"/>
  <c r="AE252" i="1" s="1"/>
  <c r="AB250" i="1"/>
  <c r="AD250" i="1" s="1"/>
  <c r="AE250" i="1" s="1"/>
  <c r="AB248" i="1"/>
  <c r="AD248" i="1" s="1"/>
  <c r="AE248" i="1" s="1"/>
  <c r="AB246" i="1"/>
  <c r="AD246" i="1" s="1"/>
  <c r="AE246" i="1" s="1"/>
  <c r="AB244" i="1"/>
  <c r="AD244" i="1" s="1"/>
  <c r="AE244" i="1" s="1"/>
  <c r="AB241" i="1"/>
  <c r="AD241" i="1" s="1"/>
  <c r="AE241" i="1" s="1"/>
  <c r="AB239" i="1"/>
  <c r="AD239" i="1" s="1"/>
  <c r="AE239" i="1" s="1"/>
  <c r="AB237" i="1"/>
  <c r="AD237" i="1" s="1"/>
  <c r="AE237" i="1" s="1"/>
  <c r="AB234" i="1"/>
  <c r="AD234" i="1" s="1"/>
  <c r="AE234" i="1" s="1"/>
  <c r="AB231" i="1"/>
  <c r="AD231" i="1" s="1"/>
  <c r="AE231" i="1" s="1"/>
  <c r="AB228" i="1"/>
  <c r="AD228" i="1" s="1"/>
  <c r="AE228" i="1" s="1"/>
  <c r="AB225" i="1"/>
  <c r="AD225" i="1" s="1"/>
  <c r="AE225" i="1" s="1"/>
  <c r="AB222" i="1"/>
  <c r="AD222" i="1" s="1"/>
  <c r="AE222" i="1" s="1"/>
  <c r="AB219" i="1"/>
  <c r="AD219" i="1" s="1"/>
  <c r="AE219" i="1" s="1"/>
  <c r="AB217" i="1"/>
  <c r="AD217" i="1" s="1"/>
  <c r="AE217" i="1" s="1"/>
  <c r="AB215" i="1"/>
  <c r="AD215" i="1" s="1"/>
  <c r="AE215" i="1" s="1"/>
  <c r="AB213" i="1"/>
  <c r="AD213" i="1" s="1"/>
  <c r="AE213" i="1" s="1"/>
  <c r="AB210" i="1"/>
  <c r="AD210" i="1" s="1"/>
  <c r="AE210" i="1" s="1"/>
  <c r="AB208" i="1"/>
  <c r="AD208" i="1" s="1"/>
  <c r="AE208" i="1" s="1"/>
  <c r="AB206" i="1"/>
  <c r="AD206" i="1" s="1"/>
  <c r="AE206" i="1" s="1"/>
  <c r="AB204" i="1"/>
  <c r="AD204" i="1" s="1"/>
  <c r="AE204" i="1" s="1"/>
  <c r="AB201" i="1"/>
  <c r="AD201" i="1" s="1"/>
  <c r="AE201" i="1" s="1"/>
  <c r="AB198" i="1"/>
  <c r="AD198" i="1" s="1"/>
  <c r="AE198" i="1" s="1"/>
  <c r="AB196" i="1"/>
  <c r="AD196" i="1" s="1"/>
  <c r="AE196" i="1" s="1"/>
  <c r="AB193" i="1"/>
  <c r="AD193" i="1" s="1"/>
  <c r="AE193" i="1" s="1"/>
  <c r="AB191" i="1"/>
  <c r="AD191" i="1" s="1"/>
  <c r="AE191" i="1" s="1"/>
  <c r="AB188" i="1"/>
  <c r="AD188" i="1" s="1"/>
  <c r="AE188" i="1" s="1"/>
  <c r="AB186" i="1"/>
  <c r="AD186" i="1" s="1"/>
  <c r="AE186" i="1" s="1"/>
  <c r="AB184" i="1"/>
  <c r="AD184" i="1" s="1"/>
  <c r="AE184" i="1" s="1"/>
  <c r="AB181" i="1"/>
  <c r="AD181" i="1" s="1"/>
  <c r="AE181" i="1" s="1"/>
  <c r="AB179" i="1"/>
  <c r="AD179" i="1" s="1"/>
  <c r="AE179" i="1" s="1"/>
  <c r="AB177" i="1"/>
  <c r="AD177" i="1" s="1"/>
  <c r="AE177" i="1" s="1"/>
  <c r="AB174" i="1"/>
  <c r="AD174" i="1" s="1"/>
  <c r="AE174" i="1" s="1"/>
  <c r="AB172" i="1"/>
  <c r="AD172" i="1" s="1"/>
  <c r="AE172" i="1" s="1"/>
  <c r="AB170" i="1"/>
  <c r="AD170" i="1" s="1"/>
  <c r="AE170" i="1" s="1"/>
  <c r="AB167" i="1"/>
  <c r="AD167" i="1" s="1"/>
  <c r="AE167" i="1" s="1"/>
  <c r="AB165" i="1"/>
  <c r="AD165" i="1" s="1"/>
  <c r="AE165" i="1" s="1"/>
  <c r="AB163" i="1"/>
  <c r="AD163" i="1" s="1"/>
  <c r="AE163" i="1" s="1"/>
  <c r="AB160" i="1"/>
  <c r="AD160" i="1" s="1"/>
  <c r="AE160" i="1" s="1"/>
  <c r="AB157" i="1"/>
  <c r="AD157" i="1" s="1"/>
  <c r="AE157" i="1" s="1"/>
  <c r="AB154" i="1"/>
  <c r="AD154" i="1" s="1"/>
  <c r="AE154" i="1" s="1"/>
  <c r="AB152" i="1"/>
  <c r="AD152" i="1" s="1"/>
  <c r="AE152" i="1" s="1"/>
  <c r="AB149" i="1"/>
  <c r="AD149" i="1" s="1"/>
  <c r="AE149" i="1" s="1"/>
  <c r="AB146" i="1"/>
  <c r="AD146" i="1" s="1"/>
  <c r="AE146" i="1" s="1"/>
  <c r="AB144" i="1"/>
  <c r="AD144" i="1" s="1"/>
  <c r="AE144" i="1" s="1"/>
  <c r="AB141" i="1"/>
  <c r="AD141" i="1" s="1"/>
  <c r="AE141" i="1" s="1"/>
  <c r="AB138" i="1"/>
  <c r="AD138" i="1" s="1"/>
  <c r="AE138" i="1" s="1"/>
  <c r="AB136" i="1"/>
  <c r="AD136" i="1" s="1"/>
  <c r="AE136" i="1" s="1"/>
  <c r="AB134" i="1"/>
  <c r="AD134" i="1" s="1"/>
  <c r="AE134" i="1" s="1"/>
  <c r="AB132" i="1"/>
  <c r="AD132" i="1" s="1"/>
  <c r="AE132" i="1" s="1"/>
  <c r="AB130" i="1"/>
  <c r="AD130" i="1" s="1"/>
  <c r="AE130" i="1" s="1"/>
  <c r="AB127" i="1"/>
  <c r="AD127" i="1" s="1"/>
  <c r="AE127" i="1" s="1"/>
  <c r="AB124" i="1"/>
  <c r="AD124" i="1" s="1"/>
  <c r="AE124" i="1" s="1"/>
  <c r="AB122" i="1"/>
  <c r="AD122" i="1" s="1"/>
  <c r="AE122" i="1" s="1"/>
  <c r="AB120" i="1"/>
  <c r="AD120" i="1" s="1"/>
  <c r="AE120" i="1" s="1"/>
  <c r="AB118" i="1"/>
  <c r="AD118" i="1" s="1"/>
  <c r="AE118" i="1" s="1"/>
  <c r="AB116" i="1"/>
  <c r="AD116" i="1" s="1"/>
  <c r="AE116" i="1" s="1"/>
  <c r="AB114" i="1"/>
  <c r="AD114" i="1" s="1"/>
  <c r="AE114" i="1" s="1"/>
  <c r="AB111" i="1"/>
  <c r="AD111" i="1" s="1"/>
  <c r="AE111" i="1" s="1"/>
  <c r="AB108" i="1"/>
  <c r="AD108" i="1" s="1"/>
  <c r="AE108" i="1" s="1"/>
  <c r="AB105" i="1"/>
  <c r="AD105" i="1" s="1"/>
  <c r="AE105" i="1" s="1"/>
  <c r="AB102" i="1"/>
  <c r="AD102" i="1" s="1"/>
  <c r="AE102" i="1" s="1"/>
  <c r="AB100" i="1"/>
  <c r="AD100" i="1" s="1"/>
  <c r="AE100" i="1" s="1"/>
  <c r="AB98" i="1"/>
  <c r="AD98" i="1" s="1"/>
  <c r="AE98" i="1" s="1"/>
  <c r="AB95" i="1"/>
  <c r="AD95" i="1" s="1"/>
  <c r="AE95" i="1" s="1"/>
  <c r="AB92" i="1"/>
  <c r="AD92" i="1" s="1"/>
  <c r="AE92" i="1" s="1"/>
  <c r="AB90" i="1"/>
  <c r="AD90" i="1" s="1"/>
  <c r="AE90" i="1" s="1"/>
  <c r="AB87" i="1"/>
  <c r="AD87" i="1" s="1"/>
  <c r="AE87" i="1" s="1"/>
  <c r="AB85" i="1"/>
  <c r="AD85" i="1" s="1"/>
  <c r="AE85" i="1" s="1"/>
  <c r="AB82" i="1"/>
  <c r="AD82" i="1" s="1"/>
  <c r="AE82" i="1" s="1"/>
  <c r="AB79" i="1"/>
  <c r="AD79" i="1" s="1"/>
  <c r="AE79" i="1" s="1"/>
  <c r="AB76" i="1"/>
  <c r="AD76" i="1" s="1"/>
  <c r="AE76" i="1" s="1"/>
  <c r="AB74" i="1"/>
  <c r="AD74" i="1" s="1"/>
  <c r="AE74" i="1" s="1"/>
  <c r="AB71" i="1"/>
  <c r="AD71" i="1" s="1"/>
  <c r="AE71" i="1" s="1"/>
  <c r="AB68" i="1"/>
  <c r="AD68" i="1" s="1"/>
  <c r="AE68" i="1" s="1"/>
  <c r="AB66" i="1"/>
  <c r="AD66" i="1" s="1"/>
  <c r="AE66" i="1" s="1"/>
  <c r="AB64" i="1"/>
  <c r="AD64" i="1" s="1"/>
  <c r="AE64" i="1" s="1"/>
  <c r="AB61" i="1"/>
  <c r="AD61" i="1" s="1"/>
  <c r="AE61" i="1" s="1"/>
  <c r="AB59" i="1"/>
  <c r="AD59" i="1" s="1"/>
  <c r="AE59" i="1" s="1"/>
  <c r="AB56" i="1"/>
  <c r="AD56" i="1" s="1"/>
  <c r="AE56" i="1" s="1"/>
  <c r="AB54" i="1"/>
  <c r="AD54" i="1" s="1"/>
  <c r="AE54" i="1" s="1"/>
  <c r="AB51" i="1"/>
  <c r="AD51" i="1" s="1"/>
  <c r="AE51" i="1" s="1"/>
  <c r="AB38" i="1"/>
  <c r="AD38" i="1" s="1"/>
  <c r="AE38" i="1" s="1"/>
  <c r="AB36" i="1"/>
  <c r="AD36" i="1" s="1"/>
  <c r="AE36" i="1" s="1"/>
  <c r="AB33" i="1"/>
  <c r="AD33" i="1" s="1"/>
  <c r="AE33" i="1" s="1"/>
  <c r="AB30" i="1"/>
  <c r="AD30" i="1" s="1"/>
  <c r="AE30" i="1" s="1"/>
  <c r="AB28" i="1"/>
  <c r="AD28" i="1" s="1"/>
  <c r="AE28" i="1" s="1"/>
  <c r="AB25" i="1"/>
  <c r="AD25" i="1" s="1"/>
  <c r="AE25" i="1" s="1"/>
  <c r="AB23" i="1"/>
  <c r="AD23" i="1" s="1"/>
  <c r="AE23" i="1" s="1"/>
  <c r="AB21" i="1"/>
  <c r="AD21" i="1" s="1"/>
  <c r="AE21" i="1" s="1"/>
  <c r="AB19" i="1"/>
  <c r="AD19" i="1" s="1"/>
  <c r="AE19" i="1" s="1"/>
  <c r="AB16" i="1"/>
  <c r="AD16" i="1" s="1"/>
  <c r="AE16" i="1" s="1"/>
  <c r="R1072" i="1"/>
  <c r="R1061" i="1"/>
  <c r="R1000" i="1"/>
  <c r="R989" i="1"/>
  <c r="R653" i="1"/>
  <c r="R412" i="1"/>
  <c r="R269" i="1"/>
  <c r="R268" i="1"/>
  <c r="R243" i="1"/>
  <c r="R242" i="1"/>
  <c r="R170" i="1"/>
  <c r="R151" i="1"/>
  <c r="R78" i="1"/>
  <c r="R77" i="1"/>
  <c r="R72" i="1"/>
  <c r="R36" i="1"/>
  <c r="R30" i="1"/>
  <c r="R29" i="1"/>
  <c r="R24" i="1"/>
  <c r="R5" i="1"/>
  <c r="R1091" i="1"/>
  <c r="R880" i="1"/>
  <c r="R508" i="1"/>
  <c r="R1012" i="1"/>
  <c r="R11" i="1"/>
  <c r="R10" i="1"/>
  <c r="R6" i="1"/>
  <c r="R84" i="1" l="1"/>
  <c r="R438" i="1"/>
  <c r="R134" i="1"/>
  <c r="R439" i="1"/>
  <c r="R413" i="1"/>
  <c r="R135" i="1"/>
  <c r="R605" i="1"/>
  <c r="R150" i="1"/>
  <c r="R607" i="1"/>
  <c r="R655" i="1"/>
  <c r="R42" i="1"/>
  <c r="R90" i="1"/>
  <c r="R171" i="1"/>
  <c r="R295" i="1"/>
  <c r="R472" i="1"/>
  <c r="R712" i="1"/>
  <c r="R48" i="1"/>
  <c r="R96" i="1"/>
  <c r="R186" i="1"/>
  <c r="R327" i="1"/>
  <c r="R497" i="1"/>
  <c r="R773" i="1"/>
  <c r="R471" i="1"/>
  <c r="R187" i="1"/>
  <c r="R784" i="1"/>
  <c r="R54" i="1"/>
  <c r="R845" i="1"/>
  <c r="R60" i="1"/>
  <c r="R108" i="1"/>
  <c r="R207" i="1"/>
  <c r="R354" i="1"/>
  <c r="R533" i="1"/>
  <c r="R856" i="1"/>
  <c r="R1092" i="1"/>
  <c r="R89" i="1"/>
  <c r="R294" i="1"/>
  <c r="R101" i="1"/>
  <c r="R328" i="1"/>
  <c r="R102" i="1"/>
  <c r="R353" i="1"/>
  <c r="R17" i="1"/>
  <c r="R65" i="1"/>
  <c r="R114" i="1"/>
  <c r="R222" i="1"/>
  <c r="R379" i="1"/>
  <c r="R568" i="1"/>
  <c r="R917" i="1"/>
  <c r="R41" i="1"/>
  <c r="R701" i="1"/>
  <c r="R53" i="1"/>
  <c r="R498" i="1"/>
  <c r="R206" i="1"/>
  <c r="R532" i="1"/>
  <c r="R18" i="1"/>
  <c r="R66" i="1"/>
  <c r="R115" i="1"/>
  <c r="R223" i="1"/>
  <c r="R387" i="1"/>
  <c r="R569" i="1"/>
  <c r="R928" i="1"/>
  <c r="R1103" i="1"/>
  <c r="R1102" i="1"/>
  <c r="R3" i="1"/>
  <c r="R15" i="1"/>
  <c r="R27" i="1"/>
  <c r="R39" i="1"/>
  <c r="R51" i="1"/>
  <c r="R63" i="1"/>
  <c r="R75" i="1"/>
  <c r="R87" i="1"/>
  <c r="R99" i="1"/>
  <c r="R112" i="1"/>
  <c r="R129" i="1"/>
  <c r="R148" i="1"/>
  <c r="R165" i="1"/>
  <c r="R184" i="1"/>
  <c r="R201" i="1"/>
  <c r="R220" i="1"/>
  <c r="R237" i="1"/>
  <c r="R259" i="1"/>
  <c r="R292" i="1"/>
  <c r="R318" i="1"/>
  <c r="R351" i="1"/>
  <c r="R377" i="1"/>
  <c r="R403" i="1"/>
  <c r="R436" i="1"/>
  <c r="R462" i="1"/>
  <c r="R495" i="1"/>
  <c r="R522" i="1"/>
  <c r="R558" i="1"/>
  <c r="R595" i="1"/>
  <c r="R643" i="1"/>
  <c r="R691" i="1"/>
  <c r="R761" i="1"/>
  <c r="R833" i="1"/>
  <c r="R905" i="1"/>
  <c r="R977" i="1"/>
  <c r="R1049" i="1"/>
  <c r="R4" i="1"/>
  <c r="R16" i="1"/>
  <c r="R28" i="1"/>
  <c r="R40" i="1"/>
  <c r="R52" i="1"/>
  <c r="R64" i="1"/>
  <c r="R76" i="1"/>
  <c r="R88" i="1"/>
  <c r="R100" i="1"/>
  <c r="R113" i="1"/>
  <c r="R132" i="1"/>
  <c r="R149" i="1"/>
  <c r="R168" i="1"/>
  <c r="R185" i="1"/>
  <c r="R204" i="1"/>
  <c r="R221" i="1"/>
  <c r="R240" i="1"/>
  <c r="R267" i="1"/>
  <c r="R293" i="1"/>
  <c r="R319" i="1"/>
  <c r="R352" i="1"/>
  <c r="R378" i="1"/>
  <c r="R411" i="1"/>
  <c r="R437" i="1"/>
  <c r="R463" i="1"/>
  <c r="R496" i="1"/>
  <c r="R523" i="1"/>
  <c r="R559" i="1"/>
  <c r="R604" i="1"/>
  <c r="R652" i="1"/>
  <c r="R700" i="1"/>
  <c r="R772" i="1"/>
  <c r="R844" i="1"/>
  <c r="R916" i="1"/>
  <c r="R988" i="1"/>
  <c r="R1060" i="1"/>
  <c r="R7" i="1"/>
  <c r="R19" i="1"/>
  <c r="R31" i="1"/>
  <c r="R43" i="1"/>
  <c r="R55" i="1"/>
  <c r="R67" i="1"/>
  <c r="R79" i="1"/>
  <c r="R91" i="1"/>
  <c r="R103" i="1"/>
  <c r="R117" i="1"/>
  <c r="R136" i="1"/>
  <c r="R153" i="1"/>
  <c r="R172" i="1"/>
  <c r="R189" i="1"/>
  <c r="R208" i="1"/>
  <c r="R225" i="1"/>
  <c r="R244" i="1"/>
  <c r="R270" i="1"/>
  <c r="R303" i="1"/>
  <c r="R329" i="1"/>
  <c r="R355" i="1"/>
  <c r="R388" i="1"/>
  <c r="R414" i="1"/>
  <c r="R447" i="1"/>
  <c r="R473" i="1"/>
  <c r="R499" i="1"/>
  <c r="R534" i="1"/>
  <c r="R570" i="1"/>
  <c r="R616" i="1"/>
  <c r="R664" i="1"/>
  <c r="R713" i="1"/>
  <c r="R785" i="1"/>
  <c r="R857" i="1"/>
  <c r="R929" i="1"/>
  <c r="R1001" i="1"/>
  <c r="R1073" i="1"/>
  <c r="R8" i="1"/>
  <c r="R20" i="1"/>
  <c r="R32" i="1"/>
  <c r="R44" i="1"/>
  <c r="R56" i="1"/>
  <c r="R68" i="1"/>
  <c r="R80" i="1"/>
  <c r="R92" i="1"/>
  <c r="R104" i="1"/>
  <c r="R120" i="1"/>
  <c r="R137" i="1"/>
  <c r="R156" i="1"/>
  <c r="R173" i="1"/>
  <c r="R192" i="1"/>
  <c r="R209" i="1"/>
  <c r="R228" i="1"/>
  <c r="R245" i="1"/>
  <c r="R271" i="1"/>
  <c r="R304" i="1"/>
  <c r="R330" i="1"/>
  <c r="R363" i="1"/>
  <c r="R389" i="1"/>
  <c r="R415" i="1"/>
  <c r="R448" i="1"/>
  <c r="R474" i="1"/>
  <c r="R507" i="1"/>
  <c r="R535" i="1"/>
  <c r="R571" i="1"/>
  <c r="R617" i="1"/>
  <c r="R665" i="1"/>
  <c r="R724" i="1"/>
  <c r="R796" i="1"/>
  <c r="R868" i="1"/>
  <c r="R940" i="1"/>
  <c r="R1100" i="1"/>
  <c r="R1039" i="1"/>
  <c r="R1027" i="1"/>
  <c r="R1015" i="1"/>
  <c r="R1003" i="1"/>
  <c r="R991" i="1"/>
  <c r="R979" i="1"/>
  <c r="R967" i="1"/>
  <c r="R955" i="1"/>
  <c r="R943" i="1"/>
  <c r="R931" i="1"/>
  <c r="R919" i="1"/>
  <c r="R763" i="1"/>
  <c r="R751" i="1"/>
  <c r="R1038" i="1"/>
  <c r="R1026" i="1"/>
  <c r="R1014" i="1"/>
  <c r="R1002" i="1"/>
  <c r="R990" i="1"/>
  <c r="R978" i="1"/>
  <c r="R966" i="1"/>
  <c r="R954" i="1"/>
  <c r="R942" i="1"/>
  <c r="R930" i="1"/>
  <c r="R918" i="1"/>
  <c r="R762" i="1"/>
  <c r="R750" i="1"/>
  <c r="R690" i="1"/>
  <c r="R678" i="1"/>
  <c r="R666" i="1"/>
  <c r="R654" i="1"/>
  <c r="R642" i="1"/>
  <c r="R630" i="1"/>
  <c r="R1111" i="1"/>
  <c r="R1035" i="1"/>
  <c r="R1023" i="1"/>
  <c r="R1011" i="1"/>
  <c r="R999" i="1"/>
  <c r="R987" i="1"/>
  <c r="R975" i="1"/>
  <c r="R963" i="1"/>
  <c r="R951" i="1"/>
  <c r="R939" i="1"/>
  <c r="R927" i="1"/>
  <c r="R915" i="1"/>
  <c r="R771" i="1"/>
  <c r="R759" i="1"/>
  <c r="R747" i="1"/>
  <c r="R687" i="1"/>
  <c r="R675" i="1"/>
  <c r="R663" i="1"/>
  <c r="R651" i="1"/>
  <c r="R639" i="1"/>
  <c r="R627" i="1"/>
  <c r="R579" i="1"/>
  <c r="R555" i="1"/>
  <c r="R543" i="1"/>
  <c r="R1110" i="1"/>
  <c r="R1034" i="1"/>
  <c r="R1022" i="1"/>
  <c r="R1010" i="1"/>
  <c r="R998" i="1"/>
  <c r="R974" i="1"/>
  <c r="R962" i="1"/>
  <c r="R950" i="1"/>
  <c r="R938" i="1"/>
  <c r="R926" i="1"/>
  <c r="R914" i="1"/>
  <c r="R770" i="1"/>
  <c r="R758" i="1"/>
  <c r="R746" i="1"/>
  <c r="R686" i="1"/>
  <c r="R674" i="1"/>
  <c r="R662" i="1"/>
  <c r="R650" i="1"/>
  <c r="R638" i="1"/>
  <c r="R626" i="1"/>
  <c r="R578" i="1"/>
  <c r="R554" i="1"/>
  <c r="R542" i="1"/>
  <c r="R506" i="1"/>
  <c r="R470" i="1"/>
  <c r="R410" i="1"/>
  <c r="R398" i="1"/>
  <c r="R386" i="1"/>
  <c r="R374" i="1"/>
  <c r="R362" i="1"/>
  <c r="R338" i="1"/>
  <c r="R326" i="1"/>
  <c r="R314" i="1"/>
  <c r="R290" i="1"/>
  <c r="R266" i="1"/>
  <c r="R1033" i="1"/>
  <c r="R1021" i="1"/>
  <c r="R1009" i="1"/>
  <c r="R997" i="1"/>
  <c r="R973" i="1"/>
  <c r="R961" i="1"/>
  <c r="R949" i="1"/>
  <c r="R937" i="1"/>
  <c r="R925" i="1"/>
  <c r="R769" i="1"/>
  <c r="R757" i="1"/>
  <c r="R745" i="1"/>
  <c r="R685" i="1"/>
  <c r="R673" i="1"/>
  <c r="R661" i="1"/>
  <c r="R649" i="1"/>
  <c r="R637" i="1"/>
  <c r="R577" i="1"/>
  <c r="R553" i="1"/>
  <c r="R541" i="1"/>
  <c r="R505" i="1"/>
  <c r="R469" i="1"/>
  <c r="R409" i="1"/>
  <c r="R397" i="1"/>
  <c r="R385" i="1"/>
  <c r="R373" i="1"/>
  <c r="R361" i="1"/>
  <c r="R337" i="1"/>
  <c r="R325" i="1"/>
  <c r="R301" i="1"/>
  <c r="R277" i="1"/>
  <c r="R253" i="1"/>
  <c r="R229" i="1"/>
  <c r="R205" i="1"/>
  <c r="R145" i="1"/>
  <c r="R133" i="1"/>
  <c r="R121" i="1"/>
  <c r="R109" i="1"/>
  <c r="R1032" i="1"/>
  <c r="R1020" i="1"/>
  <c r="R1008" i="1"/>
  <c r="R996" i="1"/>
  <c r="R984" i="1"/>
  <c r="R972" i="1"/>
  <c r="R960" i="1"/>
  <c r="R948" i="1"/>
  <c r="R936" i="1"/>
  <c r="R924" i="1"/>
  <c r="R804" i="1"/>
  <c r="R768" i="1"/>
  <c r="R756" i="1"/>
  <c r="R744" i="1"/>
  <c r="R684" i="1"/>
  <c r="R672" i="1"/>
  <c r="R660" i="1"/>
  <c r="R648" i="1"/>
  <c r="R636" i="1"/>
  <c r="R576" i="1"/>
  <c r="R552" i="1"/>
  <c r="R540" i="1"/>
  <c r="R504" i="1"/>
  <c r="R468" i="1"/>
  <c r="R408" i="1"/>
  <c r="R396" i="1"/>
  <c r="R384" i="1"/>
  <c r="R360" i="1"/>
  <c r="R324" i="1"/>
  <c r="R1119" i="1"/>
  <c r="R1031" i="1"/>
  <c r="R1019" i="1"/>
  <c r="R1007" i="1"/>
  <c r="R995" i="1"/>
  <c r="R971" i="1"/>
  <c r="R959" i="1"/>
  <c r="R947" i="1"/>
  <c r="R935" i="1"/>
  <c r="R923" i="1"/>
  <c r="R803" i="1"/>
  <c r="R767" i="1"/>
  <c r="R755" i="1"/>
  <c r="R743" i="1"/>
  <c r="R695" i="1"/>
  <c r="R683" i="1"/>
  <c r="R671" i="1"/>
  <c r="R659" i="1"/>
  <c r="R647" i="1"/>
  <c r="R635" i="1"/>
  <c r="R551" i="1"/>
  <c r="R539" i="1"/>
  <c r="R503" i="1"/>
  <c r="R467" i="1"/>
  <c r="R407" i="1"/>
  <c r="R395" i="1"/>
  <c r="R383" i="1"/>
  <c r="R359" i="1"/>
  <c r="R323" i="1"/>
  <c r="R311" i="1"/>
  <c r="R287" i="1"/>
  <c r="R275" i="1"/>
  <c r="R263" i="1"/>
  <c r="R251" i="1"/>
  <c r="R155" i="1"/>
  <c r="R131" i="1"/>
  <c r="R119" i="1"/>
  <c r="R1118" i="1"/>
  <c r="R1106" i="1"/>
  <c r="R1042" i="1"/>
  <c r="R1030" i="1"/>
  <c r="R1018" i="1"/>
  <c r="R1006" i="1"/>
  <c r="R994" i="1"/>
  <c r="R982" i="1"/>
  <c r="R970" i="1"/>
  <c r="R958" i="1"/>
  <c r="R946" i="1"/>
  <c r="R934" i="1"/>
  <c r="R922" i="1"/>
  <c r="R766" i="1"/>
  <c r="R754" i="1"/>
  <c r="R694" i="1"/>
  <c r="R682" i="1"/>
  <c r="R670" i="1"/>
  <c r="R658" i="1"/>
  <c r="R646" i="1"/>
  <c r="R634" i="1"/>
  <c r="R586" i="1"/>
  <c r="R562" i="1"/>
  <c r="R550" i="1"/>
  <c r="R538" i="1"/>
  <c r="R502" i="1"/>
  <c r="R478" i="1"/>
  <c r="R466" i="1"/>
  <c r="R406" i="1"/>
  <c r="R394" i="1"/>
  <c r="R382" i="1"/>
  <c r="R358" i="1"/>
  <c r="R322" i="1"/>
  <c r="R298" i="1"/>
  <c r="R238" i="1"/>
  <c r="R226" i="1"/>
  <c r="R214" i="1"/>
  <c r="R202" i="1"/>
  <c r="R178" i="1"/>
  <c r="R166" i="1"/>
  <c r="R142" i="1"/>
  <c r="R1117" i="1"/>
  <c r="R1105" i="1"/>
  <c r="R1041" i="1"/>
  <c r="R1029" i="1"/>
  <c r="R1017" i="1"/>
  <c r="R1005" i="1"/>
  <c r="R993" i="1"/>
  <c r="R969" i="1"/>
  <c r="R957" i="1"/>
  <c r="R945" i="1"/>
  <c r="R933" i="1"/>
  <c r="R921" i="1"/>
  <c r="R765" i="1"/>
  <c r="R753" i="1"/>
  <c r="R693" i="1"/>
  <c r="R681" i="1"/>
  <c r="R669" i="1"/>
  <c r="R657" i="1"/>
  <c r="R645" i="1"/>
  <c r="R633" i="1"/>
  <c r="R585" i="1"/>
  <c r="R561" i="1"/>
  <c r="R549" i="1"/>
  <c r="R537" i="1"/>
  <c r="R501" i="1"/>
  <c r="R477" i="1"/>
  <c r="R465" i="1"/>
  <c r="R405" i="1"/>
  <c r="R393" i="1"/>
  <c r="R381" i="1"/>
  <c r="R357" i="1"/>
  <c r="R345" i="1"/>
  <c r="R321" i="1"/>
  <c r="R261" i="1"/>
  <c r="R249" i="1"/>
  <c r="R1104" i="1"/>
  <c r="R1040" i="1"/>
  <c r="R1028" i="1"/>
  <c r="R1016" i="1"/>
  <c r="R1004" i="1"/>
  <c r="R992" i="1"/>
  <c r="R980" i="1"/>
  <c r="R968" i="1"/>
  <c r="R956" i="1"/>
  <c r="R944" i="1"/>
  <c r="R932" i="1"/>
  <c r="R920" i="1"/>
  <c r="R764" i="1"/>
  <c r="R752" i="1"/>
  <c r="R692" i="1"/>
  <c r="R680" i="1"/>
  <c r="R668" i="1"/>
  <c r="R656" i="1"/>
  <c r="R644" i="1"/>
  <c r="R632" i="1"/>
  <c r="R584" i="1"/>
  <c r="R560" i="1"/>
  <c r="R548" i="1"/>
  <c r="R536" i="1"/>
  <c r="R500" i="1"/>
  <c r="R476" i="1"/>
  <c r="R464" i="1"/>
  <c r="R404" i="1"/>
  <c r="R392" i="1"/>
  <c r="R380" i="1"/>
  <c r="R356" i="1"/>
  <c r="R344" i="1"/>
  <c r="R320" i="1"/>
  <c r="R308" i="1"/>
  <c r="R296" i="1"/>
  <c r="R284" i="1"/>
  <c r="R272" i="1"/>
  <c r="R164" i="1"/>
  <c r="R128" i="1"/>
  <c r="R9" i="1"/>
  <c r="R21" i="1"/>
  <c r="R33" i="1"/>
  <c r="R45" i="1"/>
  <c r="R57" i="1"/>
  <c r="R69" i="1"/>
  <c r="R81" i="1"/>
  <c r="R93" i="1"/>
  <c r="R105" i="1"/>
  <c r="R122" i="1"/>
  <c r="R138" i="1"/>
  <c r="R158" i="1"/>
  <c r="R174" i="1"/>
  <c r="R194" i="1"/>
  <c r="R210" i="1"/>
  <c r="R230" i="1"/>
  <c r="R246" i="1"/>
  <c r="R279" i="1"/>
  <c r="R305" i="1"/>
  <c r="R331" i="1"/>
  <c r="R364" i="1"/>
  <c r="R390" i="1"/>
  <c r="R423" i="1"/>
  <c r="R449" i="1"/>
  <c r="R475" i="1"/>
  <c r="R544" i="1"/>
  <c r="R580" i="1"/>
  <c r="R619" i="1"/>
  <c r="R667" i="1"/>
  <c r="R725" i="1"/>
  <c r="R797" i="1"/>
  <c r="R869" i="1"/>
  <c r="R941" i="1"/>
  <c r="R1013" i="1"/>
  <c r="R1101" i="1"/>
  <c r="R1051" i="1"/>
  <c r="R823" i="1"/>
  <c r="R811" i="1"/>
  <c r="R703" i="1"/>
  <c r="R1050" i="1"/>
  <c r="R822" i="1"/>
  <c r="R810" i="1"/>
  <c r="R702" i="1"/>
  <c r="R1047" i="1"/>
  <c r="R831" i="1"/>
  <c r="R819" i="1"/>
  <c r="R807" i="1"/>
  <c r="R699" i="1"/>
  <c r="R1046" i="1"/>
  <c r="R830" i="1"/>
  <c r="R818" i="1"/>
  <c r="R806" i="1"/>
  <c r="R698" i="1"/>
  <c r="R254" i="1"/>
  <c r="R1045" i="1"/>
  <c r="R985" i="1"/>
  <c r="R829" i="1"/>
  <c r="R817" i="1"/>
  <c r="R805" i="1"/>
  <c r="R697" i="1"/>
  <c r="R169" i="1"/>
  <c r="R1056" i="1"/>
  <c r="R1044" i="1"/>
  <c r="R828" i="1"/>
  <c r="R816" i="1"/>
  <c r="R696" i="1"/>
  <c r="R312" i="1"/>
  <c r="R288" i="1"/>
  <c r="R264" i="1"/>
  <c r="R1055" i="1"/>
  <c r="R1043" i="1"/>
  <c r="R983" i="1"/>
  <c r="R827" i="1"/>
  <c r="R815" i="1"/>
  <c r="R563" i="1"/>
  <c r="R479" i="1"/>
  <c r="R299" i="1"/>
  <c r="R227" i="1"/>
  <c r="R203" i="1"/>
  <c r="R143" i="1"/>
  <c r="R1054" i="1"/>
  <c r="R826" i="1"/>
  <c r="R814" i="1"/>
  <c r="R706" i="1"/>
  <c r="R190" i="1"/>
  <c r="R1053" i="1"/>
  <c r="R981" i="1"/>
  <c r="R825" i="1"/>
  <c r="R813" i="1"/>
  <c r="R705" i="1"/>
  <c r="R417" i="1"/>
  <c r="R309" i="1"/>
  <c r="R285" i="1"/>
  <c r="R273" i="1"/>
  <c r="R1052" i="1"/>
  <c r="R824" i="1"/>
  <c r="R812" i="1"/>
  <c r="R704" i="1"/>
  <c r="R416" i="1"/>
  <c r="R236" i="1"/>
  <c r="R224" i="1"/>
  <c r="R212" i="1"/>
  <c r="R200" i="1"/>
  <c r="R176" i="1"/>
  <c r="R140" i="1"/>
  <c r="R22" i="1"/>
  <c r="R34" i="1"/>
  <c r="R46" i="1"/>
  <c r="R58" i="1"/>
  <c r="R70" i="1"/>
  <c r="R82" i="1"/>
  <c r="R94" i="1"/>
  <c r="R106" i="1"/>
  <c r="R123" i="1"/>
  <c r="R139" i="1"/>
  <c r="R159" i="1"/>
  <c r="R175" i="1"/>
  <c r="R195" i="1"/>
  <c r="R211" i="1"/>
  <c r="R231" i="1"/>
  <c r="R247" i="1"/>
  <c r="R280" i="1"/>
  <c r="R306" i="1"/>
  <c r="R339" i="1"/>
  <c r="R365" i="1"/>
  <c r="R391" i="1"/>
  <c r="R424" i="1"/>
  <c r="R450" i="1"/>
  <c r="R483" i="1"/>
  <c r="R509" i="1"/>
  <c r="R545" i="1"/>
  <c r="R581" i="1"/>
  <c r="R628" i="1"/>
  <c r="R676" i="1"/>
  <c r="R736" i="1"/>
  <c r="R808" i="1"/>
  <c r="R952" i="1"/>
  <c r="R1024" i="1"/>
  <c r="R1112" i="1"/>
  <c r="R1115" i="1"/>
  <c r="R1075" i="1"/>
  <c r="R1063" i="1"/>
  <c r="R907" i="1"/>
  <c r="R895" i="1"/>
  <c r="R883" i="1"/>
  <c r="R871" i="1"/>
  <c r="R859" i="1"/>
  <c r="R847" i="1"/>
  <c r="R835" i="1"/>
  <c r="R799" i="1"/>
  <c r="R787" i="1"/>
  <c r="R775" i="1"/>
  <c r="R739" i="1"/>
  <c r="R727" i="1"/>
  <c r="R715" i="1"/>
  <c r="R1114" i="1"/>
  <c r="R1074" i="1"/>
  <c r="R1062" i="1"/>
  <c r="R906" i="1"/>
  <c r="R894" i="1"/>
  <c r="R882" i="1"/>
  <c r="R870" i="1"/>
  <c r="R858" i="1"/>
  <c r="R846" i="1"/>
  <c r="R834" i="1"/>
  <c r="R798" i="1"/>
  <c r="R786" i="1"/>
  <c r="R774" i="1"/>
  <c r="R738" i="1"/>
  <c r="R726" i="1"/>
  <c r="R714" i="1"/>
  <c r="R618" i="1"/>
  <c r="R606" i="1"/>
  <c r="R594" i="1"/>
  <c r="R1071" i="1"/>
  <c r="R1059" i="1"/>
  <c r="R903" i="1"/>
  <c r="R891" i="1"/>
  <c r="R879" i="1"/>
  <c r="R867" i="1"/>
  <c r="R855" i="1"/>
  <c r="R843" i="1"/>
  <c r="R795" i="1"/>
  <c r="R783" i="1"/>
  <c r="R735" i="1"/>
  <c r="R723" i="1"/>
  <c r="R711" i="1"/>
  <c r="R615" i="1"/>
  <c r="R603" i="1"/>
  <c r="R591" i="1"/>
  <c r="R567" i="1"/>
  <c r="R531" i="1"/>
  <c r="R519" i="1"/>
  <c r="R1122" i="1"/>
  <c r="R1070" i="1"/>
  <c r="R1058" i="1"/>
  <c r="R986" i="1"/>
  <c r="R902" i="1"/>
  <c r="R890" i="1"/>
  <c r="R878" i="1"/>
  <c r="R866" i="1"/>
  <c r="R854" i="1"/>
  <c r="R842" i="1"/>
  <c r="R794" i="1"/>
  <c r="R782" i="1"/>
  <c r="R734" i="1"/>
  <c r="R722" i="1"/>
  <c r="R710" i="1"/>
  <c r="R614" i="1"/>
  <c r="R602" i="1"/>
  <c r="R590" i="1"/>
  <c r="R566" i="1"/>
  <c r="R530" i="1"/>
  <c r="R518" i="1"/>
  <c r="R494" i="1"/>
  <c r="R482" i="1"/>
  <c r="R458" i="1"/>
  <c r="R446" i="1"/>
  <c r="R434" i="1"/>
  <c r="R422" i="1"/>
  <c r="R350" i="1"/>
  <c r="R302" i="1"/>
  <c r="R278" i="1"/>
  <c r="R1121" i="1"/>
  <c r="R1109" i="1"/>
  <c r="R1069" i="1"/>
  <c r="R1057" i="1"/>
  <c r="R913" i="1"/>
  <c r="R901" i="1"/>
  <c r="R889" i="1"/>
  <c r="R877" i="1"/>
  <c r="R865" i="1"/>
  <c r="R853" i="1"/>
  <c r="R841" i="1"/>
  <c r="R793" i="1"/>
  <c r="R781" i="1"/>
  <c r="R733" i="1"/>
  <c r="R721" i="1"/>
  <c r="R709" i="1"/>
  <c r="R625" i="1"/>
  <c r="R613" i="1"/>
  <c r="R601" i="1"/>
  <c r="R589" i="1"/>
  <c r="R565" i="1"/>
  <c r="R529" i="1"/>
  <c r="R517" i="1"/>
  <c r="R493" i="1"/>
  <c r="R481" i="1"/>
  <c r="R457" i="1"/>
  <c r="R445" i="1"/>
  <c r="R433" i="1"/>
  <c r="R421" i="1"/>
  <c r="R349" i="1"/>
  <c r="R313" i="1"/>
  <c r="R289" i="1"/>
  <c r="R265" i="1"/>
  <c r="R241" i="1"/>
  <c r="R217" i="1"/>
  <c r="R193" i="1"/>
  <c r="R181" i="1"/>
  <c r="R157" i="1"/>
  <c r="R1120" i="1"/>
  <c r="R1108" i="1"/>
  <c r="R1080" i="1"/>
  <c r="R1068" i="1"/>
  <c r="R912" i="1"/>
  <c r="R900" i="1"/>
  <c r="R888" i="1"/>
  <c r="R876" i="1"/>
  <c r="R864" i="1"/>
  <c r="R852" i="1"/>
  <c r="R840" i="1"/>
  <c r="R792" i="1"/>
  <c r="R780" i="1"/>
  <c r="R732" i="1"/>
  <c r="R720" i="1"/>
  <c r="R708" i="1"/>
  <c r="R624" i="1"/>
  <c r="R612" i="1"/>
  <c r="R600" i="1"/>
  <c r="R588" i="1"/>
  <c r="R564" i="1"/>
  <c r="R528" i="1"/>
  <c r="R516" i="1"/>
  <c r="R492" i="1"/>
  <c r="R480" i="1"/>
  <c r="R456" i="1"/>
  <c r="R444" i="1"/>
  <c r="R432" i="1"/>
  <c r="R420" i="1"/>
  <c r="R372" i="1"/>
  <c r="R348" i="1"/>
  <c r="R336" i="1"/>
  <c r="R300" i="1"/>
  <c r="R276" i="1"/>
  <c r="R252" i="1"/>
  <c r="R1107" i="1"/>
  <c r="R1079" i="1"/>
  <c r="R1067" i="1"/>
  <c r="R911" i="1"/>
  <c r="R899" i="1"/>
  <c r="R887" i="1"/>
  <c r="R875" i="1"/>
  <c r="R863" i="1"/>
  <c r="R851" i="1"/>
  <c r="R839" i="1"/>
  <c r="R791" i="1"/>
  <c r="R779" i="1"/>
  <c r="R731" i="1"/>
  <c r="R719" i="1"/>
  <c r="R707" i="1"/>
  <c r="R623" i="1"/>
  <c r="R611" i="1"/>
  <c r="R599" i="1"/>
  <c r="R587" i="1"/>
  <c r="R575" i="1"/>
  <c r="R527" i="1"/>
  <c r="R515" i="1"/>
  <c r="R491" i="1"/>
  <c r="R455" i="1"/>
  <c r="R443" i="1"/>
  <c r="R431" i="1"/>
  <c r="R419" i="1"/>
  <c r="R371" i="1"/>
  <c r="R347" i="1"/>
  <c r="R335" i="1"/>
  <c r="R239" i="1"/>
  <c r="R215" i="1"/>
  <c r="R191" i="1"/>
  <c r="R179" i="1"/>
  <c r="R167" i="1"/>
  <c r="R1078" i="1"/>
  <c r="R1066" i="1"/>
  <c r="R910" i="1"/>
  <c r="R898" i="1"/>
  <c r="R886" i="1"/>
  <c r="R874" i="1"/>
  <c r="R862" i="1"/>
  <c r="R850" i="1"/>
  <c r="R838" i="1"/>
  <c r="R802" i="1"/>
  <c r="R790" i="1"/>
  <c r="R778" i="1"/>
  <c r="R742" i="1"/>
  <c r="R730" i="1"/>
  <c r="R718" i="1"/>
  <c r="R622" i="1"/>
  <c r="R610" i="1"/>
  <c r="R598" i="1"/>
  <c r="R574" i="1"/>
  <c r="R526" i="1"/>
  <c r="R514" i="1"/>
  <c r="R490" i="1"/>
  <c r="R454" i="1"/>
  <c r="R442" i="1"/>
  <c r="R430" i="1"/>
  <c r="R418" i="1"/>
  <c r="R370" i="1"/>
  <c r="R346" i="1"/>
  <c r="R334" i="1"/>
  <c r="R310" i="1"/>
  <c r="R286" i="1"/>
  <c r="R274" i="1"/>
  <c r="R262" i="1"/>
  <c r="R250" i="1"/>
  <c r="R154" i="1"/>
  <c r="R130" i="1"/>
  <c r="R118" i="1"/>
  <c r="R1077" i="1"/>
  <c r="R1065" i="1"/>
  <c r="R909" i="1"/>
  <c r="R897" i="1"/>
  <c r="R885" i="1"/>
  <c r="R873" i="1"/>
  <c r="R861" i="1"/>
  <c r="R849" i="1"/>
  <c r="R837" i="1"/>
  <c r="R801" i="1"/>
  <c r="R789" i="1"/>
  <c r="R777" i="1"/>
  <c r="R741" i="1"/>
  <c r="R729" i="1"/>
  <c r="R717" i="1"/>
  <c r="R621" i="1"/>
  <c r="R609" i="1"/>
  <c r="R597" i="1"/>
  <c r="R573" i="1"/>
  <c r="R525" i="1"/>
  <c r="R513" i="1"/>
  <c r="R489" i="1"/>
  <c r="R453" i="1"/>
  <c r="R441" i="1"/>
  <c r="R429" i="1"/>
  <c r="R369" i="1"/>
  <c r="R333" i="1"/>
  <c r="R297" i="1"/>
  <c r="R1116" i="1"/>
  <c r="R1076" i="1"/>
  <c r="R1064" i="1"/>
  <c r="R908" i="1"/>
  <c r="R896" i="1"/>
  <c r="R884" i="1"/>
  <c r="R872" i="1"/>
  <c r="R860" i="1"/>
  <c r="R848" i="1"/>
  <c r="R836" i="1"/>
  <c r="R800" i="1"/>
  <c r="R788" i="1"/>
  <c r="R776" i="1"/>
  <c r="R740" i="1"/>
  <c r="R728" i="1"/>
  <c r="R716" i="1"/>
  <c r="R620" i="1"/>
  <c r="R608" i="1"/>
  <c r="R596" i="1"/>
  <c r="R572" i="1"/>
  <c r="R524" i="1"/>
  <c r="R512" i="1"/>
  <c r="R488" i="1"/>
  <c r="R452" i="1"/>
  <c r="R440" i="1"/>
  <c r="R428" i="1"/>
  <c r="R368" i="1"/>
  <c r="R332" i="1"/>
  <c r="R260" i="1"/>
  <c r="R248" i="1"/>
  <c r="R188" i="1"/>
  <c r="R152" i="1"/>
  <c r="R116" i="1"/>
  <c r="R23" i="1"/>
  <c r="R35" i="1"/>
  <c r="R47" i="1"/>
  <c r="R59" i="1"/>
  <c r="R71" i="1"/>
  <c r="R83" i="1"/>
  <c r="R95" i="1"/>
  <c r="R107" i="1"/>
  <c r="R124" i="1"/>
  <c r="R141" i="1"/>
  <c r="R160" i="1"/>
  <c r="R177" i="1"/>
  <c r="R196" i="1"/>
  <c r="R213" i="1"/>
  <c r="R232" i="1"/>
  <c r="R255" i="1"/>
  <c r="R281" i="1"/>
  <c r="R307" i="1"/>
  <c r="R340" i="1"/>
  <c r="R366" i="1"/>
  <c r="R399" i="1"/>
  <c r="R425" i="1"/>
  <c r="R451" i="1"/>
  <c r="R484" i="1"/>
  <c r="R510" i="1"/>
  <c r="R546" i="1"/>
  <c r="R582" i="1"/>
  <c r="R629" i="1"/>
  <c r="R677" i="1"/>
  <c r="R737" i="1"/>
  <c r="R809" i="1"/>
  <c r="R881" i="1"/>
  <c r="R953" i="1"/>
  <c r="R1025" i="1"/>
  <c r="R1113" i="1"/>
  <c r="R12" i="1"/>
  <c r="R125" i="1"/>
  <c r="R144" i="1"/>
  <c r="R161" i="1"/>
  <c r="R180" i="1"/>
  <c r="R197" i="1"/>
  <c r="R216" i="1"/>
  <c r="R233" i="1"/>
  <c r="R256" i="1"/>
  <c r="R282" i="1"/>
  <c r="R315" i="1"/>
  <c r="R341" i="1"/>
  <c r="R367" i="1"/>
  <c r="R400" i="1"/>
  <c r="R426" i="1"/>
  <c r="R459" i="1"/>
  <c r="R485" i="1"/>
  <c r="R511" i="1"/>
  <c r="R547" i="1"/>
  <c r="R583" i="1"/>
  <c r="R631" i="1"/>
  <c r="R679" i="1"/>
  <c r="R748" i="1"/>
  <c r="R820" i="1"/>
  <c r="R892" i="1"/>
  <c r="R964" i="1"/>
  <c r="R1036" i="1"/>
  <c r="R1089" i="1"/>
  <c r="R1090" i="1"/>
  <c r="R1093" i="1"/>
  <c r="R1083" i="1"/>
  <c r="R1094" i="1"/>
  <c r="R1082" i="1"/>
  <c r="R1095" i="1"/>
  <c r="R1081" i="1"/>
  <c r="R1084" i="1"/>
  <c r="R1096" i="1"/>
  <c r="R1085" i="1"/>
  <c r="R1097" i="1"/>
  <c r="R1086" i="1"/>
  <c r="R1098" i="1"/>
  <c r="R1087" i="1"/>
  <c r="R1099" i="1"/>
  <c r="R1088" i="1"/>
  <c r="R13" i="1"/>
  <c r="R25" i="1"/>
  <c r="R37" i="1"/>
  <c r="R49" i="1"/>
  <c r="R61" i="1"/>
  <c r="R73" i="1"/>
  <c r="R85" i="1"/>
  <c r="R97" i="1"/>
  <c r="R110" i="1"/>
  <c r="R126" i="1"/>
  <c r="R146" i="1"/>
  <c r="R162" i="1"/>
  <c r="R182" i="1"/>
  <c r="R198" i="1"/>
  <c r="R218" i="1"/>
  <c r="R234" i="1"/>
  <c r="R257" i="1"/>
  <c r="R283" i="1"/>
  <c r="R316" i="1"/>
  <c r="R342" i="1"/>
  <c r="R375" i="1"/>
  <c r="R401" i="1"/>
  <c r="R427" i="1"/>
  <c r="R460" i="1"/>
  <c r="R486" i="1"/>
  <c r="R520" i="1"/>
  <c r="R556" i="1"/>
  <c r="R592" i="1"/>
  <c r="R640" i="1"/>
  <c r="R688" i="1"/>
  <c r="R749" i="1"/>
  <c r="R821" i="1"/>
  <c r="R893" i="1"/>
  <c r="R965" i="1"/>
  <c r="R1037" i="1"/>
  <c r="R2" i="1"/>
  <c r="R14" i="1"/>
  <c r="R26" i="1"/>
  <c r="R38" i="1"/>
  <c r="R50" i="1"/>
  <c r="R62" i="1"/>
  <c r="R74" i="1"/>
  <c r="R86" i="1"/>
  <c r="R98" i="1"/>
  <c r="R111" i="1"/>
  <c r="R127" i="1"/>
  <c r="R147" i="1"/>
  <c r="R163" i="1"/>
  <c r="R183" i="1"/>
  <c r="R199" i="1"/>
  <c r="R219" i="1"/>
  <c r="R235" i="1"/>
  <c r="R258" i="1"/>
  <c r="R291" i="1"/>
  <c r="R317" i="1"/>
  <c r="R343" i="1"/>
  <c r="R376" i="1"/>
  <c r="R402" i="1"/>
  <c r="R435" i="1"/>
  <c r="R461" i="1"/>
  <c r="R487" i="1"/>
  <c r="R521" i="1"/>
  <c r="R557" i="1"/>
  <c r="R593" i="1"/>
  <c r="R641" i="1"/>
  <c r="R689" i="1"/>
  <c r="R760" i="1"/>
  <c r="R832" i="1"/>
  <c r="R904" i="1"/>
  <c r="R976" i="1"/>
  <c r="R1048" i="1"/>
</calcChain>
</file>

<file path=xl/sharedStrings.xml><?xml version="1.0" encoding="utf-8"?>
<sst xmlns="http://schemas.openxmlformats.org/spreadsheetml/2006/main" count="22878" uniqueCount="2229">
  <si>
    <t>1000</t>
  </si>
  <si>
    <t>1900040240</t>
  </si>
  <si>
    <t>2026</t>
  </si>
  <si>
    <t>4</t>
  </si>
  <si>
    <t/>
  </si>
  <si>
    <t>50</t>
  </si>
  <si>
    <t>S</t>
  </si>
  <si>
    <t>FE</t>
  </si>
  <si>
    <t>3,364.00</t>
  </si>
  <si>
    <t>RFBU</t>
  </si>
  <si>
    <t>171323</t>
  </si>
  <si>
    <t>190004024010002026</t>
  </si>
  <si>
    <t>3</t>
  </si>
  <si>
    <t>KR</t>
  </si>
  <si>
    <t>332303</t>
  </si>
  <si>
    <t>1900040241</t>
  </si>
  <si>
    <t>6</t>
  </si>
  <si>
    <t>724.00</t>
  </si>
  <si>
    <t>RMRP</t>
  </si>
  <si>
    <t>51060951422026</t>
  </si>
  <si>
    <t>171071</t>
  </si>
  <si>
    <t>1900040242</t>
  </si>
  <si>
    <t>5</t>
  </si>
  <si>
    <t>EE</t>
  </si>
  <si>
    <t>2,750.00</t>
  </si>
  <si>
    <t>51060946632026</t>
  </si>
  <si>
    <t>1900040247</t>
  </si>
  <si>
    <t>1,489.00</t>
  </si>
  <si>
    <t>51060951372026</t>
  </si>
  <si>
    <t>1900040252</t>
  </si>
  <si>
    <t>3,895.00</t>
  </si>
  <si>
    <t>51060946742026</t>
  </si>
  <si>
    <t>1900040254</t>
  </si>
  <si>
    <t>96.00</t>
  </si>
  <si>
    <t>190004025410002026</t>
  </si>
  <si>
    <t>332302</t>
  </si>
  <si>
    <t>1900040255</t>
  </si>
  <si>
    <t>2,089.00</t>
  </si>
  <si>
    <t>190004025510002026</t>
  </si>
  <si>
    <t>1900040256</t>
  </si>
  <si>
    <t>14,721.00</t>
  </si>
  <si>
    <t>190004025610002026</t>
  </si>
  <si>
    <t>2404002806</t>
  </si>
  <si>
    <t>7</t>
  </si>
  <si>
    <t>IL</t>
  </si>
  <si>
    <t>330.00</t>
  </si>
  <si>
    <t>G.RENT ARREAR CHARGES FOR APR-MAY26</t>
  </si>
  <si>
    <t>171325</t>
  </si>
  <si>
    <t>240400280610002026</t>
  </si>
  <si>
    <t>US</t>
  </si>
  <si>
    <t>330001</t>
  </si>
  <si>
    <t>5100034787</t>
  </si>
  <si>
    <t>Q1</t>
  </si>
  <si>
    <t>419.00</t>
  </si>
  <si>
    <t>171364</t>
  </si>
  <si>
    <t>51060945742026</t>
  </si>
  <si>
    <t>RE</t>
  </si>
  <si>
    <t>171068</t>
  </si>
  <si>
    <t>7100004280</t>
  </si>
  <si>
    <t>1,934.00</t>
  </si>
  <si>
    <t>710000428010002026</t>
  </si>
  <si>
    <t>RC</t>
  </si>
  <si>
    <t>7100004284</t>
  </si>
  <si>
    <t>2,176.00</t>
  </si>
  <si>
    <t>710000428410002026</t>
  </si>
  <si>
    <t>1</t>
  </si>
  <si>
    <t>40</t>
  </si>
  <si>
    <t>12</t>
  </si>
  <si>
    <t>SA</t>
  </si>
  <si>
    <t>2024</t>
  </si>
  <si>
    <t>8200309682</t>
  </si>
  <si>
    <t>28</t>
  </si>
  <si>
    <t>8202440642</t>
  </si>
  <si>
    <t>2,161,444.00</t>
  </si>
  <si>
    <t>SALARY JV FOR APRIL 2024(N1)</t>
  </si>
  <si>
    <t>171321</t>
  </si>
  <si>
    <t>820030968210002024</t>
  </si>
  <si>
    <t>SP</t>
  </si>
  <si>
    <t>320001</t>
  </si>
  <si>
    <t>29</t>
  </si>
  <si>
    <t>8206388115</t>
  </si>
  <si>
    <t>12,181.00</t>
  </si>
  <si>
    <t>171331</t>
  </si>
  <si>
    <t>30</t>
  </si>
  <si>
    <t>8202395035</t>
  </si>
  <si>
    <t>86,952.00</t>
  </si>
  <si>
    <t>171341</t>
  </si>
  <si>
    <t>8200309790</t>
  </si>
  <si>
    <t>22</t>
  </si>
  <si>
    <t>2,345,051.00</t>
  </si>
  <si>
    <t>SALARY JV FOR APRIL 2024(N2)</t>
  </si>
  <si>
    <t>820030979010002024</t>
  </si>
  <si>
    <t>23</t>
  </si>
  <si>
    <t>15,423.00</t>
  </si>
  <si>
    <t>24</t>
  </si>
  <si>
    <t>94,420.00</t>
  </si>
  <si>
    <t>8200314280</t>
  </si>
  <si>
    <t>2000610433</t>
  </si>
  <si>
    <t>193,934.00</t>
  </si>
  <si>
    <t>SALARY FOR M/O APRIL.-2024</t>
  </si>
  <si>
    <t>820031428010002024</t>
  </si>
  <si>
    <t>320017</t>
  </si>
  <si>
    <t>7,760.00</t>
  </si>
  <si>
    <t>8200319897</t>
  </si>
  <si>
    <t>8</t>
  </si>
  <si>
    <t>8200806433</t>
  </si>
  <si>
    <t>570,798.00</t>
  </si>
  <si>
    <t>APR-24</t>
  </si>
  <si>
    <t>820031989710002024</t>
  </si>
  <si>
    <t>9</t>
  </si>
  <si>
    <t>8200806434</t>
  </si>
  <si>
    <t>22,833.00</t>
  </si>
  <si>
    <t>8200334309</t>
  </si>
  <si>
    <t>1500000117</t>
  </si>
  <si>
    <t>373,519.00</t>
  </si>
  <si>
    <t>JKC STAFF SALARY FOR APRIL-2024</t>
  </si>
  <si>
    <t>820033430910002024</t>
  </si>
  <si>
    <t>14,943.00</t>
  </si>
  <si>
    <t>8200342756</t>
  </si>
  <si>
    <t>37</t>
  </si>
  <si>
    <t>8205563485</t>
  </si>
  <si>
    <t>21,840,159.00</t>
  </si>
  <si>
    <t>SALARY JV FOR APRIL 2024(H1)</t>
  </si>
  <si>
    <t>820034275610002024</t>
  </si>
  <si>
    <t>171201</t>
  </si>
  <si>
    <t>38</t>
  </si>
  <si>
    <t>1,312,973.00</t>
  </si>
  <si>
    <t>39</t>
  </si>
  <si>
    <t>8206400692</t>
  </si>
  <si>
    <t>926,142.00</t>
  </si>
  <si>
    <t>8200342882</t>
  </si>
  <si>
    <t>8205559287</t>
  </si>
  <si>
    <t>940,982.00</t>
  </si>
  <si>
    <t>SALARY JV FOR APRIL 2024(H2)</t>
  </si>
  <si>
    <t>820034288210002024</t>
  </si>
  <si>
    <t>37,642.00</t>
  </si>
  <si>
    <t>8200342960</t>
  </si>
  <si>
    <t>8,689,376.00</t>
  </si>
  <si>
    <t>SALARY JV FOR APRIL 2024(H3)</t>
  </si>
  <si>
    <t>820034296010002024</t>
  </si>
  <si>
    <t>122,145.00</t>
  </si>
  <si>
    <t>352,468.00</t>
  </si>
  <si>
    <t>8200342975</t>
  </si>
  <si>
    <t>14</t>
  </si>
  <si>
    <t>2,052,987.00</t>
  </si>
  <si>
    <t>SALARY JV FOR APRIL 2024(H5)</t>
  </si>
  <si>
    <t>820034297510002024</t>
  </si>
  <si>
    <t>15</t>
  </si>
  <si>
    <t>31,671.00</t>
  </si>
  <si>
    <t>16</t>
  </si>
  <si>
    <t>83,391.00</t>
  </si>
  <si>
    <t>8200342987</t>
  </si>
  <si>
    <t>20</t>
  </si>
  <si>
    <t>8205563016</t>
  </si>
  <si>
    <t>370,812.00</t>
  </si>
  <si>
    <t>SALARY JV FOR APRIL 2024(G2)</t>
  </si>
  <si>
    <t>820034298710002024</t>
  </si>
  <si>
    <t>21</t>
  </si>
  <si>
    <t>14,831.00</t>
  </si>
  <si>
    <t>8200652820</t>
  </si>
  <si>
    <t>2025</t>
  </si>
  <si>
    <t>187</t>
  </si>
  <si>
    <t>2000734985</t>
  </si>
  <si>
    <t>46,622.00</t>
  </si>
  <si>
    <t>SALARY JV APR 2025 (G5)</t>
  </si>
  <si>
    <t>820065282010002025</t>
  </si>
  <si>
    <t>188</t>
  </si>
  <si>
    <t>6,421.00</t>
  </si>
  <si>
    <t>189</t>
  </si>
  <si>
    <t>35,783.00</t>
  </si>
  <si>
    <t>190</t>
  </si>
  <si>
    <t>9,729.00</t>
  </si>
  <si>
    <t>191</t>
  </si>
  <si>
    <t>40,243.00</t>
  </si>
  <si>
    <t>192</t>
  </si>
  <si>
    <t>11,231.00</t>
  </si>
  <si>
    <t>193</t>
  </si>
  <si>
    <t>33,853.00</t>
  </si>
  <si>
    <t>194</t>
  </si>
  <si>
    <t>60,357.00</t>
  </si>
  <si>
    <t>195</t>
  </si>
  <si>
    <t>14,813.00</t>
  </si>
  <si>
    <t>196</t>
  </si>
  <si>
    <t>38,713.00</t>
  </si>
  <si>
    <t>8200741752</t>
  </si>
  <si>
    <t>2,290,554.00</t>
  </si>
  <si>
    <t>SALARY JV FOR MAY 2024(N1)</t>
  </si>
  <si>
    <t>820074175210002024</t>
  </si>
  <si>
    <t>2</t>
  </si>
  <si>
    <t>31</t>
  </si>
  <si>
    <t>10,381.00</t>
  </si>
  <si>
    <t>32</t>
  </si>
  <si>
    <t>92,031.00</t>
  </si>
  <si>
    <t>8200741881</t>
  </si>
  <si>
    <t>25</t>
  </si>
  <si>
    <t>2,453,921.00</t>
  </si>
  <si>
    <t>SALARY JV FOR MAY 2024(N2)</t>
  </si>
  <si>
    <t>820074188110002024</t>
  </si>
  <si>
    <t>26</t>
  </si>
  <si>
    <t>27,822.00</t>
  </si>
  <si>
    <t>27</t>
  </si>
  <si>
    <t>99,273.00</t>
  </si>
  <si>
    <t>8200742635</t>
  </si>
  <si>
    <t>10</t>
  </si>
  <si>
    <t>8205559282</t>
  </si>
  <si>
    <t>346,744.00</t>
  </si>
  <si>
    <t>SALARY JV FOR MAY 2024(G4)</t>
  </si>
  <si>
    <t>820074263510002024</t>
  </si>
  <si>
    <t>11</t>
  </si>
  <si>
    <t>13,870.00</t>
  </si>
  <si>
    <t>8200742661</t>
  </si>
  <si>
    <t>20,651,830.00</t>
  </si>
  <si>
    <t>SALARY JV FOR MAY 2024(H1)</t>
  </si>
  <si>
    <t>820074266110002024</t>
  </si>
  <si>
    <t>1,116,144.00</t>
  </si>
  <si>
    <t>870,724.00</t>
  </si>
  <si>
    <t>8200742746</t>
  </si>
  <si>
    <t>944,979.00</t>
  </si>
  <si>
    <t>SALARY JV FOR MAY 2024(H2)</t>
  </si>
  <si>
    <t>820074274610002024</t>
  </si>
  <si>
    <t>37,803.00</t>
  </si>
  <si>
    <t>8200744231</t>
  </si>
  <si>
    <t>8205563025</t>
  </si>
  <si>
    <t>3,174,481.00</t>
  </si>
  <si>
    <t>SALARY JV FOR MAY 2024(PL)</t>
  </si>
  <si>
    <t>820074423110002024</t>
  </si>
  <si>
    <t>57,134.00</t>
  </si>
  <si>
    <t>13</t>
  </si>
  <si>
    <t>129,275.00</t>
  </si>
  <si>
    <t>8200744267</t>
  </si>
  <si>
    <t>8205563039</t>
  </si>
  <si>
    <t>295,021.00</t>
  </si>
  <si>
    <t>SALARY JV FOR MAY 2024(G3)</t>
  </si>
  <si>
    <t>820074426710002024</t>
  </si>
  <si>
    <t>11,801.00</t>
  </si>
  <si>
    <t>8200744661</t>
  </si>
  <si>
    <t>2000721326</t>
  </si>
  <si>
    <t>374,339.00</t>
  </si>
  <si>
    <t>JKC STAFF SALARY FOR MAY-2024</t>
  </si>
  <si>
    <t>820074466110002024</t>
  </si>
  <si>
    <t>14,975.00</t>
  </si>
  <si>
    <t>8200744725</t>
  </si>
  <si>
    <t>255</t>
  </si>
  <si>
    <t>2000785481</t>
  </si>
  <si>
    <t>2,241,477.00</t>
  </si>
  <si>
    <t>SALARY JV FOR MAY 2024(MD)</t>
  </si>
  <si>
    <t>820074472510002024</t>
  </si>
  <si>
    <t>256</t>
  </si>
  <si>
    <t>23,348.00</t>
  </si>
  <si>
    <t>257</t>
  </si>
  <si>
    <t>90,601.00</t>
  </si>
  <si>
    <t>8200744743</t>
  </si>
  <si>
    <t>2000721273</t>
  </si>
  <si>
    <t>2,222,668.00</t>
  </si>
  <si>
    <t>JKWC STAFF SALARY FOR MAY-2024</t>
  </si>
  <si>
    <t>820074474310002024</t>
  </si>
  <si>
    <t>27,052.00</t>
  </si>
  <si>
    <t>89,987.00</t>
  </si>
  <si>
    <t>8200745875</t>
  </si>
  <si>
    <t>2000899632</t>
  </si>
  <si>
    <t>270,536.00</t>
  </si>
  <si>
    <t>SALARY FOR M/O MAY-2024</t>
  </si>
  <si>
    <t>820074587510002024</t>
  </si>
  <si>
    <t>320010</t>
  </si>
  <si>
    <t>10,821.00</t>
  </si>
  <si>
    <t>8201141656</t>
  </si>
  <si>
    <t>8205559293</t>
  </si>
  <si>
    <t>3,270,088.00</t>
  </si>
  <si>
    <t>SALARY JV FOR JUNE 2024(H1)</t>
  </si>
  <si>
    <t>820114165610002024</t>
  </si>
  <si>
    <t>320003</t>
  </si>
  <si>
    <t>828,099.00</t>
  </si>
  <si>
    <t>163,928.00</t>
  </si>
  <si>
    <t>8201237152</t>
  </si>
  <si>
    <t>8201421502</t>
  </si>
  <si>
    <t>580,311.00</t>
  </si>
  <si>
    <t>SALARY FOR THE M/O JUNE-24</t>
  </si>
  <si>
    <t>820123715210002024</t>
  </si>
  <si>
    <t>8201421504</t>
  </si>
  <si>
    <t>7,020.00</t>
  </si>
  <si>
    <t>8201421507</t>
  </si>
  <si>
    <t>23,492.00</t>
  </si>
  <si>
    <t>8201237180</t>
  </si>
  <si>
    <t>2,401,046.00</t>
  </si>
  <si>
    <t>SALARY JV FOR JUNE 2024(N2)</t>
  </si>
  <si>
    <t>820123718010002024</t>
  </si>
  <si>
    <t>12,399.00</t>
  </si>
  <si>
    <t>96,542.00</t>
  </si>
  <si>
    <t>8201239756</t>
  </si>
  <si>
    <t>2001263802</t>
  </si>
  <si>
    <t>358,865.00</t>
  </si>
  <si>
    <t>JKC STAFF SALARY FOR JUNE-2024</t>
  </si>
  <si>
    <t>820123975610002024</t>
  </si>
  <si>
    <t>14,357.00</t>
  </si>
  <si>
    <t>8201239987</t>
  </si>
  <si>
    <t>36</t>
  </si>
  <si>
    <t>19,197,735.00</t>
  </si>
  <si>
    <t>820123998710002024</t>
  </si>
  <si>
    <t>971,172.00</t>
  </si>
  <si>
    <t>806,762.00</t>
  </si>
  <si>
    <t>8201240037</t>
  </si>
  <si>
    <t>8205565147</t>
  </si>
  <si>
    <t>951,625.00</t>
  </si>
  <si>
    <t>SALARY JV FOR JUNE 2024(H2)</t>
  </si>
  <si>
    <t>820124003710002024</t>
  </si>
  <si>
    <t>38,064.00</t>
  </si>
  <si>
    <t>8201240048</t>
  </si>
  <si>
    <t>9,235,704.00</t>
  </si>
  <si>
    <t>SALARY JV FOR JUNE 2024(H3)</t>
  </si>
  <si>
    <t>820124004810002024</t>
  </si>
  <si>
    <t>113,090.00</t>
  </si>
  <si>
    <t>373,946.00</t>
  </si>
  <si>
    <t>8201240118</t>
  </si>
  <si>
    <t>3,040,946.00</t>
  </si>
  <si>
    <t>SALARY JV FOR JUNE 2024(PL)</t>
  </si>
  <si>
    <t>820124011810002024</t>
  </si>
  <si>
    <t>57,181.00</t>
  </si>
  <si>
    <t>123,926.00</t>
  </si>
  <si>
    <t>8201240123</t>
  </si>
  <si>
    <t>8205563349</t>
  </si>
  <si>
    <t>315,521.00</t>
  </si>
  <si>
    <t>SALARY JV FOR JUNE 2024(G4)</t>
  </si>
  <si>
    <t>820124012310002024</t>
  </si>
  <si>
    <t>12,622.00</t>
  </si>
  <si>
    <t>8201240128</t>
  </si>
  <si>
    <t>8205562852</t>
  </si>
  <si>
    <t>368,358.00</t>
  </si>
  <si>
    <t>SALARY JV FOR JUNE 2024(G1)</t>
  </si>
  <si>
    <t>820124012810002024</t>
  </si>
  <si>
    <t>14,734.00</t>
  </si>
  <si>
    <t>8201746051</t>
  </si>
  <si>
    <t>240</t>
  </si>
  <si>
    <t>8205366458</t>
  </si>
  <si>
    <t>2,121,307.00</t>
  </si>
  <si>
    <t>SALARY JV FOR JULY 2024(MD)</t>
  </si>
  <si>
    <t>820174605110002024</t>
  </si>
  <si>
    <t>241</t>
  </si>
  <si>
    <t>2004380788</t>
  </si>
  <si>
    <t>12,932.00</t>
  </si>
  <si>
    <t>242</t>
  </si>
  <si>
    <t>85,368.00</t>
  </si>
  <si>
    <t>8201747195</t>
  </si>
  <si>
    <t>2001378365</t>
  </si>
  <si>
    <t>2,049,748.00</t>
  </si>
  <si>
    <t>JKWC STAFF SALARY FOR JULY-2024</t>
  </si>
  <si>
    <t>820174719510002024</t>
  </si>
  <si>
    <t>13,931.00</t>
  </si>
  <si>
    <t>82,544.00</t>
  </si>
  <si>
    <t>8201747318</t>
  </si>
  <si>
    <t>2,345,737.00</t>
  </si>
  <si>
    <t>SALARY JV FOR JULY 2024(N1)</t>
  </si>
  <si>
    <t>820174731810002024</t>
  </si>
  <si>
    <t>10,386.00</t>
  </si>
  <si>
    <t>94,239.00</t>
  </si>
  <si>
    <t>8201747319</t>
  </si>
  <si>
    <t>2,573,750.00</t>
  </si>
  <si>
    <t>SALARY JV FOR JULY 2024(N2)</t>
  </si>
  <si>
    <t>820174731910002024</t>
  </si>
  <si>
    <t>103,453.00</t>
  </si>
  <si>
    <t>8201749993</t>
  </si>
  <si>
    <t>289,224.00</t>
  </si>
  <si>
    <t>SALARY JV FOR JULY 2024(G3)</t>
  </si>
  <si>
    <t>820174999310002024</t>
  </si>
  <si>
    <t>11,569.00</t>
  </si>
  <si>
    <t>8201750113</t>
  </si>
  <si>
    <t>8202219442</t>
  </si>
  <si>
    <t>608,450.00</t>
  </si>
  <si>
    <t>SALARY FOR THE M/O JULY-24</t>
  </si>
  <si>
    <t>820175011310002024</t>
  </si>
  <si>
    <t>8202219445</t>
  </si>
  <si>
    <t>24,337.00</t>
  </si>
  <si>
    <t>8201751208</t>
  </si>
  <si>
    <t>8205565165</t>
  </si>
  <si>
    <t>307,163.00</t>
  </si>
  <si>
    <t>SALARY JV FOR JULY 2024(G5)</t>
  </si>
  <si>
    <t>820175120810002024</t>
  </si>
  <si>
    <t>12,286.00</t>
  </si>
  <si>
    <t>8201756121</t>
  </si>
  <si>
    <t>8205559403</t>
  </si>
  <si>
    <t>1,423,325.00</t>
  </si>
  <si>
    <t>SALARY JV FOR JULY 2024(H11)</t>
  </si>
  <si>
    <t>820175612110002024</t>
  </si>
  <si>
    <t>56,932.00</t>
  </si>
  <si>
    <t>8201756209</t>
  </si>
  <si>
    <t>112</t>
  </si>
  <si>
    <t>3,183.00</t>
  </si>
  <si>
    <t>SALARY JV FOR JULY 2024(M2)</t>
  </si>
  <si>
    <t>820175620910002024</t>
  </si>
  <si>
    <t>AB</t>
  </si>
  <si>
    <t>320101</t>
  </si>
  <si>
    <t>113</t>
  </si>
  <si>
    <t>127.00</t>
  </si>
  <si>
    <t>8201756606</t>
  </si>
  <si>
    <t>20,012,805.00</t>
  </si>
  <si>
    <t>SALARY JV FOR JULY 2024(H1)</t>
  </si>
  <si>
    <t>820175660610002024</t>
  </si>
  <si>
    <t>190010</t>
  </si>
  <si>
    <t>1,131,520.00</t>
  </si>
  <si>
    <t>845,771.00</t>
  </si>
  <si>
    <t>8201757386</t>
  </si>
  <si>
    <t>8206351482</t>
  </si>
  <si>
    <t>10,067,334.00</t>
  </si>
  <si>
    <t>SALARY JV FOR JULY 2024(H3)</t>
  </si>
  <si>
    <t>820175738610002024</t>
  </si>
  <si>
    <t>137,092.00</t>
  </si>
  <si>
    <t>408,183.00</t>
  </si>
  <si>
    <t>8201984673</t>
  </si>
  <si>
    <t>8205559561</t>
  </si>
  <si>
    <t>353,063.00</t>
  </si>
  <si>
    <t>SALARY JV FOR AUGUST 2024(H1)</t>
  </si>
  <si>
    <t>820198467310002024</t>
  </si>
  <si>
    <t>14,123.00</t>
  </si>
  <si>
    <t>8202128483</t>
  </si>
  <si>
    <t>18</t>
  </si>
  <si>
    <t>8205559268</t>
  </si>
  <si>
    <t>322,410.00</t>
  </si>
  <si>
    <t>SALARY JV FOR AUGUST 2024(G2)</t>
  </si>
  <si>
    <t>820212848310002024</t>
  </si>
  <si>
    <t>19</t>
  </si>
  <si>
    <t>12,896.00</t>
  </si>
  <si>
    <t>8202136135</t>
  </si>
  <si>
    <t>693,618.00</t>
  </si>
  <si>
    <t>SALARY JV FOR AUGUST 2024(G5)</t>
  </si>
  <si>
    <t>820213613510002024</t>
  </si>
  <si>
    <t>320418</t>
  </si>
  <si>
    <t>27,745.00</t>
  </si>
  <si>
    <t>8202144612</t>
  </si>
  <si>
    <t>1,463,268.00</t>
  </si>
  <si>
    <t>SALARY JV FOR AUGUST 2024(H11)</t>
  </si>
  <si>
    <t>820214461210002024</t>
  </si>
  <si>
    <t>58,533.00</t>
  </si>
  <si>
    <t>8202146744</t>
  </si>
  <si>
    <t>247</t>
  </si>
  <si>
    <t>2,210,518.00</t>
  </si>
  <si>
    <t>SALARY JV FOR AUGUST 2024(MD)</t>
  </si>
  <si>
    <t>820214674410002024</t>
  </si>
  <si>
    <t>248</t>
  </si>
  <si>
    <t>249</t>
  </si>
  <si>
    <t>88,935.00</t>
  </si>
  <si>
    <t>8202147892</t>
  </si>
  <si>
    <t>2001706180</t>
  </si>
  <si>
    <t>2,087,910.00</t>
  </si>
  <si>
    <t>JKWC STAFF SALARY FOR AUG-2024</t>
  </si>
  <si>
    <t>820214789210002024</t>
  </si>
  <si>
    <t>30,474.00</t>
  </si>
  <si>
    <t>84,734.00</t>
  </si>
  <si>
    <t>8202147893</t>
  </si>
  <si>
    <t>2001706178</t>
  </si>
  <si>
    <t>341,879.00</t>
  </si>
  <si>
    <t>JKC STAFF SALARY FOR AUG-2024</t>
  </si>
  <si>
    <t>820214789310002024</t>
  </si>
  <si>
    <t>13,678.00</t>
  </si>
  <si>
    <t>8202149389</t>
  </si>
  <si>
    <t>8202440645</t>
  </si>
  <si>
    <t>2,476,312.00</t>
  </si>
  <si>
    <t>SALARY JV FOR AUGUST 2024(N1)</t>
  </si>
  <si>
    <t>820214938910002024</t>
  </si>
  <si>
    <t>10,387.00</t>
  </si>
  <si>
    <t>33</t>
  </si>
  <si>
    <t>8202395062</t>
  </si>
  <si>
    <t>99,464.00</t>
  </si>
  <si>
    <t>8202149492</t>
  </si>
  <si>
    <t>2,209,303.00</t>
  </si>
  <si>
    <t>SALARY JV FOR AUGUST 2024(N2)</t>
  </si>
  <si>
    <t>820214949210002024</t>
  </si>
  <si>
    <t>8202440889</t>
  </si>
  <si>
    <t>88,869.00</t>
  </si>
  <si>
    <t>8202162727</t>
  </si>
  <si>
    <t>8202704659</t>
  </si>
  <si>
    <t>534,142.00</t>
  </si>
  <si>
    <t>SALARY FOR THE M/O AUG-24</t>
  </si>
  <si>
    <t>820216272710002024</t>
  </si>
  <si>
    <t>8202704660</t>
  </si>
  <si>
    <t>21,365.00</t>
  </si>
  <si>
    <t>8202636064</t>
  </si>
  <si>
    <t>8205562659</t>
  </si>
  <si>
    <t>1,997,916.00</t>
  </si>
  <si>
    <t>SALARY JV FOR SEPTEMBER 2024(N1)</t>
  </si>
  <si>
    <t>820263606410002024</t>
  </si>
  <si>
    <t>10,231.00</t>
  </si>
  <si>
    <t>80,318.00</t>
  </si>
  <si>
    <t>8202636069</t>
  </si>
  <si>
    <t>8205562785</t>
  </si>
  <si>
    <t>1,974,902.00</t>
  </si>
  <si>
    <t>SALARY JV FOR SEPTEMBER 2024(N2)</t>
  </si>
  <si>
    <t>820263606910002024</t>
  </si>
  <si>
    <t>12,149.00</t>
  </si>
  <si>
    <t>79,488.00</t>
  </si>
  <si>
    <t>8202638710</t>
  </si>
  <si>
    <t>283</t>
  </si>
  <si>
    <t>1,867,197.00</t>
  </si>
  <si>
    <t>SALARY JV FOR SEPTEMBER 2024(MD)</t>
  </si>
  <si>
    <t>820263871010002024</t>
  </si>
  <si>
    <t>284</t>
  </si>
  <si>
    <t>285</t>
  </si>
  <si>
    <t>75,204.00</t>
  </si>
  <si>
    <t>8202638856</t>
  </si>
  <si>
    <t>317,843.00</t>
  </si>
  <si>
    <t>SALARY JV FOR SEPTEMBER 2024(G2)</t>
  </si>
  <si>
    <t>820263885610002024</t>
  </si>
  <si>
    <t>12,714.00</t>
  </si>
  <si>
    <t>8202638889</t>
  </si>
  <si>
    <t>8205562923</t>
  </si>
  <si>
    <t>333,273.00</t>
  </si>
  <si>
    <t>SALARY JV FOR SEPTEMBER 2024(G1)</t>
  </si>
  <si>
    <t>820263888910002024</t>
  </si>
  <si>
    <t>13,332.00</t>
  </si>
  <si>
    <t>8202639174</t>
  </si>
  <si>
    <t>3,181,610.00</t>
  </si>
  <si>
    <t>SALARY JV FOR SEPTEMBER 2024(PL)</t>
  </si>
  <si>
    <t>820263917410002024</t>
  </si>
  <si>
    <t>56,625.00</t>
  </si>
  <si>
    <t>129,526.00</t>
  </si>
  <si>
    <t>8202640134</t>
  </si>
  <si>
    <t>248,275.00</t>
  </si>
  <si>
    <t>SALARY JV FOR SEPTEMBER 2024(G3)</t>
  </si>
  <si>
    <t>820264013410002024</t>
  </si>
  <si>
    <t>9,932.00</t>
  </si>
  <si>
    <t>8202645631</t>
  </si>
  <si>
    <t>240,715.00</t>
  </si>
  <si>
    <t>SALARY JV FOR SEPTEMBER 2024(G4)</t>
  </si>
  <si>
    <t>820264563110002024</t>
  </si>
  <si>
    <t>9,629.00</t>
  </si>
  <si>
    <t>8202647304</t>
  </si>
  <si>
    <t>8205559425</t>
  </si>
  <si>
    <t>1,424,399.00</t>
  </si>
  <si>
    <t>SALARY JV FOR SEPTEMBER 2024(H10)</t>
  </si>
  <si>
    <t>820264730410002024</t>
  </si>
  <si>
    <t>14,011.00</t>
  </si>
  <si>
    <t>57,536.00</t>
  </si>
  <si>
    <t>8202649582</t>
  </si>
  <si>
    <t>2002074063</t>
  </si>
  <si>
    <t>256,011.00</t>
  </si>
  <si>
    <t>JKC STAFF SALARY FOR SEPT-2024</t>
  </si>
  <si>
    <t>820264958210002024</t>
  </si>
  <si>
    <t>10,243.00</t>
  </si>
  <si>
    <t>8202652058</t>
  </si>
  <si>
    <t>15,647.00</t>
  </si>
  <si>
    <t>SALARY JV FOR SEPT 2024(GG)</t>
  </si>
  <si>
    <t>820265205810002024</t>
  </si>
  <si>
    <t>626.00</t>
  </si>
  <si>
    <t>8203203189</t>
  </si>
  <si>
    <t>263</t>
  </si>
  <si>
    <t>2,057,567.00</t>
  </si>
  <si>
    <t>SALARY JV FOR OCTOBER 2024(MD)</t>
  </si>
  <si>
    <t>820320318910002024</t>
  </si>
  <si>
    <t>264</t>
  </si>
  <si>
    <t>12,947.00</t>
  </si>
  <si>
    <t>265</t>
  </si>
  <si>
    <t>82,142.00</t>
  </si>
  <si>
    <t>8203204318</t>
  </si>
  <si>
    <t>2,663.00</t>
  </si>
  <si>
    <t>SALARY JV FOR OCTOBER 2024(ME)</t>
  </si>
  <si>
    <t>820320431810002024</t>
  </si>
  <si>
    <t>107.00</t>
  </si>
  <si>
    <t>8203214091</t>
  </si>
  <si>
    <t>268,619.00</t>
  </si>
  <si>
    <t>SALARY JV FOR OCTOBER 2024(G5)</t>
  </si>
  <si>
    <t>820321409110002024</t>
  </si>
  <si>
    <t>10,745.00</t>
  </si>
  <si>
    <t>8203215631</t>
  </si>
  <si>
    <t>8205565229</t>
  </si>
  <si>
    <t>2,786,619.00</t>
  </si>
  <si>
    <t>SALARY JV FOR OCTOBER 2024(PL)</t>
  </si>
  <si>
    <t>820321563110002024</t>
  </si>
  <si>
    <t>56,829.00</t>
  </si>
  <si>
    <t>113,742.00</t>
  </si>
  <si>
    <t>8203215739</t>
  </si>
  <si>
    <t>252,279.00</t>
  </si>
  <si>
    <t>SALARY JV FOR OCTOBER 2024(G3)</t>
  </si>
  <si>
    <t>820321573910002024</t>
  </si>
  <si>
    <t>10,093.00</t>
  </si>
  <si>
    <t>8203228027</t>
  </si>
  <si>
    <t>8205559434</t>
  </si>
  <si>
    <t>20,666,433.00</t>
  </si>
  <si>
    <t>SALARY JV FOR OCTOBER 2024(H1)</t>
  </si>
  <si>
    <t>820322802710002024</t>
  </si>
  <si>
    <t>1,136,528.00</t>
  </si>
  <si>
    <t>872,130.00</t>
  </si>
  <si>
    <t>8203230407</t>
  </si>
  <si>
    <t>2002593605</t>
  </si>
  <si>
    <t>333,577.00</t>
  </si>
  <si>
    <t>JKC STAFF SALARY FOR OCT-2024</t>
  </si>
  <si>
    <t>820323040710002024</t>
  </si>
  <si>
    <t>13,346.00</t>
  </si>
  <si>
    <t>8203234664</t>
  </si>
  <si>
    <t>1500000449</t>
  </si>
  <si>
    <t>1,824,526.00</t>
  </si>
  <si>
    <t>JKWC STAFF SALARY FOR OCT-2024</t>
  </si>
  <si>
    <t>820323466410002024</t>
  </si>
  <si>
    <t>13,887.00</t>
  </si>
  <si>
    <t>73,541.00</t>
  </si>
  <si>
    <t>8203263758</t>
  </si>
  <si>
    <t>2,075,226.00</t>
  </si>
  <si>
    <t>SALARY JV FOR OCTOBER 2024(N1)</t>
  </si>
  <si>
    <t>820326375810002024</t>
  </si>
  <si>
    <t>10,232.00</t>
  </si>
  <si>
    <t>83,411.00</t>
  </si>
  <si>
    <t>8203267761</t>
  </si>
  <si>
    <t>2002593606</t>
  </si>
  <si>
    <t>16,674.00</t>
  </si>
  <si>
    <t>SALARY JV FOR OCTOBER 2024(GG)</t>
  </si>
  <si>
    <t>820326776110002024</t>
  </si>
  <si>
    <t>667.00</t>
  </si>
  <si>
    <t>8203350484</t>
  </si>
  <si>
    <t>63,463.00</t>
  </si>
  <si>
    <t>SALARY JV FOR OCTOBER 2024(H3)</t>
  </si>
  <si>
    <t>820335048410002024</t>
  </si>
  <si>
    <t>2,539.00</t>
  </si>
  <si>
    <t>8203606639</t>
  </si>
  <si>
    <t>111,728.00</t>
  </si>
  <si>
    <t>SALARY JV FOR NOVEMBER 2024(H3)</t>
  </si>
  <si>
    <t>820360663910002024</t>
  </si>
  <si>
    <t>4,469.00</t>
  </si>
  <si>
    <t>8203691160</t>
  </si>
  <si>
    <t>338,145.00</t>
  </si>
  <si>
    <t>SALARY JV FOR NOVEMBER 2024(G1)</t>
  </si>
  <si>
    <t>820369116010002024</t>
  </si>
  <si>
    <t>60.00</t>
  </si>
  <si>
    <t>13,529.00</t>
  </si>
  <si>
    <t>8203691181</t>
  </si>
  <si>
    <t>300,897.00</t>
  </si>
  <si>
    <t>SALARY JV FOR NOVEMBER 2024(G2)</t>
  </si>
  <si>
    <t>820369118110002024</t>
  </si>
  <si>
    <t>12,035.00</t>
  </si>
  <si>
    <t>8203691302</t>
  </si>
  <si>
    <t>242,780.00</t>
  </si>
  <si>
    <t>SALARY JV FOR NOVEMBER 2024(G4)</t>
  </si>
  <si>
    <t>820369130210002024</t>
  </si>
  <si>
    <t>9,713.00</t>
  </si>
  <si>
    <t>8203691478</t>
  </si>
  <si>
    <t>295,438.00</t>
  </si>
  <si>
    <t>SALARY JV FOR NOVEMBER 2024(G5)</t>
  </si>
  <si>
    <t>820369147810002024</t>
  </si>
  <si>
    <t>11,819.00</t>
  </si>
  <si>
    <t>8203692643</t>
  </si>
  <si>
    <t>2,867,565.00</t>
  </si>
  <si>
    <t>SALARY JV FOR NOVEMBER 2024(PL)</t>
  </si>
  <si>
    <t>820369264310002024</t>
  </si>
  <si>
    <t>56,379.00</t>
  </si>
  <si>
    <t>116,958.00</t>
  </si>
  <si>
    <t>8203703934</t>
  </si>
  <si>
    <t>8205559428</t>
  </si>
  <si>
    <t>20,616,501.00</t>
  </si>
  <si>
    <t>SALARY JV FOR NOVEMBER 2024(H1)</t>
  </si>
  <si>
    <t>820370393410002024</t>
  </si>
  <si>
    <t>180001</t>
  </si>
  <si>
    <t>1,147,111.00</t>
  </si>
  <si>
    <t>870,546.00</t>
  </si>
  <si>
    <t>8203708321</t>
  </si>
  <si>
    <t>1,367,226.00</t>
  </si>
  <si>
    <t>SALARY JV FOR NOVEMBER 2024(H10)</t>
  </si>
  <si>
    <t>820370832110002024</t>
  </si>
  <si>
    <t>55,251.00</t>
  </si>
  <si>
    <t>8203709234</t>
  </si>
  <si>
    <t>884,867.00</t>
  </si>
  <si>
    <t>SALARY JV FOR NOVEMBER 2024(H5)</t>
  </si>
  <si>
    <t>820370923410002024</t>
  </si>
  <si>
    <t>16,223.00</t>
  </si>
  <si>
    <t>36,049.00</t>
  </si>
  <si>
    <t>8203714811</t>
  </si>
  <si>
    <t>1,940,558.00</t>
  </si>
  <si>
    <t>SALARY JV FOR NOVEMBER 2024(N2)</t>
  </si>
  <si>
    <t>820371481110002024</t>
  </si>
  <si>
    <t>78,107.00</t>
  </si>
  <si>
    <t>8203717118</t>
  </si>
  <si>
    <t>260</t>
  </si>
  <si>
    <t>1,938,489.00</t>
  </si>
  <si>
    <t>SALARY JV FOR NOVEMBER 2024(MD)</t>
  </si>
  <si>
    <t>820371711810002024</t>
  </si>
  <si>
    <t>261</t>
  </si>
  <si>
    <t>262</t>
  </si>
  <si>
    <t>78,058.00</t>
  </si>
  <si>
    <t>8203728451</t>
  </si>
  <si>
    <t>8205565151</t>
  </si>
  <si>
    <t>265,963.00</t>
  </si>
  <si>
    <t>SALARY FOR M/O NOV- 2024</t>
  </si>
  <si>
    <t>820372845110002024</t>
  </si>
  <si>
    <t>2004553688</t>
  </si>
  <si>
    <t>10,635.00</t>
  </si>
  <si>
    <t>8203739583</t>
  </si>
  <si>
    <t>2002933661</t>
  </si>
  <si>
    <t>244,002.00</t>
  </si>
  <si>
    <t>SALARY JV FOR NOVEMBER 2024(GW)</t>
  </si>
  <si>
    <t>820373958310002024</t>
  </si>
  <si>
    <t>9,761.00</t>
  </si>
  <si>
    <t>8204418613</t>
  </si>
  <si>
    <t>2,166,307.00</t>
  </si>
  <si>
    <t>SALARY JV FOR DECEMBER 2024(N1)</t>
  </si>
  <si>
    <t>820441861310002024</t>
  </si>
  <si>
    <t>10,234.00</t>
  </si>
  <si>
    <t>87,059.00</t>
  </si>
  <si>
    <t>8204422236</t>
  </si>
  <si>
    <t>2003512541</t>
  </si>
  <si>
    <t>265,814.00</t>
  </si>
  <si>
    <t>JKC STAFF SALARY FOR DEC-2024</t>
  </si>
  <si>
    <t>820442223610002024</t>
  </si>
  <si>
    <t>10,631.00</t>
  </si>
  <si>
    <t>8204422935</t>
  </si>
  <si>
    <t>2003512556</t>
  </si>
  <si>
    <t>295,526.00</t>
  </si>
  <si>
    <t>SALARY JV FOR DEC 2024(GW)</t>
  </si>
  <si>
    <t>820442293510002024</t>
  </si>
  <si>
    <t>11,820.00</t>
  </si>
  <si>
    <t>8204425527</t>
  </si>
  <si>
    <t>286,986.00</t>
  </si>
  <si>
    <t>SALARY JV FOR DECEMBER 2024(G2)</t>
  </si>
  <si>
    <t>820442552710002024</t>
  </si>
  <si>
    <t>11,479.00</t>
  </si>
  <si>
    <t>8204425530</t>
  </si>
  <si>
    <t>270,888.00</t>
  </si>
  <si>
    <t>SALARY JV FOR DECEMBER 2024(G3)</t>
  </si>
  <si>
    <t>820442553010002024</t>
  </si>
  <si>
    <t>10,839.00</t>
  </si>
  <si>
    <t>8204427432</t>
  </si>
  <si>
    <t>8205563395</t>
  </si>
  <si>
    <t>8,674,899.00</t>
  </si>
  <si>
    <t>SALARY JV FOR DECEMBER 2024(H3)</t>
  </si>
  <si>
    <t>820442743210002024</t>
  </si>
  <si>
    <t>113,905.00</t>
  </si>
  <si>
    <t>351,546.00</t>
  </si>
  <si>
    <t>8205141153</t>
  </si>
  <si>
    <t>2,265,595.00</t>
  </si>
  <si>
    <t>SALARY JV FOR JANUARY 2025(N1)</t>
  </si>
  <si>
    <t>820514115310002024</t>
  </si>
  <si>
    <t>10,236.00</t>
  </si>
  <si>
    <t>91,032.00</t>
  </si>
  <si>
    <t>8205141200</t>
  </si>
  <si>
    <t>110</t>
  </si>
  <si>
    <t>66,791.00</t>
  </si>
  <si>
    <t>SALARY JV FOR JANUARY 2025(M2)</t>
  </si>
  <si>
    <t>820514120010002024</t>
  </si>
  <si>
    <t>111</t>
  </si>
  <si>
    <t>2,672.00</t>
  </si>
  <si>
    <t>8205154679</t>
  </si>
  <si>
    <t>2004045277</t>
  </si>
  <si>
    <t>33,270.00</t>
  </si>
  <si>
    <t>JKC WW FOR JAN-2025</t>
  </si>
  <si>
    <t>820515467910002024</t>
  </si>
  <si>
    <t>1,331.00</t>
  </si>
  <si>
    <t>8205154800</t>
  </si>
  <si>
    <t>259</t>
  </si>
  <si>
    <t>1,979,856.00</t>
  </si>
  <si>
    <t>SALARY JV FOR JANUARY 2025(MD)</t>
  </si>
  <si>
    <t>820515480010002024</t>
  </si>
  <si>
    <t>79,711.00</t>
  </si>
  <si>
    <t>8205159314</t>
  </si>
  <si>
    <t>274,502.00</t>
  </si>
  <si>
    <t>SALARY JV FOR JANUARY 2025(G2)</t>
  </si>
  <si>
    <t>820515931410002024</t>
  </si>
  <si>
    <t>10,980.00</t>
  </si>
  <si>
    <t>8205159854</t>
  </si>
  <si>
    <t>411,067.00</t>
  </si>
  <si>
    <t>SALARY JV FOR JANUARY 2025(G1)</t>
  </si>
  <si>
    <t>820515985410002024</t>
  </si>
  <si>
    <t>16,442.00</t>
  </si>
  <si>
    <t>8205163684</t>
  </si>
  <si>
    <t>232,791.00</t>
  </si>
  <si>
    <t>JKWC WW FOR JAN'25</t>
  </si>
  <si>
    <t>820516368410002024</t>
  </si>
  <si>
    <t>9,315.00</t>
  </si>
  <si>
    <t>8205164802</t>
  </si>
  <si>
    <t>8205565150</t>
  </si>
  <si>
    <t>20,668,877.00</t>
  </si>
  <si>
    <t>SALARY JV FOR JANUARY 2025(H1)</t>
  </si>
  <si>
    <t>820516480210002024</t>
  </si>
  <si>
    <t>1,202,560.00</t>
  </si>
  <si>
    <t>874,853.00</t>
  </si>
  <si>
    <t>8205167110</t>
  </si>
  <si>
    <t>2004557393</t>
  </si>
  <si>
    <t>214,594.00</t>
  </si>
  <si>
    <t>SALARY FOR M/O JAN- 2025 (KTNI)</t>
  </si>
  <si>
    <t>820516711010002024</t>
  </si>
  <si>
    <t>8,581.00</t>
  </si>
  <si>
    <t>8205544746</t>
  </si>
  <si>
    <t>144,138.00</t>
  </si>
  <si>
    <t>SALARY JV FOR FEBRUARY 2025(H3)</t>
  </si>
  <si>
    <t>820554474610002024</t>
  </si>
  <si>
    <t>5,766.00</t>
  </si>
  <si>
    <t>8205631460</t>
  </si>
  <si>
    <t>8206178189</t>
  </si>
  <si>
    <t>2,472,362.00</t>
  </si>
  <si>
    <t>SALARY JV FOR FEBRUARY 2025(N1)</t>
  </si>
  <si>
    <t>820563146010002024</t>
  </si>
  <si>
    <t>10,465.00</t>
  </si>
  <si>
    <t>99,315.00</t>
  </si>
  <si>
    <t>8205631461</t>
  </si>
  <si>
    <t>74,024.00</t>
  </si>
  <si>
    <t>SALARY JV FOR FEBRUARY 2025(M2)</t>
  </si>
  <si>
    <t>820563146110002024</t>
  </si>
  <si>
    <t>2,961.00</t>
  </si>
  <si>
    <t>8205631469</t>
  </si>
  <si>
    <t>2,529,537.00</t>
  </si>
  <si>
    <t>SALARY JV FOR FEBRUARY 2025(N2)</t>
  </si>
  <si>
    <t>820563146910002024</t>
  </si>
  <si>
    <t>14,940.00</t>
  </si>
  <si>
    <t>101,780.00</t>
  </si>
  <si>
    <t>8205633671</t>
  </si>
  <si>
    <t>4,134,905.00</t>
  </si>
  <si>
    <t>SALARY JV FOR FEBRUARY 2025(PL)</t>
  </si>
  <si>
    <t>820563367110002024</t>
  </si>
  <si>
    <t>58,353.00</t>
  </si>
  <si>
    <t>167,733.00</t>
  </si>
  <si>
    <t>8205633954</t>
  </si>
  <si>
    <t>456,941.00</t>
  </si>
  <si>
    <t>SALARY JV FOR FEBRUARY 2025(G1)</t>
  </si>
  <si>
    <t>820563395410002024</t>
  </si>
  <si>
    <t>18,277.00</t>
  </si>
  <si>
    <t>8205633968</t>
  </si>
  <si>
    <t>420,522.00</t>
  </si>
  <si>
    <t>SALARY JV FOR FEBRUARY 2025(G2)</t>
  </si>
  <si>
    <t>820563396810002024</t>
  </si>
  <si>
    <t>16,819.00</t>
  </si>
  <si>
    <t>8205633972</t>
  </si>
  <si>
    <t>411,660.00</t>
  </si>
  <si>
    <t>SALARY JV FOR FEBRUARY 2025(G4)</t>
  </si>
  <si>
    <t>820563397210002024</t>
  </si>
  <si>
    <t>16,467.00</t>
  </si>
  <si>
    <t>8205633975</t>
  </si>
  <si>
    <t>659,094.00</t>
  </si>
  <si>
    <t>SALARY JV FOR FEBRUARY 2025(G5)</t>
  </si>
  <si>
    <t>820563397510002024</t>
  </si>
  <si>
    <t>26,364.00</t>
  </si>
  <si>
    <t>8205655252</t>
  </si>
  <si>
    <t>2004382770</t>
  </si>
  <si>
    <t>2,172,186.00</t>
  </si>
  <si>
    <t>SALARY JV FOR FEBRUARY 2025 (GW)</t>
  </si>
  <si>
    <t>820565525210002024</t>
  </si>
  <si>
    <t>17,385.00</t>
  </si>
  <si>
    <t>87,583.00</t>
  </si>
  <si>
    <t>8205655806</t>
  </si>
  <si>
    <t>2004382688</t>
  </si>
  <si>
    <t>85,500.00</t>
  </si>
  <si>
    <t>WAGES JV FOR FEBRUARY 2025(GG)</t>
  </si>
  <si>
    <t>820565580610002024</t>
  </si>
  <si>
    <t>3,421.00</t>
  </si>
  <si>
    <t>8205655908</t>
  </si>
  <si>
    <t>2004601151</t>
  </si>
  <si>
    <t>663,675.00</t>
  </si>
  <si>
    <t>SALARY JV FEBRUARY25 JHARLI</t>
  </si>
  <si>
    <t>820565590810002024</t>
  </si>
  <si>
    <t>26,545.00</t>
  </si>
  <si>
    <t>8205656781</t>
  </si>
  <si>
    <t>1,839,242.00</t>
  </si>
  <si>
    <t>SALARY JV FOR FEBRUARY 2025(H10)</t>
  </si>
  <si>
    <t>820565678110002024</t>
  </si>
  <si>
    <t>16,111.00</t>
  </si>
  <si>
    <t>74,217.00</t>
  </si>
  <si>
    <t>8205659339</t>
  </si>
  <si>
    <t>1,129,026.00</t>
  </si>
  <si>
    <t>SALARY JV FOR FEBRUARY 2025(H5)</t>
  </si>
  <si>
    <t>820565933910002024</t>
  </si>
  <si>
    <t>45,814.00</t>
  </si>
  <si>
    <t>8205666034</t>
  </si>
  <si>
    <t>23,890,258.00</t>
  </si>
  <si>
    <t>SALARY JV FOR FEBRUARY 2025(H1)</t>
  </si>
  <si>
    <t>820566603410002024</t>
  </si>
  <si>
    <t>1,168,005.00</t>
  </si>
  <si>
    <t>1,002,337.00</t>
  </si>
  <si>
    <t>8206341777</t>
  </si>
  <si>
    <t>2000418298</t>
  </si>
  <si>
    <t>410,947.00</t>
  </si>
  <si>
    <t>SALARY JV FOR MARCH 2025 (GG)</t>
  </si>
  <si>
    <t>820634177710002024</t>
  </si>
  <si>
    <t>16,438.00</t>
  </si>
  <si>
    <t>8206341793</t>
  </si>
  <si>
    <t>2000546992</t>
  </si>
  <si>
    <t>295,797.00</t>
  </si>
  <si>
    <t>WAGES JV FOR MARCH 2025(GW)</t>
  </si>
  <si>
    <t>820634179310002024</t>
  </si>
  <si>
    <t>11,833.00</t>
  </si>
  <si>
    <t>8206341813</t>
  </si>
  <si>
    <t>2000713670</t>
  </si>
  <si>
    <t>341,816.00</t>
  </si>
  <si>
    <t>SALARY FOR M/O MAR- 2025 KATNI</t>
  </si>
  <si>
    <t>820634181310002024</t>
  </si>
  <si>
    <t>2000713668</t>
  </si>
  <si>
    <t>13,672.00</t>
  </si>
  <si>
    <t>104</t>
  </si>
  <si>
    <t>105</t>
  </si>
  <si>
    <t>8206917268</t>
  </si>
  <si>
    <t>203</t>
  </si>
  <si>
    <t>8207135249</t>
  </si>
  <si>
    <t>9,392.00</t>
  </si>
  <si>
    <t>SALARY JV PG18 G5 JAN 2026</t>
  </si>
  <si>
    <t>820691726810002025</t>
  </si>
  <si>
    <t>204</t>
  </si>
  <si>
    <t>41,060.00</t>
  </si>
  <si>
    <t>205</t>
  </si>
  <si>
    <t>37,604.00</t>
  </si>
  <si>
    <t>206</t>
  </si>
  <si>
    <t>12,993.00</t>
  </si>
  <si>
    <t>207</t>
  </si>
  <si>
    <t>71,169.00</t>
  </si>
  <si>
    <t>208</t>
  </si>
  <si>
    <t>94,363.00</t>
  </si>
  <si>
    <t>209</t>
  </si>
  <si>
    <t>14,383.00</t>
  </si>
  <si>
    <t>210</t>
  </si>
  <si>
    <t>81,082.00</t>
  </si>
  <si>
    <t>211</t>
  </si>
  <si>
    <t>8207136274</t>
  </si>
  <si>
    <t>9,740.00</t>
  </si>
  <si>
    <t>212</t>
  </si>
  <si>
    <t>8207138601</t>
  </si>
  <si>
    <t>376.00</t>
  </si>
  <si>
    <t>213</t>
  </si>
  <si>
    <t>1,643.00</t>
  </si>
  <si>
    <t>214</t>
  </si>
  <si>
    <t>1,505.00</t>
  </si>
  <si>
    <t>215</t>
  </si>
  <si>
    <t>520.00</t>
  </si>
  <si>
    <t>216</t>
  </si>
  <si>
    <t>2,847.00</t>
  </si>
  <si>
    <t>217</t>
  </si>
  <si>
    <t>4,164.00</t>
  </si>
  <si>
    <t>218</t>
  </si>
  <si>
    <t>575.00</t>
  </si>
  <si>
    <t>219</t>
  </si>
  <si>
    <t>3,243.00</t>
  </si>
  <si>
    <t>8206917352</t>
  </si>
  <si>
    <t>346</t>
  </si>
  <si>
    <t>41,351.00</t>
  </si>
  <si>
    <t>SALARY JV PG7 JH JAN 2026</t>
  </si>
  <si>
    <t>820691735210002025</t>
  </si>
  <si>
    <t>347</t>
  </si>
  <si>
    <t>46,860.00</t>
  </si>
  <si>
    <t>348</t>
  </si>
  <si>
    <t>14,653.00</t>
  </si>
  <si>
    <t>349</t>
  </si>
  <si>
    <t>32,788.00</t>
  </si>
  <si>
    <t>350</t>
  </si>
  <si>
    <t>8,751.00</t>
  </si>
  <si>
    <t>351</t>
  </si>
  <si>
    <t>54,790.00</t>
  </si>
  <si>
    <t>352</t>
  </si>
  <si>
    <t>11,762.00</t>
  </si>
  <si>
    <t>353</t>
  </si>
  <si>
    <t>76,668.00</t>
  </si>
  <si>
    <t>354</t>
  </si>
  <si>
    <t>7,799.00</t>
  </si>
  <si>
    <t>355</t>
  </si>
  <si>
    <t>1,654.00</t>
  </si>
  <si>
    <t>356</t>
  </si>
  <si>
    <t>1,874.00</t>
  </si>
  <si>
    <t>357</t>
  </si>
  <si>
    <t>586.00</t>
  </si>
  <si>
    <t>358</t>
  </si>
  <si>
    <t>1,312.00</t>
  </si>
  <si>
    <t>359</t>
  </si>
  <si>
    <t>350.00</t>
  </si>
  <si>
    <t>360</t>
  </si>
  <si>
    <t>2,192.00</t>
  </si>
  <si>
    <t>361</t>
  </si>
  <si>
    <t>470.00</t>
  </si>
  <si>
    <t>362</t>
  </si>
  <si>
    <t>3,067.00</t>
  </si>
  <si>
    <t>363</t>
  </si>
  <si>
    <t>312.00</t>
  </si>
  <si>
    <t>8206917364</t>
  </si>
  <si>
    <t>396</t>
  </si>
  <si>
    <t>8,970.00</t>
  </si>
  <si>
    <t>SALARY JV PG4 GG JAN 2026</t>
  </si>
  <si>
    <t>820691736410002025</t>
  </si>
  <si>
    <t>397</t>
  </si>
  <si>
    <t>8,202.00</t>
  </si>
  <si>
    <t>398</t>
  </si>
  <si>
    <t>29,318.00</t>
  </si>
  <si>
    <t>399</t>
  </si>
  <si>
    <t>2,762.00</t>
  </si>
  <si>
    <t>400</t>
  </si>
  <si>
    <t>28,307.00</t>
  </si>
  <si>
    <t>401</t>
  </si>
  <si>
    <t>49,826.00</t>
  </si>
  <si>
    <t>402</t>
  </si>
  <si>
    <t>39,058.00</t>
  </si>
  <si>
    <t>403</t>
  </si>
  <si>
    <t>7,290.00</t>
  </si>
  <si>
    <t>404</t>
  </si>
  <si>
    <t>11,447.00</t>
  </si>
  <si>
    <t>405</t>
  </si>
  <si>
    <t>359.00</t>
  </si>
  <si>
    <t>406</t>
  </si>
  <si>
    <t>328.00</t>
  </si>
  <si>
    <t>407</t>
  </si>
  <si>
    <t>1,172.00</t>
  </si>
  <si>
    <t>408</t>
  </si>
  <si>
    <t>110.00</t>
  </si>
  <si>
    <t>409</t>
  </si>
  <si>
    <t>1,132.00</t>
  </si>
  <si>
    <t>410</t>
  </si>
  <si>
    <t>1,993.00</t>
  </si>
  <si>
    <t>411</t>
  </si>
  <si>
    <t>1,562.00</t>
  </si>
  <si>
    <t>412</t>
  </si>
  <si>
    <t>292.00</t>
  </si>
  <si>
    <t>413</t>
  </si>
  <si>
    <t>458.00</t>
  </si>
  <si>
    <t>8206917524</t>
  </si>
  <si>
    <t>670</t>
  </si>
  <si>
    <t>23,989.00</t>
  </si>
  <si>
    <t>SALARY JV PG12 PL JAN 2026</t>
  </si>
  <si>
    <t>820691752410002025</t>
  </si>
  <si>
    <t>671</t>
  </si>
  <si>
    <t>28,344.00</t>
  </si>
  <si>
    <t>672</t>
  </si>
  <si>
    <t>25,497.00</t>
  </si>
  <si>
    <t>673</t>
  </si>
  <si>
    <t>17,857.00</t>
  </si>
  <si>
    <t>674</t>
  </si>
  <si>
    <t>286,643.00</t>
  </si>
  <si>
    <t>675</t>
  </si>
  <si>
    <t>17,297.00</t>
  </si>
  <si>
    <t>676</t>
  </si>
  <si>
    <t>6,374.00</t>
  </si>
  <si>
    <t>677</t>
  </si>
  <si>
    <t>17,180.00</t>
  </si>
  <si>
    <t>678</t>
  </si>
  <si>
    <t>123,567.00</t>
  </si>
  <si>
    <t>679</t>
  </si>
  <si>
    <t>51,880.00</t>
  </si>
  <si>
    <t>680</t>
  </si>
  <si>
    <t>23,804.00</t>
  </si>
  <si>
    <t>681</t>
  </si>
  <si>
    <t>22,836.00</t>
  </si>
  <si>
    <t>682</t>
  </si>
  <si>
    <t>15,598.00</t>
  </si>
  <si>
    <t>683</t>
  </si>
  <si>
    <t>13,066.00</t>
  </si>
  <si>
    <t>684</t>
  </si>
  <si>
    <t>21,575.00</t>
  </si>
  <si>
    <t>685</t>
  </si>
  <si>
    <t>259,790.00</t>
  </si>
  <si>
    <t>686</t>
  </si>
  <si>
    <t>59,529.00</t>
  </si>
  <si>
    <t>687</t>
  </si>
  <si>
    <t>688</t>
  </si>
  <si>
    <t>8,267.00</t>
  </si>
  <si>
    <t>689</t>
  </si>
  <si>
    <t>9,894.00</t>
  </si>
  <si>
    <t>690</t>
  </si>
  <si>
    <t>37,965.00</t>
  </si>
  <si>
    <t>691</t>
  </si>
  <si>
    <t>16,200.00</t>
  </si>
  <si>
    <t>692</t>
  </si>
  <si>
    <t>46,872.00</t>
  </si>
  <si>
    <t>693</t>
  </si>
  <si>
    <t>90,142.00</t>
  </si>
  <si>
    <t>694</t>
  </si>
  <si>
    <t>60,026.00</t>
  </si>
  <si>
    <t>695</t>
  </si>
  <si>
    <t>593,590.00</t>
  </si>
  <si>
    <t>696</t>
  </si>
  <si>
    <t>128,652.00</t>
  </si>
  <si>
    <t>697</t>
  </si>
  <si>
    <t>75,368.00</t>
  </si>
  <si>
    <t>698</t>
  </si>
  <si>
    <t>9,100.00</t>
  </si>
  <si>
    <t>699</t>
  </si>
  <si>
    <t>26,332.00</t>
  </si>
  <si>
    <t>700</t>
  </si>
  <si>
    <t>16,365.00</t>
  </si>
  <si>
    <t>701</t>
  </si>
  <si>
    <t>1,862.00</t>
  </si>
  <si>
    <t>702</t>
  </si>
  <si>
    <t>183,215.00</t>
  </si>
  <si>
    <t>703</t>
  </si>
  <si>
    <t>131,179.00</t>
  </si>
  <si>
    <t>704</t>
  </si>
  <si>
    <t>61,791.00</t>
  </si>
  <si>
    <t>705</t>
  </si>
  <si>
    <t>39,694.00</t>
  </si>
  <si>
    <t>706</t>
  </si>
  <si>
    <t>11,582.00</t>
  </si>
  <si>
    <t>707</t>
  </si>
  <si>
    <t>40,010.00</t>
  </si>
  <si>
    <t>708</t>
  </si>
  <si>
    <t>72,590.00</t>
  </si>
  <si>
    <t>709</t>
  </si>
  <si>
    <t>49,812.00</t>
  </si>
  <si>
    <t>710</t>
  </si>
  <si>
    <t>74,219.00</t>
  </si>
  <si>
    <t>711</t>
  </si>
  <si>
    <t>15,131.00</t>
  </si>
  <si>
    <t>712</t>
  </si>
  <si>
    <t>18,510.00</t>
  </si>
  <si>
    <t>713</t>
  </si>
  <si>
    <t>14,188.00</t>
  </si>
  <si>
    <t>714</t>
  </si>
  <si>
    <t>17,642.00</t>
  </si>
  <si>
    <t>715</t>
  </si>
  <si>
    <t>960.00</t>
  </si>
  <si>
    <t>716</t>
  </si>
  <si>
    <t>1,134.00</t>
  </si>
  <si>
    <t>717</t>
  </si>
  <si>
    <t>1,020.00</t>
  </si>
  <si>
    <t>718</t>
  </si>
  <si>
    <t>714.00</t>
  </si>
  <si>
    <t>719</t>
  </si>
  <si>
    <t>12,071.00</t>
  </si>
  <si>
    <t>720</t>
  </si>
  <si>
    <t>692.00</t>
  </si>
  <si>
    <t>721</t>
  </si>
  <si>
    <t>255.00</t>
  </si>
  <si>
    <t>722</t>
  </si>
  <si>
    <t>687.00</t>
  </si>
  <si>
    <t>723</t>
  </si>
  <si>
    <t>4,942.00</t>
  </si>
  <si>
    <t>724</t>
  </si>
  <si>
    <t>2,075.00</t>
  </si>
  <si>
    <t>725</t>
  </si>
  <si>
    <t>952.00</t>
  </si>
  <si>
    <t>726</t>
  </si>
  <si>
    <t>913.00</t>
  </si>
  <si>
    <t>727</t>
  </si>
  <si>
    <t>624.00</t>
  </si>
  <si>
    <t>728</t>
  </si>
  <si>
    <t>523.00</t>
  </si>
  <si>
    <t>729</t>
  </si>
  <si>
    <t>863.00</t>
  </si>
  <si>
    <t>730</t>
  </si>
  <si>
    <t>11,132.00</t>
  </si>
  <si>
    <t>731</t>
  </si>
  <si>
    <t>2,381.00</t>
  </si>
  <si>
    <t>732</t>
  </si>
  <si>
    <t>2,414.00</t>
  </si>
  <si>
    <t>733</t>
  </si>
  <si>
    <t>331.00</t>
  </si>
  <si>
    <t>734</t>
  </si>
  <si>
    <t>396.00</t>
  </si>
  <si>
    <t>735</t>
  </si>
  <si>
    <t>1,518.00</t>
  </si>
  <si>
    <t>736</t>
  </si>
  <si>
    <t>648.00</t>
  </si>
  <si>
    <t>737</t>
  </si>
  <si>
    <t>1,875.00</t>
  </si>
  <si>
    <t>738</t>
  </si>
  <si>
    <t>3,605.00</t>
  </si>
  <si>
    <t>739</t>
  </si>
  <si>
    <t>2,401.00</t>
  </si>
  <si>
    <t>740</t>
  </si>
  <si>
    <t>24,309.00</t>
  </si>
  <si>
    <t>741</t>
  </si>
  <si>
    <t>5,145.00</t>
  </si>
  <si>
    <t>742</t>
  </si>
  <si>
    <t>3,015.00</t>
  </si>
  <si>
    <t>743</t>
  </si>
  <si>
    <t>364.00</t>
  </si>
  <si>
    <t>744</t>
  </si>
  <si>
    <t>1,053.00</t>
  </si>
  <si>
    <t>745</t>
  </si>
  <si>
    <t>655.00</t>
  </si>
  <si>
    <t>746</t>
  </si>
  <si>
    <t>74.00</t>
  </si>
  <si>
    <t>747</t>
  </si>
  <si>
    <t>8,034.00</t>
  </si>
  <si>
    <t>748</t>
  </si>
  <si>
    <t>5,247.00</t>
  </si>
  <si>
    <t>749</t>
  </si>
  <si>
    <t>2,472.00</t>
  </si>
  <si>
    <t>750</t>
  </si>
  <si>
    <t>1,588.00</t>
  </si>
  <si>
    <t>751</t>
  </si>
  <si>
    <t>463.00</t>
  </si>
  <si>
    <t>752</t>
  </si>
  <si>
    <t>1,600.00</t>
  </si>
  <si>
    <t>753</t>
  </si>
  <si>
    <t>2,904.00</t>
  </si>
  <si>
    <t>754</t>
  </si>
  <si>
    <t>1,992.00</t>
  </si>
  <si>
    <t>755</t>
  </si>
  <si>
    <t>2,969.00</t>
  </si>
  <si>
    <t>8206923365</t>
  </si>
  <si>
    <t>62</t>
  </si>
  <si>
    <t>26,500.00</t>
  </si>
  <si>
    <t>SALARY JV PG2 M1 JAN 2026</t>
  </si>
  <si>
    <t>820692336510002025</t>
  </si>
  <si>
    <t>63</t>
  </si>
  <si>
    <t>148,737.00</t>
  </si>
  <si>
    <t>64</t>
  </si>
  <si>
    <t>186,920.00</t>
  </si>
  <si>
    <t>65</t>
  </si>
  <si>
    <t>24,070.00</t>
  </si>
  <si>
    <t>66</t>
  </si>
  <si>
    <t>137,787.00</t>
  </si>
  <si>
    <t>67</t>
  </si>
  <si>
    <t>114,273.00</t>
  </si>
  <si>
    <t>68</t>
  </si>
  <si>
    <t>231,724.00</t>
  </si>
  <si>
    <t>69</t>
  </si>
  <si>
    <t>2,775.00</t>
  </si>
  <si>
    <t>70</t>
  </si>
  <si>
    <t>45,189.00</t>
  </si>
  <si>
    <t>71</t>
  </si>
  <si>
    <t>57,763.00</t>
  </si>
  <si>
    <t>72</t>
  </si>
  <si>
    <t>105,369.00</t>
  </si>
  <si>
    <t>73</t>
  </si>
  <si>
    <t>66,890.00</t>
  </si>
  <si>
    <t>74</t>
  </si>
  <si>
    <t>165,614.00</t>
  </si>
  <si>
    <t>75</t>
  </si>
  <si>
    <t>6,443.00</t>
  </si>
  <si>
    <t>76</t>
  </si>
  <si>
    <t>51,312.00</t>
  </si>
  <si>
    <t>77</t>
  </si>
  <si>
    <t>32,968.00</t>
  </si>
  <si>
    <t>78</t>
  </si>
  <si>
    <t>71,217.00</t>
  </si>
  <si>
    <t>79</t>
  </si>
  <si>
    <t>55,524.00</t>
  </si>
  <si>
    <t>80</t>
  </si>
  <si>
    <t>15,477.00</t>
  </si>
  <si>
    <t>81</t>
  </si>
  <si>
    <t>53,639.00</t>
  </si>
  <si>
    <t>82</t>
  </si>
  <si>
    <t>12,540.00</t>
  </si>
  <si>
    <t>83</t>
  </si>
  <si>
    <t>1,060.00</t>
  </si>
  <si>
    <t>84</t>
  </si>
  <si>
    <t>5,950.00</t>
  </si>
  <si>
    <t>85</t>
  </si>
  <si>
    <t>7,476.00</t>
  </si>
  <si>
    <t>86</t>
  </si>
  <si>
    <t>963.00</t>
  </si>
  <si>
    <t>87</t>
  </si>
  <si>
    <t>5,511.00</t>
  </si>
  <si>
    <t>88</t>
  </si>
  <si>
    <t>4,571.00</t>
  </si>
  <si>
    <t>89</t>
  </si>
  <si>
    <t>9,270.00</t>
  </si>
  <si>
    <t>90</t>
  </si>
  <si>
    <t>111.00</t>
  </si>
  <si>
    <t>91</t>
  </si>
  <si>
    <t>1,808.00</t>
  </si>
  <si>
    <t>92</t>
  </si>
  <si>
    <t>2,311.00</t>
  </si>
  <si>
    <t>93</t>
  </si>
  <si>
    <t>4,214.00</t>
  </si>
  <si>
    <t>94</t>
  </si>
  <si>
    <t>2,677.00</t>
  </si>
  <si>
    <t>95</t>
  </si>
  <si>
    <t>7,126.00</t>
  </si>
  <si>
    <t>96</t>
  </si>
  <si>
    <t>258.00</t>
  </si>
  <si>
    <t>97</t>
  </si>
  <si>
    <t>2,052.00</t>
  </si>
  <si>
    <t>98</t>
  </si>
  <si>
    <t>1,319.00</t>
  </si>
  <si>
    <t>99</t>
  </si>
  <si>
    <t>2,849.00</t>
  </si>
  <si>
    <t>100</t>
  </si>
  <si>
    <t>2,221.00</t>
  </si>
  <si>
    <t>101</t>
  </si>
  <si>
    <t>619.00</t>
  </si>
  <si>
    <t>102</t>
  </si>
  <si>
    <t>2,146.00</t>
  </si>
  <si>
    <t>8206931334</t>
  </si>
  <si>
    <t>134</t>
  </si>
  <si>
    <t>129,486.00</t>
  </si>
  <si>
    <t>SALARY JV PG1 P1 JAN 2026</t>
  </si>
  <si>
    <t>820693133410002025</t>
  </si>
  <si>
    <t>135</t>
  </si>
  <si>
    <t>157,402.00</t>
  </si>
  <si>
    <t>136</t>
  </si>
  <si>
    <t>65,738.00</t>
  </si>
  <si>
    <t>137</t>
  </si>
  <si>
    <t>8,557.00</t>
  </si>
  <si>
    <t>138</t>
  </si>
  <si>
    <t>228,506.00</t>
  </si>
  <si>
    <t>139</t>
  </si>
  <si>
    <t>24,762.00</t>
  </si>
  <si>
    <t>140</t>
  </si>
  <si>
    <t>13,458.00</t>
  </si>
  <si>
    <t>141</t>
  </si>
  <si>
    <t>12,948.00</t>
  </si>
  <si>
    <t>142</t>
  </si>
  <si>
    <t>13,651.00</t>
  </si>
  <si>
    <t>143</t>
  </si>
  <si>
    <t>34,276.00</t>
  </si>
  <si>
    <t>144</t>
  </si>
  <si>
    <t>5,697.00</t>
  </si>
  <si>
    <t>145</t>
  </si>
  <si>
    <t>6,842.00</t>
  </si>
  <si>
    <t>146</t>
  </si>
  <si>
    <t>2,630.00</t>
  </si>
  <si>
    <t>147</t>
  </si>
  <si>
    <t>342.00</t>
  </si>
  <si>
    <t>148</t>
  </si>
  <si>
    <t>10,511.00</t>
  </si>
  <si>
    <t>149</t>
  </si>
  <si>
    <t>991.00</t>
  </si>
  <si>
    <t>150</t>
  </si>
  <si>
    <t>538.00</t>
  </si>
  <si>
    <t>8206940246</t>
  </si>
  <si>
    <t>SALARY JV PG1 H10 JAN 2026</t>
  </si>
  <si>
    <t>820694024610002025</t>
  </si>
  <si>
    <t>1,786.00</t>
  </si>
  <si>
    <t>549.00</t>
  </si>
  <si>
    <t>694.00</t>
  </si>
  <si>
    <t>347.00</t>
  </si>
  <si>
    <t>10,363.00</t>
  </si>
  <si>
    <t>5,602.00</t>
  </si>
  <si>
    <t>13,804.00</t>
  </si>
  <si>
    <t>448.00</t>
  </si>
  <si>
    <t>650.00</t>
  </si>
  <si>
    <t>2,189.00</t>
  </si>
  <si>
    <t>390.00</t>
  </si>
  <si>
    <t>3,087.00</t>
  </si>
  <si>
    <t>592.00</t>
  </si>
  <si>
    <t>90,714.00</t>
  </si>
  <si>
    <t>11,884.00</t>
  </si>
  <si>
    <t>27,769.00</t>
  </si>
  <si>
    <t>6,640.00</t>
  </si>
  <si>
    <t>25,194.00</t>
  </si>
  <si>
    <t>40,581.00</t>
  </si>
  <si>
    <t>266</t>
  </si>
  <si>
    <t>22,502.00</t>
  </si>
  <si>
    <t>267</t>
  </si>
  <si>
    <t>19,346.00</t>
  </si>
  <si>
    <t>268</t>
  </si>
  <si>
    <t>45,212.00</t>
  </si>
  <si>
    <t>269</t>
  </si>
  <si>
    <t>32,200.00</t>
  </si>
  <si>
    <t>270</t>
  </si>
  <si>
    <t>24,060.00</t>
  </si>
  <si>
    <t>271</t>
  </si>
  <si>
    <t>9,040.00</t>
  </si>
  <si>
    <t>272</t>
  </si>
  <si>
    <t>49,832.00</t>
  </si>
  <si>
    <t>273</t>
  </si>
  <si>
    <t>13,005.00</t>
  </si>
  <si>
    <t>274</t>
  </si>
  <si>
    <t>44,639.00</t>
  </si>
  <si>
    <t>275</t>
  </si>
  <si>
    <t>13,732.00</t>
  </si>
  <si>
    <t>276</t>
  </si>
  <si>
    <t>17,348.00</t>
  </si>
  <si>
    <t>277</t>
  </si>
  <si>
    <t>8,672.00</t>
  </si>
  <si>
    <t>278</t>
  </si>
  <si>
    <t>24,007.00</t>
  </si>
  <si>
    <t>279</t>
  </si>
  <si>
    <t>259,061.00</t>
  </si>
  <si>
    <t>280</t>
  </si>
  <si>
    <t>140,029.00</t>
  </si>
  <si>
    <t>281</t>
  </si>
  <si>
    <t>345,081.00</t>
  </si>
  <si>
    <t>282</t>
  </si>
  <si>
    <t>11,197.00</t>
  </si>
  <si>
    <t>16,245.00</t>
  </si>
  <si>
    <t>54,695.00</t>
  </si>
  <si>
    <t>49,818.00</t>
  </si>
  <si>
    <t>286</t>
  </si>
  <si>
    <t>9,751.00</t>
  </si>
  <si>
    <t>287</t>
  </si>
  <si>
    <t>77,173.00</t>
  </si>
  <si>
    <t>288</t>
  </si>
  <si>
    <t>14,801.00</t>
  </si>
  <si>
    <t>289</t>
  </si>
  <si>
    <t>9,071.00</t>
  </si>
  <si>
    <t>290</t>
  </si>
  <si>
    <t>3,991.00</t>
  </si>
  <si>
    <t>291</t>
  </si>
  <si>
    <t>475.00</t>
  </si>
  <si>
    <t>292</t>
  </si>
  <si>
    <t>1,111.00</t>
  </si>
  <si>
    <t>293</t>
  </si>
  <si>
    <t>266.00</t>
  </si>
  <si>
    <t>294</t>
  </si>
  <si>
    <t>1,008.00</t>
  </si>
  <si>
    <t>295</t>
  </si>
  <si>
    <t>1,623.00</t>
  </si>
  <si>
    <t>296</t>
  </si>
  <si>
    <t>900.00</t>
  </si>
  <si>
    <t>297</t>
  </si>
  <si>
    <t>774.00</t>
  </si>
  <si>
    <t>298</t>
  </si>
  <si>
    <t>1,809.00</t>
  </si>
  <si>
    <t>299</t>
  </si>
  <si>
    <t>1,288.00</t>
  </si>
  <si>
    <t>300</t>
  </si>
  <si>
    <t>301</t>
  </si>
  <si>
    <t>362.00</t>
  </si>
  <si>
    <t>8206940814</t>
  </si>
  <si>
    <t>49,431.00</t>
  </si>
  <si>
    <t>SALARY JV PG1 H3 JAN 2026</t>
  </si>
  <si>
    <t>820694081410002025</t>
  </si>
  <si>
    <t>49,308.00</t>
  </si>
  <si>
    <t>88,516.00</t>
  </si>
  <si>
    <t>315,572.00</t>
  </si>
  <si>
    <t>59,645.00</t>
  </si>
  <si>
    <t>41</t>
  </si>
  <si>
    <t>92,199.00</t>
  </si>
  <si>
    <t>42</t>
  </si>
  <si>
    <t>7,414.00</t>
  </si>
  <si>
    <t>43</t>
  </si>
  <si>
    <t>8,543.00</t>
  </si>
  <si>
    <t>44</t>
  </si>
  <si>
    <t>558.00</t>
  </si>
  <si>
    <t>45</t>
  </si>
  <si>
    <t>19,494.00</t>
  </si>
  <si>
    <t>46</t>
  </si>
  <si>
    <t>45,783.00</t>
  </si>
  <si>
    <t>115</t>
  </si>
  <si>
    <t>13,257.00</t>
  </si>
  <si>
    <t>116</t>
  </si>
  <si>
    <t>24,146.00</t>
  </si>
  <si>
    <t>117</t>
  </si>
  <si>
    <t>11,244.00</t>
  </si>
  <si>
    <t>118</t>
  </si>
  <si>
    <t>1,957.00</t>
  </si>
  <si>
    <t>119</t>
  </si>
  <si>
    <t>29,113.00</t>
  </si>
  <si>
    <t>120</t>
  </si>
  <si>
    <t>6,165.00</t>
  </si>
  <si>
    <t>121</t>
  </si>
  <si>
    <t>5,751.00</t>
  </si>
  <si>
    <t>122</t>
  </si>
  <si>
    <t>2,818.00</t>
  </si>
  <si>
    <t>123</t>
  </si>
  <si>
    <t>4,060.00</t>
  </si>
  <si>
    <t>124</t>
  </si>
  <si>
    <t>4,984.00</t>
  </si>
  <si>
    <t>125</t>
  </si>
  <si>
    <t>4,334.00</t>
  </si>
  <si>
    <t>126</t>
  </si>
  <si>
    <t>309.00</t>
  </si>
  <si>
    <t>127</t>
  </si>
  <si>
    <t>2,844.00</t>
  </si>
  <si>
    <t>128</t>
  </si>
  <si>
    <t>3,454.00</t>
  </si>
  <si>
    <t>129</t>
  </si>
  <si>
    <t>378.00</t>
  </si>
  <si>
    <t>130</t>
  </si>
  <si>
    <t>3,138.00</t>
  </si>
  <si>
    <t>131</t>
  </si>
  <si>
    <t>5,135.00</t>
  </si>
  <si>
    <t>132</t>
  </si>
  <si>
    <t>1,148.00</t>
  </si>
  <si>
    <t>133</t>
  </si>
  <si>
    <t>1,970.00</t>
  </si>
  <si>
    <t>3,856.00</t>
  </si>
  <si>
    <t>1,775.00</t>
  </si>
  <si>
    <t>1,714.00</t>
  </si>
  <si>
    <t>3,977.00</t>
  </si>
  <si>
    <t>6,351.00</t>
  </si>
  <si>
    <t>4,239.00</t>
  </si>
  <si>
    <t>1,301.00</t>
  </si>
  <si>
    <t>4,555.00</t>
  </si>
  <si>
    <t>3,967.00</t>
  </si>
  <si>
    <t>5,785.00</t>
  </si>
  <si>
    <t>3,836.00</t>
  </si>
  <si>
    <t>3,114.00</t>
  </si>
  <si>
    <t>7,083.00</t>
  </si>
  <si>
    <t>3,954.00</t>
  </si>
  <si>
    <t>4,401.00</t>
  </si>
  <si>
    <t>5,032.00</t>
  </si>
  <si>
    <t>43,281.00</t>
  </si>
  <si>
    <t>151</t>
  </si>
  <si>
    <t>4,501.00</t>
  </si>
  <si>
    <t>152</t>
  </si>
  <si>
    <t>9,405.00</t>
  </si>
  <si>
    <t>153</t>
  </si>
  <si>
    <t>7,324.00</t>
  </si>
  <si>
    <t>198</t>
  </si>
  <si>
    <t>46,747.00</t>
  </si>
  <si>
    <t>199</t>
  </si>
  <si>
    <t>6,295.00</t>
  </si>
  <si>
    <t>200</t>
  </si>
  <si>
    <t>7,492.00</t>
  </si>
  <si>
    <t>201</t>
  </si>
  <si>
    <t>802,641.00</t>
  </si>
  <si>
    <t>202</t>
  </si>
  <si>
    <t>5,562.00</t>
  </si>
  <si>
    <t>8,072.00</t>
  </si>
  <si>
    <t>89,255.00</t>
  </si>
  <si>
    <t>187,436.00</t>
  </si>
  <si>
    <t>13,744.00</t>
  </si>
  <si>
    <t>286,858.00</t>
  </si>
  <si>
    <t>212,376.00</t>
  </si>
  <si>
    <t>32,671.00</t>
  </si>
  <si>
    <t>14,227.00</t>
  </si>
  <si>
    <t>9,681.00</t>
  </si>
  <si>
    <t>70,466.00</t>
  </si>
  <si>
    <t>29,762.00</t>
  </si>
  <si>
    <t>13,087.00</t>
  </si>
  <si>
    <t>374,215.00</t>
  </si>
  <si>
    <t>16,324.00</t>
  </si>
  <si>
    <t>64,372.00</t>
  </si>
  <si>
    <t>68,898.00</t>
  </si>
  <si>
    <t>51,688.00</t>
  </si>
  <si>
    <t>220</t>
  </si>
  <si>
    <t>31,977.00</t>
  </si>
  <si>
    <t>221</t>
  </si>
  <si>
    <t>9,810.00</t>
  </si>
  <si>
    <t>222</t>
  </si>
  <si>
    <t>24,727.00</t>
  </si>
  <si>
    <t>223</t>
  </si>
  <si>
    <t>46,617.00</t>
  </si>
  <si>
    <t>224</t>
  </si>
  <si>
    <t>14,682.00</t>
  </si>
  <si>
    <t>225</t>
  </si>
  <si>
    <t>13,964.00</t>
  </si>
  <si>
    <t>226</t>
  </si>
  <si>
    <t>228,819.00</t>
  </si>
  <si>
    <t>227</t>
  </si>
  <si>
    <t>82,600.00</t>
  </si>
  <si>
    <t>228</t>
  </si>
  <si>
    <t>192,358.00</t>
  </si>
  <si>
    <t>229</t>
  </si>
  <si>
    <t>316,272.00</t>
  </si>
  <si>
    <t>230</t>
  </si>
  <si>
    <t>568,031.00</t>
  </si>
  <si>
    <t>231</t>
  </si>
  <si>
    <t>263,116.00</t>
  </si>
  <si>
    <t>232</t>
  </si>
  <si>
    <t>48,920.00</t>
  </si>
  <si>
    <t>233</t>
  </si>
  <si>
    <t>712,333.00</t>
  </si>
  <si>
    <t>234</t>
  </si>
  <si>
    <t>154,130.00</t>
  </si>
  <si>
    <t>235</t>
  </si>
  <si>
    <t>143,741.00</t>
  </si>
  <si>
    <t>236</t>
  </si>
  <si>
    <t>70,451.00</t>
  </si>
  <si>
    <t>237</t>
  </si>
  <si>
    <t>101,499.00</t>
  </si>
  <si>
    <t>238</t>
  </si>
  <si>
    <t>124,588.00</t>
  </si>
  <si>
    <t>239</t>
  </si>
  <si>
    <t>108,372.00</t>
  </si>
  <si>
    <t>7,719.00</t>
  </si>
  <si>
    <t>71,090.00</t>
  </si>
  <si>
    <t>86,364.00</t>
  </si>
  <si>
    <t>243</t>
  </si>
  <si>
    <t>9,458.00</t>
  </si>
  <si>
    <t>244</t>
  </si>
  <si>
    <t>78,454.00</t>
  </si>
  <si>
    <t>245</t>
  </si>
  <si>
    <t>128,392.00</t>
  </si>
  <si>
    <t>246</t>
  </si>
  <si>
    <t>28,703.00</t>
  </si>
  <si>
    <t>49,231.00</t>
  </si>
  <si>
    <t>96,375.00</t>
  </si>
  <si>
    <t>44,379.00</t>
  </si>
  <si>
    <t>250</t>
  </si>
  <si>
    <t>42,857.00</t>
  </si>
  <si>
    <t>251</t>
  </si>
  <si>
    <t>99,422.00</t>
  </si>
  <si>
    <t>252</t>
  </si>
  <si>
    <t>158,786.00</t>
  </si>
  <si>
    <t>253</t>
  </si>
  <si>
    <t>105,983.00</t>
  </si>
  <si>
    <t>254</t>
  </si>
  <si>
    <t>32,515.00</t>
  </si>
  <si>
    <t>113,901.00</t>
  </si>
  <si>
    <t>99,160.00</t>
  </si>
  <si>
    <t>144,641.00</t>
  </si>
  <si>
    <t>258</t>
  </si>
  <si>
    <t>95,893.00</t>
  </si>
  <si>
    <t>77,832.00</t>
  </si>
  <si>
    <t>177,069.00</t>
  </si>
  <si>
    <t>98,864.00</t>
  </si>
  <si>
    <t>110,038.00</t>
  </si>
  <si>
    <t>125,771.00</t>
  </si>
  <si>
    <t>1,054,684.00</t>
  </si>
  <si>
    <t>112,542.00</t>
  </si>
  <si>
    <t>214,518.00</t>
  </si>
  <si>
    <t>170,280.00</t>
  </si>
  <si>
    <t>13,460.00</t>
  </si>
  <si>
    <t>48,938.00</t>
  </si>
  <si>
    <t>11,916.00</t>
  </si>
  <si>
    <t>35,442.00</t>
  </si>
  <si>
    <t>9,876.00</t>
  </si>
  <si>
    <t>29,044.00</t>
  </si>
  <si>
    <t>19,235.00</t>
  </si>
  <si>
    <t>15,128.00</t>
  </si>
  <si>
    <t>35,579.00</t>
  </si>
  <si>
    <t>17,977.00</t>
  </si>
  <si>
    <t>15,525.00</t>
  </si>
  <si>
    <t>480</t>
  </si>
  <si>
    <t>297.00</t>
  </si>
  <si>
    <t>481</t>
  </si>
  <si>
    <t>482</t>
  </si>
  <si>
    <t>22.00</t>
  </si>
  <si>
    <t>483</t>
  </si>
  <si>
    <t>779.00</t>
  </si>
  <si>
    <t>484</t>
  </si>
  <si>
    <t>1,831.00</t>
  </si>
  <si>
    <t>485</t>
  </si>
  <si>
    <t>1,870.00</t>
  </si>
  <si>
    <t>486</t>
  </si>
  <si>
    <t>252.00</t>
  </si>
  <si>
    <t>487</t>
  </si>
  <si>
    <t>300.00</t>
  </si>
  <si>
    <t>488</t>
  </si>
  <si>
    <t>34,064.00</t>
  </si>
  <si>
    <t>489</t>
  </si>
  <si>
    <t>223.00</t>
  </si>
  <si>
    <t>490</t>
  </si>
  <si>
    <t>323.00</t>
  </si>
  <si>
    <t>491</t>
  </si>
  <si>
    <t>3,570.00</t>
  </si>
  <si>
    <t>492</t>
  </si>
  <si>
    <t>7,975.00</t>
  </si>
  <si>
    <t>493</t>
  </si>
  <si>
    <t>550.00</t>
  </si>
  <si>
    <t>494</t>
  </si>
  <si>
    <t>12,892.00</t>
  </si>
  <si>
    <t>495</t>
  </si>
  <si>
    <t>8,890.00</t>
  </si>
  <si>
    <t>496</t>
  </si>
  <si>
    <t>1,307.00</t>
  </si>
  <si>
    <t>497</t>
  </si>
  <si>
    <t>569.00</t>
  </si>
  <si>
    <t>498</t>
  </si>
  <si>
    <t>387.00</t>
  </si>
  <si>
    <t>499</t>
  </si>
  <si>
    <t>500</t>
  </si>
  <si>
    <t>1,190.00</t>
  </si>
  <si>
    <t>501</t>
  </si>
  <si>
    <t>524.00</t>
  </si>
  <si>
    <t>502</t>
  </si>
  <si>
    <t>16,130.00</t>
  </si>
  <si>
    <t>503</t>
  </si>
  <si>
    <t>653.00</t>
  </si>
  <si>
    <t>504</t>
  </si>
  <si>
    <t>2,575.00</t>
  </si>
  <si>
    <t>505</t>
  </si>
  <si>
    <t>2,757.00</t>
  </si>
  <si>
    <t>506</t>
  </si>
  <si>
    <t>2,067.00</t>
  </si>
  <si>
    <t>507</t>
  </si>
  <si>
    <t>1,279.00</t>
  </si>
  <si>
    <t>508</t>
  </si>
  <si>
    <t>392.00</t>
  </si>
  <si>
    <t>509</t>
  </si>
  <si>
    <t>989.00</t>
  </si>
  <si>
    <t>510</t>
  </si>
  <si>
    <t>1,864.00</t>
  </si>
  <si>
    <t>511</t>
  </si>
  <si>
    <t>587.00</t>
  </si>
  <si>
    <t>512</t>
  </si>
  <si>
    <t>559.00</t>
  </si>
  <si>
    <t>513</t>
  </si>
  <si>
    <t>9,152.00</t>
  </si>
  <si>
    <t>514</t>
  </si>
  <si>
    <t>3,304.00</t>
  </si>
  <si>
    <t>515</t>
  </si>
  <si>
    <t>8,464.00</t>
  </si>
  <si>
    <t>8206941031</t>
  </si>
  <si>
    <t>30,932.00</t>
  </si>
  <si>
    <t>SALARY JV PG2 N1 JAN 2026</t>
  </si>
  <si>
    <t>820694103110002025</t>
  </si>
  <si>
    <t>307,984.00</t>
  </si>
  <si>
    <t>117,558.00</t>
  </si>
  <si>
    <t>13,237.00</t>
  </si>
  <si>
    <t>89,862.00</t>
  </si>
  <si>
    <t>31,337.00</t>
  </si>
  <si>
    <t>16,123.00</t>
  </si>
  <si>
    <t>43,577.00</t>
  </si>
  <si>
    <t>96,656.00</t>
  </si>
  <si>
    <t>108,274.00</t>
  </si>
  <si>
    <t>91,421.00</t>
  </si>
  <si>
    <t>41,434.00</t>
  </si>
  <si>
    <t>108,930.00</t>
  </si>
  <si>
    <t>11,183.00</t>
  </si>
  <si>
    <t>11,218.00</t>
  </si>
  <si>
    <t>38,193.00</t>
  </si>
  <si>
    <t>9,041.00</t>
  </si>
  <si>
    <t>103</t>
  </si>
  <si>
    <t>31,071.00</t>
  </si>
  <si>
    <t>82,564.00</t>
  </si>
  <si>
    <t>62,027.00</t>
  </si>
  <si>
    <t>106</t>
  </si>
  <si>
    <t>4,082.00</t>
  </si>
  <si>
    <t>107</t>
  </si>
  <si>
    <t>90,937.00</t>
  </si>
  <si>
    <t>108</t>
  </si>
  <si>
    <t>16,033.00</t>
  </si>
  <si>
    <t>109</t>
  </si>
  <si>
    <t>20,403.00</t>
  </si>
  <si>
    <t>8,237.00</t>
  </si>
  <si>
    <t>11,232.00</t>
  </si>
  <si>
    <t>15,304.00</t>
  </si>
  <si>
    <t>105,260.00</t>
  </si>
  <si>
    <t>114</t>
  </si>
  <si>
    <t>27,501.00</t>
  </si>
  <si>
    <t>26,416.00</t>
  </si>
  <si>
    <t>15,616.00</t>
  </si>
  <si>
    <t>1,237.00</t>
  </si>
  <si>
    <t>12,320.00</t>
  </si>
  <si>
    <t>4,702.00</t>
  </si>
  <si>
    <t>530.00</t>
  </si>
  <si>
    <t>4,651.00</t>
  </si>
  <si>
    <t>1,254.00</t>
  </si>
  <si>
    <t>645.00</t>
  </si>
  <si>
    <t>1,743.00</t>
  </si>
  <si>
    <t>3,866.00</t>
  </si>
  <si>
    <t>4,331.00</t>
  </si>
  <si>
    <t>3,657.00</t>
  </si>
  <si>
    <t>1,657.00</t>
  </si>
  <si>
    <t>4,357.00</t>
  </si>
  <si>
    <t>447.00</t>
  </si>
  <si>
    <t>449.00</t>
  </si>
  <si>
    <t>1,528.00</t>
  </si>
  <si>
    <t>1,243.00</t>
  </si>
  <si>
    <t>3,303.00</t>
  </si>
  <si>
    <t>2,481.00</t>
  </si>
  <si>
    <t>163.00</t>
  </si>
  <si>
    <t>3,638.00</t>
  </si>
  <si>
    <t>641.00</t>
  </si>
  <si>
    <t>816.00</t>
  </si>
  <si>
    <t>329.00</t>
  </si>
  <si>
    <t>612.00</t>
  </si>
  <si>
    <t>4,835.00</t>
  </si>
  <si>
    <t>1,100.00</t>
  </si>
  <si>
    <t>8206941590</t>
  </si>
  <si>
    <t>26,834.00</t>
  </si>
  <si>
    <t>SALARY JV PG1 H1 JAN 2026</t>
  </si>
  <si>
    <t>820694159010002025</t>
  </si>
  <si>
    <t>121,797.00</t>
  </si>
  <si>
    <t>18,813.00</t>
  </si>
  <si>
    <t>11,495.00</t>
  </si>
  <si>
    <t>14,350.00</t>
  </si>
  <si>
    <t>55,182.00</t>
  </si>
  <si>
    <t>86,651.00</t>
  </si>
  <si>
    <t>80,808.00</t>
  </si>
  <si>
    <t>35,395.00</t>
  </si>
  <si>
    <t>158,784.00</t>
  </si>
  <si>
    <t>10,546.00</t>
  </si>
  <si>
    <t>29,822.00</t>
  </si>
  <si>
    <t>179,044.00</t>
  </si>
  <si>
    <t>54,726.00</t>
  </si>
  <si>
    <t>198,235.00</t>
  </si>
  <si>
    <t>113,724.00</t>
  </si>
  <si>
    <t>22,548.00</t>
  </si>
  <si>
    <t>64,979.00</t>
  </si>
  <si>
    <t>88,138.00</t>
  </si>
  <si>
    <t>11,108.00</t>
  </si>
  <si>
    <t>151,428.00</t>
  </si>
  <si>
    <t>14,141.00</t>
  </si>
  <si>
    <t>79,974.00</t>
  </si>
  <si>
    <t>18,886.00</t>
  </si>
  <si>
    <t>60,162.00</t>
  </si>
  <si>
    <t>15,173.00</t>
  </si>
  <si>
    <t>17,093.00</t>
  </si>
  <si>
    <t>102,396.00</t>
  </si>
  <si>
    <t>166,405.00</t>
  </si>
  <si>
    <t>19,832.00</t>
  </si>
  <si>
    <t>22,554.00</t>
  </si>
  <si>
    <t>1,726.00</t>
  </si>
  <si>
    <t>4,811.00</t>
  </si>
  <si>
    <t>2,542.00</t>
  </si>
  <si>
    <t>1,300.00</t>
  </si>
  <si>
    <t>2,724.00</t>
  </si>
  <si>
    <t>631.00</t>
  </si>
  <si>
    <t>8,278.00</t>
  </si>
  <si>
    <t>2,258.00</t>
  </si>
  <si>
    <t>302</t>
  </si>
  <si>
    <t>9,416.00</t>
  </si>
  <si>
    <t>303</t>
  </si>
  <si>
    <t>6,824.00</t>
  </si>
  <si>
    <t>304</t>
  </si>
  <si>
    <t>18,854.00</t>
  </si>
  <si>
    <t>305</t>
  </si>
  <si>
    <t>35,248.00</t>
  </si>
  <si>
    <t>306</t>
  </si>
  <si>
    <t>2,553.00</t>
  </si>
  <si>
    <t>307</t>
  </si>
  <si>
    <t>31,014.00</t>
  </si>
  <si>
    <t>308</t>
  </si>
  <si>
    <t>1,898.00</t>
  </si>
  <si>
    <t>309</t>
  </si>
  <si>
    <t>19,091.00</t>
  </si>
  <si>
    <t>310</t>
  </si>
  <si>
    <t>1,035.00</t>
  </si>
  <si>
    <t>311</t>
  </si>
  <si>
    <t>16,749.00</t>
  </si>
  <si>
    <t>312</t>
  </si>
  <si>
    <t>68,802.00</t>
  </si>
  <si>
    <t>313</t>
  </si>
  <si>
    <t>8,042.00</t>
  </si>
  <si>
    <t>314</t>
  </si>
  <si>
    <t>2,804.00</t>
  </si>
  <si>
    <t>315</t>
  </si>
  <si>
    <t>8,977.00</t>
  </si>
  <si>
    <t>316</t>
  </si>
  <si>
    <t>2,394.00</t>
  </si>
  <si>
    <t>317</t>
  </si>
  <si>
    <t>2,876.00</t>
  </si>
  <si>
    <t>318</t>
  </si>
  <si>
    <t>4,042.00</t>
  </si>
  <si>
    <t>319</t>
  </si>
  <si>
    <t>4,221.00</t>
  </si>
  <si>
    <t>320</t>
  </si>
  <si>
    <t>2,357.00</t>
  </si>
  <si>
    <t>321</t>
  </si>
  <si>
    <t>3,014.00</t>
  </si>
  <si>
    <t>322</t>
  </si>
  <si>
    <t>3,555.00</t>
  </si>
  <si>
    <t>323</t>
  </si>
  <si>
    <t>5,567.00</t>
  </si>
  <si>
    <t>324</t>
  </si>
  <si>
    <t>5,372.00</t>
  </si>
  <si>
    <t>325</t>
  </si>
  <si>
    <t>5,188.00</t>
  </si>
  <si>
    <t>326</t>
  </si>
  <si>
    <t>2,649.00</t>
  </si>
  <si>
    <t>327</t>
  </si>
  <si>
    <t>5,704.00</t>
  </si>
  <si>
    <t>328</t>
  </si>
  <si>
    <t>1,089.00</t>
  </si>
  <si>
    <t>329</t>
  </si>
  <si>
    <t>4,029.00</t>
  </si>
  <si>
    <t>330</t>
  </si>
  <si>
    <t>331</t>
  </si>
  <si>
    <t>1,740.00</t>
  </si>
  <si>
    <t>332</t>
  </si>
  <si>
    <t>16,294.00</t>
  </si>
  <si>
    <t>333</t>
  </si>
  <si>
    <t>42,651.00</t>
  </si>
  <si>
    <t>334</t>
  </si>
  <si>
    <t>5,521.00</t>
  </si>
  <si>
    <t>335</t>
  </si>
  <si>
    <t>51,691.00</t>
  </si>
  <si>
    <t>336</t>
  </si>
  <si>
    <t>11,965.00</t>
  </si>
  <si>
    <t>337</t>
  </si>
  <si>
    <t>59,547.00</t>
  </si>
  <si>
    <t>338</t>
  </si>
  <si>
    <t>66,609.00</t>
  </si>
  <si>
    <t>339</t>
  </si>
  <si>
    <t>9,877.00</t>
  </si>
  <si>
    <t>340</t>
  </si>
  <si>
    <t>2,119.00</t>
  </si>
  <si>
    <t>341</t>
  </si>
  <si>
    <t>608.00</t>
  </si>
  <si>
    <t>342</t>
  </si>
  <si>
    <t>9,049.00</t>
  </si>
  <si>
    <t>343</t>
  </si>
  <si>
    <t>15,512.00</t>
  </si>
  <si>
    <t>344</t>
  </si>
  <si>
    <t>23,127.00</t>
  </si>
  <si>
    <t>345</t>
  </si>
  <si>
    <t>39,539.00</t>
  </si>
  <si>
    <t>5,374.00</t>
  </si>
  <si>
    <t>432.00</t>
  </si>
  <si>
    <t>5,377.00</t>
  </si>
  <si>
    <t>430.00</t>
  </si>
  <si>
    <t>42.00</t>
  </si>
  <si>
    <t>55,082.00</t>
  </si>
  <si>
    <t>8,376.00</t>
  </si>
  <si>
    <t>35,895.00</t>
  </si>
  <si>
    <t>8,310.00</t>
  </si>
  <si>
    <t>24,879.00</t>
  </si>
  <si>
    <t>4,491.00</t>
  </si>
  <si>
    <t>29,858.00</t>
  </si>
  <si>
    <t>17,476.00</t>
  </si>
  <si>
    <t>31,402.00</t>
  </si>
  <si>
    <t>2,894.00</t>
  </si>
  <si>
    <t>2,161.00</t>
  </si>
  <si>
    <t>45,557.00</t>
  </si>
  <si>
    <t>11,720.00</t>
  </si>
  <si>
    <t>364</t>
  </si>
  <si>
    <t>25,720.00</t>
  </si>
  <si>
    <t>365</t>
  </si>
  <si>
    <t>2,759.00</t>
  </si>
  <si>
    <t>366</t>
  </si>
  <si>
    <t>889.00</t>
  </si>
  <si>
    <t>367</t>
  </si>
  <si>
    <t>2,172.00</t>
  </si>
  <si>
    <t>368</t>
  </si>
  <si>
    <t>492.00</t>
  </si>
  <si>
    <t>369</t>
  </si>
  <si>
    <t>370</t>
  </si>
  <si>
    <t>9,285.00</t>
  </si>
  <si>
    <t>371</t>
  </si>
  <si>
    <t>1,074.00</t>
  </si>
  <si>
    <t>372</t>
  </si>
  <si>
    <t>4,872.00</t>
  </si>
  <si>
    <t>794,552.00</t>
  </si>
  <si>
    <t>63,838.00</t>
  </si>
  <si>
    <t>694,583.00</t>
  </si>
  <si>
    <t>47,432.00</t>
  </si>
  <si>
    <t>441,877.00</t>
  </si>
  <si>
    <t>25,874.00</t>
  </si>
  <si>
    <t>418,710.00</t>
  </si>
  <si>
    <t>1,561,250.00</t>
  </si>
  <si>
    <t>190,493.00</t>
  </si>
  <si>
    <t>70,086.00</t>
  </si>
  <si>
    <t>224,426.00</t>
  </si>
  <si>
    <t>59,844.00</t>
  </si>
  <si>
    <t>71,913.00</t>
  </si>
  <si>
    <t>516</t>
  </si>
  <si>
    <t>101,041.00</t>
  </si>
  <si>
    <t>517</t>
  </si>
  <si>
    <t>105,492.00</t>
  </si>
  <si>
    <t>518</t>
  </si>
  <si>
    <t>58,917.00</t>
  </si>
  <si>
    <t>519</t>
  </si>
  <si>
    <t>75,333.00</t>
  </si>
  <si>
    <t>520</t>
  </si>
  <si>
    <t>88,879.00</t>
  </si>
  <si>
    <t>521</t>
  </si>
  <si>
    <t>139,173.00</t>
  </si>
  <si>
    <t>522</t>
  </si>
  <si>
    <t>134,311.00</t>
  </si>
  <si>
    <t>523</t>
  </si>
  <si>
    <t>129,671.00</t>
  </si>
  <si>
    <t>524</t>
  </si>
  <si>
    <t>66,231.00</t>
  </si>
  <si>
    <t>525</t>
  </si>
  <si>
    <t>142,600.00</t>
  </si>
  <si>
    <t>526</t>
  </si>
  <si>
    <t>27,227.00</t>
  </si>
  <si>
    <t>527</t>
  </si>
  <si>
    <t>100,733.00</t>
  </si>
  <si>
    <t>528</t>
  </si>
  <si>
    <t>18,101.00</t>
  </si>
  <si>
    <t>529</t>
  </si>
  <si>
    <t>43,512.00</t>
  </si>
  <si>
    <t>530</t>
  </si>
  <si>
    <t>377,520.00</t>
  </si>
  <si>
    <t>531</t>
  </si>
  <si>
    <t>887,221.00</t>
  </si>
  <si>
    <t>532</t>
  </si>
  <si>
    <t>138,038.00</t>
  </si>
  <si>
    <t>533</t>
  </si>
  <si>
    <t>1,237,574.00</t>
  </si>
  <si>
    <t>534</t>
  </si>
  <si>
    <t>299,115.00</t>
  </si>
  <si>
    <t>535</t>
  </si>
  <si>
    <t>1,290,444.00</t>
  </si>
  <si>
    <t>536</t>
  </si>
  <si>
    <t>1,551,507.00</t>
  </si>
  <si>
    <t>537</t>
  </si>
  <si>
    <t>246,915.00</t>
  </si>
  <si>
    <t>538</t>
  </si>
  <si>
    <t>52,979.00</t>
  </si>
  <si>
    <t>539</t>
  </si>
  <si>
    <t>15,198.00</t>
  </si>
  <si>
    <t>540</t>
  </si>
  <si>
    <t>226,211.00</t>
  </si>
  <si>
    <t>541</t>
  </si>
  <si>
    <t>365,237.00</t>
  </si>
  <si>
    <t>542</t>
  </si>
  <si>
    <t>513,203.00</t>
  </si>
  <si>
    <t>543</t>
  </si>
  <si>
    <t>900,344.00</t>
  </si>
  <si>
    <t>544</t>
  </si>
  <si>
    <t>134,355.00</t>
  </si>
  <si>
    <t>545</t>
  </si>
  <si>
    <t>10,787.00</t>
  </si>
  <si>
    <t>546</t>
  </si>
  <si>
    <t>123,316.00</t>
  </si>
  <si>
    <t>547</t>
  </si>
  <si>
    <t>10,747.00</t>
  </si>
  <si>
    <t>548</t>
  </si>
  <si>
    <t>1,045.00</t>
  </si>
  <si>
    <t>549</t>
  </si>
  <si>
    <t>1,225,657.00</t>
  </si>
  <si>
    <t>550</t>
  </si>
  <si>
    <t>195,238.00</t>
  </si>
  <si>
    <t>551</t>
  </si>
  <si>
    <t>817,396.00</t>
  </si>
  <si>
    <t>552</t>
  </si>
  <si>
    <t>188,859.00</t>
  </si>
  <si>
    <t>553</t>
  </si>
  <si>
    <t>561,797.00</t>
  </si>
  <si>
    <t>554</t>
  </si>
  <si>
    <t>112,297.00</t>
  </si>
  <si>
    <t>555</t>
  </si>
  <si>
    <t>731,211.00</t>
  </si>
  <si>
    <t>556</t>
  </si>
  <si>
    <t>419,821.00</t>
  </si>
  <si>
    <t>557</t>
  </si>
  <si>
    <t>682,643.00</t>
  </si>
  <si>
    <t>558</t>
  </si>
  <si>
    <t>72,365.00</t>
  </si>
  <si>
    <t>559</t>
  </si>
  <si>
    <t>54,016.00</t>
  </si>
  <si>
    <t>560</t>
  </si>
  <si>
    <t>972,486.00</t>
  </si>
  <si>
    <t>561</t>
  </si>
  <si>
    <t>273,152.00</t>
  </si>
  <si>
    <t>562</t>
  </si>
  <si>
    <t>620,442.00</t>
  </si>
  <si>
    <t>563</t>
  </si>
  <si>
    <t>68,971.00</t>
  </si>
  <si>
    <t>564</t>
  </si>
  <si>
    <t>22,233.00</t>
  </si>
  <si>
    <t>565</t>
  </si>
  <si>
    <t>54,288.00</t>
  </si>
  <si>
    <t>566</t>
  </si>
  <si>
    <t>12,310.00</t>
  </si>
  <si>
    <t>567</t>
  </si>
  <si>
    <t>6,453.00</t>
  </si>
  <si>
    <t>568</t>
  </si>
  <si>
    <t>232,109.00</t>
  </si>
  <si>
    <t>8207123689</t>
  </si>
  <si>
    <t>8207126067</t>
  </si>
  <si>
    <t>5,474,015.00</t>
  </si>
  <si>
    <t>TDS ON MEDICAL REIMBURSEMENT FROM APRIL'25 TO DE</t>
  </si>
  <si>
    <t>820712368910002025</t>
  </si>
  <si>
    <t>320320</t>
  </si>
  <si>
    <t>136,101.00</t>
  </si>
  <si>
    <t>820712606710002025</t>
  </si>
  <si>
    <t>8207126974</t>
  </si>
  <si>
    <t>8207131642</t>
  </si>
  <si>
    <t>820712697410002025</t>
  </si>
  <si>
    <t>8207131771</t>
  </si>
  <si>
    <t>8207131847</t>
  </si>
  <si>
    <t>224,405.00</t>
  </si>
  <si>
    <t>8207822103</t>
  </si>
  <si>
    <t>8207840656</t>
  </si>
  <si>
    <t>59,511.00</t>
  </si>
  <si>
    <t>SALARY JV PG1 H3 FEB 2026</t>
  </si>
  <si>
    <t>820782210310002025</t>
  </si>
  <si>
    <t>29,282.00</t>
  </si>
  <si>
    <t>12,053.00</t>
  </si>
  <si>
    <t>374,219.00</t>
  </si>
  <si>
    <t>9,653.00</t>
  </si>
  <si>
    <t>49,035.00</t>
  </si>
  <si>
    <t>54,416.00</t>
  </si>
  <si>
    <t>79,605.00</t>
  </si>
  <si>
    <t>12,953.00</t>
  </si>
  <si>
    <t>6,027.00</t>
  </si>
  <si>
    <t>17,908.00</t>
  </si>
  <si>
    <t>9,909.00</t>
  </si>
  <si>
    <t>10,536.00</t>
  </si>
  <si>
    <t>274,582.00</t>
  </si>
  <si>
    <t>38,851.00</t>
  </si>
  <si>
    <t>17</t>
  </si>
  <si>
    <t>192,357.00</t>
  </si>
  <si>
    <t>314,445.00</t>
  </si>
  <si>
    <t>512,212.00</t>
  </si>
  <si>
    <t>263,119.00</t>
  </si>
  <si>
    <t>48,922.00</t>
  </si>
  <si>
    <t>630,425.00</t>
  </si>
  <si>
    <t>111,821.00</t>
  </si>
  <si>
    <t>143,734.00</t>
  </si>
  <si>
    <t>69,699.00</t>
  </si>
  <si>
    <t>77,664.00</t>
  </si>
  <si>
    <t>117,972.00</t>
  </si>
  <si>
    <t>54,132.00</t>
  </si>
  <si>
    <t>7,420.00</t>
  </si>
  <si>
    <t>69,507.00</t>
  </si>
  <si>
    <t>77,728.00</t>
  </si>
  <si>
    <t>94,145.00</t>
  </si>
  <si>
    <t>34</t>
  </si>
  <si>
    <t>126,216.00</t>
  </si>
  <si>
    <t>35</t>
  </si>
  <si>
    <t>28,922.00</t>
  </si>
  <si>
    <t>56,153.00</t>
  </si>
  <si>
    <t>75,966.00</t>
  </si>
  <si>
    <t>27,293.00</t>
  </si>
  <si>
    <t>37,554.00</t>
  </si>
  <si>
    <t>99,762.00</t>
  </si>
  <si>
    <t>156,060.00</t>
  </si>
  <si>
    <t>112,721.00</t>
  </si>
  <si>
    <t>23,091.00</t>
  </si>
  <si>
    <t>170,847.00</t>
  </si>
  <si>
    <t>83,946.00</t>
  </si>
  <si>
    <t>143,165.00</t>
  </si>
  <si>
    <t>47</t>
  </si>
  <si>
    <t>100,439.00</t>
  </si>
  <si>
    <t>48</t>
  </si>
  <si>
    <t>76,238.00</t>
  </si>
  <si>
    <t>49</t>
  </si>
  <si>
    <t>181,366.00</t>
  </si>
  <si>
    <t>93,152.00</t>
  </si>
  <si>
    <t>51</t>
  </si>
  <si>
    <t>100,871.00</t>
  </si>
  <si>
    <t>52</t>
  </si>
  <si>
    <t>115,960.00</t>
  </si>
  <si>
    <t>53</t>
  </si>
  <si>
    <t>1,074,490.00</t>
  </si>
  <si>
    <t>54</t>
  </si>
  <si>
    <t>103,466.00</t>
  </si>
  <si>
    <t>55</t>
  </si>
  <si>
    <t>214,519.00</t>
  </si>
  <si>
    <t>56</t>
  </si>
  <si>
    <t>171,537.00</t>
  </si>
  <si>
    <t>57</t>
  </si>
  <si>
    <t>13,461.00</t>
  </si>
  <si>
    <t>58</t>
  </si>
  <si>
    <t>54,345.00</t>
  </si>
  <si>
    <t>59</t>
  </si>
  <si>
    <t>60</t>
  </si>
  <si>
    <t>35,443.00</t>
  </si>
  <si>
    <t>61</t>
  </si>
  <si>
    <t>29,045.00</t>
  </si>
  <si>
    <t>19,236.00</t>
  </si>
  <si>
    <t>17,978.00</t>
  </si>
  <si>
    <t>15,526.00</t>
  </si>
  <si>
    <t>27,302.00</t>
  </si>
  <si>
    <t>20,603.00</t>
  </si>
  <si>
    <t>12,819.00</t>
  </si>
  <si>
    <t>6,682.00</t>
  </si>
  <si>
    <t>1,617.00</t>
  </si>
  <si>
    <t>355.00</t>
  </si>
  <si>
    <t>13,161.00</t>
  </si>
  <si>
    <t>3,671.00</t>
  </si>
  <si>
    <t>671.00</t>
  </si>
  <si>
    <t>750.00</t>
  </si>
  <si>
    <t>766.00</t>
  </si>
  <si>
    <t>36,421.00</t>
  </si>
  <si>
    <t>2,760.00</t>
  </si>
  <si>
    <t>10,739.00</t>
  </si>
  <si>
    <t>13,147.00</t>
  </si>
  <si>
    <t>8,243.00</t>
  </si>
  <si>
    <t>513.00</t>
  </si>
  <si>
    <t>296.00</t>
  </si>
  <si>
    <t>8603185977</t>
  </si>
  <si>
    <t>GH</t>
  </si>
  <si>
    <t>171324</t>
  </si>
  <si>
    <t>860318597710002024</t>
  </si>
  <si>
    <t>RF</t>
  </si>
  <si>
    <t>332315</t>
  </si>
  <si>
    <t>8603185982</t>
  </si>
  <si>
    <t>860318598210002024</t>
  </si>
  <si>
    <t>8603186044</t>
  </si>
  <si>
    <t>860318604410002024</t>
  </si>
  <si>
    <t>8603186051</t>
  </si>
  <si>
    <t>860318605110002024</t>
  </si>
  <si>
    <t>8603186093</t>
  </si>
  <si>
    <t>GF</t>
  </si>
  <si>
    <t>860318609310002024</t>
  </si>
  <si>
    <t>8603186111</t>
  </si>
  <si>
    <t>860318611110002024</t>
  </si>
  <si>
    <t>8603186151</t>
  </si>
  <si>
    <t>860318615110002024</t>
  </si>
  <si>
    <t>8603186156</t>
  </si>
  <si>
    <t>860318615610002024</t>
  </si>
  <si>
    <t>8603186161</t>
  </si>
  <si>
    <t>860318616110002024</t>
  </si>
  <si>
    <t>8603186166</t>
  </si>
  <si>
    <t>860318616610002024</t>
  </si>
  <si>
    <t>8603186167</t>
  </si>
  <si>
    <t>860318616710002024</t>
  </si>
  <si>
    <t>8603186176</t>
  </si>
  <si>
    <t>860318617610002024</t>
  </si>
  <si>
    <t>8603186188</t>
  </si>
  <si>
    <t>860318618810002024</t>
  </si>
  <si>
    <t>8603186211</t>
  </si>
  <si>
    <t>860318621110002024</t>
  </si>
  <si>
    <t>8603186215</t>
  </si>
  <si>
    <t>860318621510002024</t>
  </si>
  <si>
    <t>8603186223</t>
  </si>
  <si>
    <t>860318622310002024</t>
  </si>
  <si>
    <t>8603186283</t>
  </si>
  <si>
    <t>860318628310002024</t>
  </si>
  <si>
    <t>8603186287</t>
  </si>
  <si>
    <t>860318628710002024</t>
  </si>
  <si>
    <t>8603186300</t>
  </si>
  <si>
    <t>860318630010002024</t>
  </si>
  <si>
    <t>2000001359</t>
  </si>
  <si>
    <t>2000001475</t>
  </si>
  <si>
    <t>422.00</t>
  </si>
  <si>
    <t>Challan no 29594 Ref-CK00JZCTS6- 94C for July 2025</t>
  </si>
  <si>
    <t>200000135935002025</t>
  </si>
  <si>
    <t>ZP</t>
  </si>
  <si>
    <t>167101</t>
  </si>
  <si>
    <t>24,519.00</t>
  </si>
  <si>
    <t>53,478.00</t>
  </si>
  <si>
    <t>85,421.00</t>
  </si>
  <si>
    <t>8200004823</t>
  </si>
  <si>
    <t>21,604.00</t>
  </si>
  <si>
    <t>SALARY JV PG19 P2 FEB 2026</t>
  </si>
  <si>
    <t>820000482336002025</t>
  </si>
  <si>
    <t>51,994.00</t>
  </si>
  <si>
    <t>90,750.00</t>
  </si>
  <si>
    <t>2,080.00</t>
  </si>
  <si>
    <t>3,630.00</t>
  </si>
  <si>
    <t>8200004824</t>
  </si>
  <si>
    <t>148,494.00</t>
  </si>
  <si>
    <t>SALARY JV PG19 P3 FEB 2026</t>
  </si>
  <si>
    <t>820000482436002025</t>
  </si>
  <si>
    <t>8,999.00</t>
  </si>
  <si>
    <t>8,801.00</t>
  </si>
  <si>
    <t>13,349.00</t>
  </si>
  <si>
    <t>6,473.00</t>
  </si>
  <si>
    <t>360.00</t>
  </si>
  <si>
    <t>352.00</t>
  </si>
  <si>
    <t>8200004830</t>
  </si>
  <si>
    <t>2000001324</t>
  </si>
  <si>
    <t>820000483036002025</t>
  </si>
  <si>
    <t>Company Code</t>
  </si>
  <si>
    <t>Document Number</t>
  </si>
  <si>
    <t>Fiscal Year</t>
  </si>
  <si>
    <t>Item</t>
  </si>
  <si>
    <t>Clearing Date</t>
  </si>
  <si>
    <t>Clearing Entry Date</t>
  </si>
  <si>
    <t>Clearing Document</t>
  </si>
  <si>
    <t>Posting Key</t>
  </si>
  <si>
    <t>Account type</t>
  </si>
  <si>
    <t>Withholding Tax Code</t>
  </si>
  <si>
    <t>Amount in Loc. Curr.</t>
  </si>
  <si>
    <t>Amount</t>
  </si>
  <si>
    <t>General Ledger Amount</t>
  </si>
  <si>
    <t>Text</t>
  </si>
  <si>
    <t>G/L Transaction Type</t>
  </si>
  <si>
    <t>G/L Account</t>
  </si>
  <si>
    <t>Reference Key</t>
  </si>
  <si>
    <t>Posting Date</t>
  </si>
  <si>
    <t>Document Date</t>
  </si>
  <si>
    <t>Document Type</t>
  </si>
  <si>
    <t>Offsetting Account</t>
  </si>
  <si>
    <t>Offsetting Account Type</t>
  </si>
  <si>
    <t>Offsetting Account in General Ledger</t>
  </si>
  <si>
    <t>G/L Description</t>
  </si>
  <si>
    <t>Document Amount</t>
  </si>
  <si>
    <t>TDS Rate (Statutory)</t>
  </si>
  <si>
    <t>Monthly</t>
  </si>
  <si>
    <t>TDS (Statutory)</t>
  </si>
  <si>
    <t>Difference (Statutory - Actual)</t>
  </si>
  <si>
    <t>Company Name</t>
  </si>
  <si>
    <t>CJSJ LTD</t>
  </si>
  <si>
    <t>CJSJ GEM LTD</t>
  </si>
  <si>
    <t>CJSJ Sapphire LTD</t>
  </si>
  <si>
    <t>Plant Code</t>
  </si>
  <si>
    <t>CJSJ Plant, Delhi</t>
  </si>
  <si>
    <t>CJSJ Works, Pune</t>
  </si>
  <si>
    <t>CJSJ Works, Mangrol</t>
  </si>
  <si>
    <t>CJSJ Pearl</t>
  </si>
  <si>
    <t>CJSJ Works, Nashik</t>
  </si>
  <si>
    <t>CJSJ Works, Ayodhya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</si>
</sst>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  <xf numFmtId="4" fontId="0" fillId="0" borderId="0" xfId="0" applyNumberFormat="1" applyAlignment="1">
      <alignment vertical="top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4" fontId="1" fillId="2" borderId="0" xfId="0" applyNumberFormat="1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ster%20Data%20-%20CJSJ/Plant.xlsx" TargetMode="External"/><Relationship Id="rId2" Type="http://schemas.openxmlformats.org/officeDocument/2006/relationships/externalLinkPath" Target="file:///C:\Users\ajala\Documents\ALTeX\Master%20Data%20-%20CJSJ\Plant.xlsx" TargetMode="External"/><Relationship Id="rId1" Type="http://schemas.openxmlformats.org/officeDocument/2006/relationships/externalLinkPath" Target="/Users/ajala/Documents/ALTeX/Master%20Data%20-%20CJSJ/Pla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A1" t="str">
            <v>Plant</v>
          </cell>
          <cell r="B1" t="str">
            <v>Plant Name</v>
          </cell>
        </row>
        <row r="2">
          <cell r="A2">
            <v>1004</v>
          </cell>
          <cell r="B2" t="str">
            <v>CJSJ Works, Mangrol</v>
          </cell>
        </row>
        <row r="3">
          <cell r="A3">
            <v>1015</v>
          </cell>
          <cell r="B3" t="str">
            <v>CJSJ Pearl</v>
          </cell>
        </row>
        <row r="4">
          <cell r="A4">
            <v>1001</v>
          </cell>
          <cell r="B4" t="str">
            <v>CJSJ Works, Nashik</v>
          </cell>
        </row>
        <row r="5">
          <cell r="A5">
            <v>1902</v>
          </cell>
          <cell r="B5" t="str">
            <v>CJSJ Works, Ayodhya</v>
          </cell>
        </row>
        <row r="6">
          <cell r="A6">
            <v>1408</v>
          </cell>
          <cell r="B6" t="str">
            <v>CJSJ Plant, Delhi</v>
          </cell>
        </row>
        <row r="7">
          <cell r="A7">
            <v>1511</v>
          </cell>
          <cell r="B7" t="str">
            <v>CJSJ Works, Pune</v>
          </cell>
        </row>
        <row r="8">
          <cell r="A8">
            <v>3804</v>
          </cell>
          <cell r="B8" t="str">
            <v>CJSJ Tech Works</v>
          </cell>
        </row>
        <row r="9">
          <cell r="A9">
            <v>5706</v>
          </cell>
          <cell r="B9" t="str">
            <v>CJSJ Sil Works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22"/>
  <sheetViews>
    <sheetView tabSelected="1" workbookViewId="0">
      <selection activeCell="J11" sqref="J11"/>
    </sheetView>
  </sheetViews>
  <sheetFormatPr defaultRowHeight="13.2" x14ac:dyDescent="0.25"/>
  <cols>
    <col min="1" max="1" width="14" bestFit="1" customWidth="1"/>
    <col min="2" max="2" width="14" customWidth="1"/>
    <col min="3" max="3" width="17" bestFit="1" customWidth="1"/>
    <col min="4" max="4" width="13" bestFit="1" customWidth="1"/>
    <col min="5" max="5" width="6" bestFit="1" customWidth="1"/>
    <col min="6" max="6" width="15" bestFit="1" customWidth="1"/>
    <col min="7" max="7" width="21" bestFit="1" customWidth="1"/>
    <col min="8" max="8" width="19" bestFit="1" customWidth="1"/>
    <col min="9" max="9" width="13" bestFit="1" customWidth="1"/>
    <col min="10" max="10" width="9" bestFit="1" customWidth="1"/>
    <col min="11" max="11" width="13" bestFit="1" customWidth="1"/>
    <col min="12" max="12" width="22" bestFit="1" customWidth="1"/>
    <col min="13" max="13" width="16" bestFit="1" customWidth="1"/>
    <col min="14" max="14" width="23" bestFit="1" customWidth="1"/>
    <col min="15" max="15" width="52" bestFit="1" customWidth="1"/>
    <col min="16" max="16" width="14" bestFit="1" customWidth="1"/>
    <col min="17" max="17" width="13" bestFit="1" customWidth="1"/>
    <col min="18" max="18" width="29" bestFit="1" customWidth="1"/>
    <col min="19" max="19" width="7.77734375" bestFit="1" customWidth="1"/>
    <col min="20" max="21" width="20" bestFit="1" customWidth="1"/>
    <col min="22" max="22" width="14" bestFit="1" customWidth="1"/>
    <col min="23" max="23" width="15" bestFit="1" customWidth="1"/>
    <col min="24" max="24" width="10" bestFit="1" customWidth="1"/>
    <col min="25" max="25" width="9.88671875" bestFit="1" customWidth="1"/>
    <col min="26" max="26" width="14.44140625" bestFit="1" customWidth="1"/>
    <col min="27" max="27" width="20.33203125" bestFit="1" customWidth="1"/>
    <col min="28" max="28" width="16" style="4" bestFit="1" customWidth="1"/>
    <col min="29" max="29" width="10.21875" style="8" bestFit="1" customWidth="1"/>
    <col min="30" max="30" width="21.5546875" style="4" bestFit="1" customWidth="1"/>
    <col min="31" max="31" width="25.77734375" customWidth="1"/>
  </cols>
  <sheetData>
    <row r="1" spans="1:31" ht="26.4" x14ac:dyDescent="0.25">
      <c r="A1" s="9" t="s">
        <v>2189</v>
      </c>
      <c r="B1" s="10" t="s">
        <v>2218</v>
      </c>
      <c r="C1" s="9" t="s">
        <v>2190</v>
      </c>
      <c r="D1" s="9" t="s">
        <v>2191</v>
      </c>
      <c r="E1" s="9" t="s">
        <v>2192</v>
      </c>
      <c r="F1" s="9" t="s">
        <v>2193</v>
      </c>
      <c r="G1" s="9" t="s">
        <v>2194</v>
      </c>
      <c r="H1" s="9" t="s">
        <v>2195</v>
      </c>
      <c r="I1" s="9" t="s">
        <v>2196</v>
      </c>
      <c r="J1" s="11" t="s">
        <v>2197</v>
      </c>
      <c r="K1" s="11" t="s">
        <v>2198</v>
      </c>
      <c r="L1" s="9" t="s">
        <v>2199</v>
      </c>
      <c r="M1" s="9" t="s">
        <v>2200</v>
      </c>
      <c r="N1" s="9" t="s">
        <v>2201</v>
      </c>
      <c r="O1" s="9" t="s">
        <v>2202</v>
      </c>
      <c r="P1" s="11" t="s">
        <v>2203</v>
      </c>
      <c r="Q1" s="9" t="s">
        <v>2204</v>
      </c>
      <c r="R1" s="10" t="s">
        <v>2212</v>
      </c>
      <c r="S1" s="12" t="s">
        <v>2222</v>
      </c>
      <c r="T1" s="12" t="s">
        <v>2222</v>
      </c>
      <c r="U1" s="9" t="s">
        <v>2205</v>
      </c>
      <c r="V1" s="9" t="s">
        <v>2206</v>
      </c>
      <c r="W1" s="9" t="s">
        <v>2207</v>
      </c>
      <c r="X1" s="11" t="s">
        <v>2208</v>
      </c>
      <c r="Y1" s="12" t="s">
        <v>2209</v>
      </c>
      <c r="Z1" s="11" t="s">
        <v>2210</v>
      </c>
      <c r="AA1" s="11" t="s">
        <v>2211</v>
      </c>
      <c r="AB1" s="13" t="s">
        <v>2213</v>
      </c>
      <c r="AC1" s="14" t="s">
        <v>2214</v>
      </c>
      <c r="AD1" s="13" t="s">
        <v>2216</v>
      </c>
      <c r="AE1" s="15" t="s">
        <v>2217</v>
      </c>
    </row>
    <row r="2" spans="1:31" x14ac:dyDescent="0.25">
      <c r="A2" t="s">
        <v>0</v>
      </c>
      <c r="B2" s="3" t="s">
        <v>2219</v>
      </c>
      <c r="C2" t="s">
        <v>1</v>
      </c>
      <c r="D2" t="s">
        <v>2</v>
      </c>
      <c r="E2" t="s">
        <v>3</v>
      </c>
      <c r="F2" s="1"/>
      <c r="G2" s="1"/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8</v>
      </c>
      <c r="N2" s="2">
        <v>3364</v>
      </c>
      <c r="O2" t="s">
        <v>7</v>
      </c>
      <c r="P2" t="s">
        <v>9</v>
      </c>
      <c r="Q2" t="s">
        <v>10</v>
      </c>
      <c r="R2" t="e">
        <f>VLOOKUP(Q2,#REF!,2,FALSE)</f>
        <v>#REF!</v>
      </c>
      <c r="S2">
        <v>1004</v>
      </c>
      <c r="T2" t="str">
        <f>VLOOKUP(S2,[1]Sheet1!$A$1:$B$9,2,FALSE)</f>
        <v>CJSJ Works, Mangrol</v>
      </c>
      <c r="U2" t="s">
        <v>11</v>
      </c>
      <c r="V2" s="1">
        <v>46185</v>
      </c>
      <c r="W2" s="1">
        <v>46184</v>
      </c>
      <c r="X2" t="s">
        <v>13</v>
      </c>
      <c r="Y2" t="s">
        <v>14</v>
      </c>
      <c r="Z2" t="s">
        <v>6</v>
      </c>
      <c r="AA2" t="s">
        <v>14</v>
      </c>
      <c r="AB2" s="4">
        <f t="shared" ref="AB2:AB9" si="0">L2/0.01</f>
        <v>336400</v>
      </c>
      <c r="AC2" s="6">
        <v>0.02</v>
      </c>
      <c r="AD2" s="4">
        <f>AB2*AC2</f>
        <v>6728</v>
      </c>
      <c r="AE2" s="4">
        <f t="shared" ref="AE2:AE65" si="1">AD2-L2</f>
        <v>3364</v>
      </c>
    </row>
    <row r="3" spans="1:31" x14ac:dyDescent="0.25">
      <c r="A3" t="s">
        <v>0</v>
      </c>
      <c r="B3" s="3" t="s">
        <v>2219</v>
      </c>
      <c r="C3" t="s">
        <v>15</v>
      </c>
      <c r="D3" t="s">
        <v>2</v>
      </c>
      <c r="E3" t="s">
        <v>16</v>
      </c>
      <c r="F3" s="1"/>
      <c r="G3" s="1"/>
      <c r="H3" t="s">
        <v>4</v>
      </c>
      <c r="I3" t="s">
        <v>5</v>
      </c>
      <c r="J3" t="s">
        <v>6</v>
      </c>
      <c r="K3" t="s">
        <v>7</v>
      </c>
      <c r="L3" t="s">
        <v>17</v>
      </c>
      <c r="M3" t="s">
        <v>17</v>
      </c>
      <c r="N3" s="2">
        <v>724</v>
      </c>
      <c r="O3" t="s">
        <v>7</v>
      </c>
      <c r="P3" t="s">
        <v>18</v>
      </c>
      <c r="Q3" t="s">
        <v>10</v>
      </c>
      <c r="R3" t="e">
        <f>VLOOKUP(Q3,#REF!,2,FALSE)</f>
        <v>#REF!</v>
      </c>
      <c r="S3" s="3">
        <v>1408</v>
      </c>
      <c r="T3" s="3" t="s">
        <v>2223</v>
      </c>
      <c r="U3" t="s">
        <v>19</v>
      </c>
      <c r="V3" s="1">
        <v>46185</v>
      </c>
      <c r="W3" s="1">
        <v>46173</v>
      </c>
      <c r="X3" t="s">
        <v>13</v>
      </c>
      <c r="Y3" t="s">
        <v>20</v>
      </c>
      <c r="Z3" t="s">
        <v>6</v>
      </c>
      <c r="AA3" t="s">
        <v>20</v>
      </c>
      <c r="AB3" s="4">
        <f t="shared" si="0"/>
        <v>72400</v>
      </c>
      <c r="AC3" s="6">
        <v>0.02</v>
      </c>
      <c r="AD3" s="4">
        <f t="shared" ref="AD3:AD9" si="2">AB3*AC3</f>
        <v>1448</v>
      </c>
      <c r="AE3" s="4">
        <f t="shared" si="1"/>
        <v>724</v>
      </c>
    </row>
    <row r="4" spans="1:31" x14ac:dyDescent="0.25">
      <c r="A4" t="s">
        <v>0</v>
      </c>
      <c r="B4" s="3" t="s">
        <v>2219</v>
      </c>
      <c r="C4" t="s">
        <v>21</v>
      </c>
      <c r="D4" t="s">
        <v>2</v>
      </c>
      <c r="E4" t="s">
        <v>22</v>
      </c>
      <c r="F4" s="1"/>
      <c r="G4" s="1"/>
      <c r="H4" t="s">
        <v>4</v>
      </c>
      <c r="I4" t="s">
        <v>5</v>
      </c>
      <c r="J4" t="s">
        <v>6</v>
      </c>
      <c r="K4" t="s">
        <v>23</v>
      </c>
      <c r="L4" t="s">
        <v>24</v>
      </c>
      <c r="M4" t="s">
        <v>24</v>
      </c>
      <c r="N4" s="2">
        <v>2750</v>
      </c>
      <c r="O4" t="s">
        <v>23</v>
      </c>
      <c r="P4" t="s">
        <v>18</v>
      </c>
      <c r="Q4" t="s">
        <v>10</v>
      </c>
      <c r="R4" t="e">
        <f>VLOOKUP(Q4,#REF!,2,FALSE)</f>
        <v>#REF!</v>
      </c>
      <c r="S4">
        <v>1015</v>
      </c>
      <c r="T4" t="str">
        <f>VLOOKUP(S4,[1]Sheet1!$A$1:$B$9,2,FALSE)</f>
        <v>CJSJ Pearl</v>
      </c>
      <c r="U4" t="s">
        <v>25</v>
      </c>
      <c r="V4" s="1">
        <v>46185</v>
      </c>
      <c r="W4" s="1">
        <v>46175</v>
      </c>
      <c r="X4" t="s">
        <v>13</v>
      </c>
      <c r="Y4" t="s">
        <v>20</v>
      </c>
      <c r="Z4" t="s">
        <v>6</v>
      </c>
      <c r="AA4" t="s">
        <v>20</v>
      </c>
      <c r="AB4" s="4">
        <f t="shared" si="0"/>
        <v>275000</v>
      </c>
      <c r="AC4" s="6">
        <v>0.02</v>
      </c>
      <c r="AD4" s="4">
        <f t="shared" si="2"/>
        <v>5500</v>
      </c>
      <c r="AE4" s="4">
        <f t="shared" si="1"/>
        <v>2750</v>
      </c>
    </row>
    <row r="5" spans="1:31" x14ac:dyDescent="0.25">
      <c r="A5" t="s">
        <v>0</v>
      </c>
      <c r="B5" s="3" t="s">
        <v>2219</v>
      </c>
      <c r="C5" t="s">
        <v>26</v>
      </c>
      <c r="D5" t="s">
        <v>2</v>
      </c>
      <c r="E5" t="s">
        <v>16</v>
      </c>
      <c r="F5" s="1"/>
      <c r="G5" s="1"/>
      <c r="H5" t="s">
        <v>4</v>
      </c>
      <c r="I5" t="s">
        <v>5</v>
      </c>
      <c r="J5" t="s">
        <v>6</v>
      </c>
      <c r="K5" t="s">
        <v>7</v>
      </c>
      <c r="L5" t="s">
        <v>27</v>
      </c>
      <c r="M5" t="s">
        <v>27</v>
      </c>
      <c r="N5" s="2">
        <v>1489</v>
      </c>
      <c r="O5" t="s">
        <v>7</v>
      </c>
      <c r="P5" t="s">
        <v>18</v>
      </c>
      <c r="Q5" t="s">
        <v>10</v>
      </c>
      <c r="R5" t="e">
        <f>VLOOKUP(Q5,#REF!,2,FALSE)</f>
        <v>#REF!</v>
      </c>
      <c r="S5">
        <v>1004</v>
      </c>
      <c r="T5" t="str">
        <f>VLOOKUP(S5,[1]Sheet1!$A$1:$B$9,2,FALSE)</f>
        <v>CJSJ Works, Mangrol</v>
      </c>
      <c r="U5" t="s">
        <v>28</v>
      </c>
      <c r="V5" s="1">
        <v>46185</v>
      </c>
      <c r="W5" s="1">
        <v>46176</v>
      </c>
      <c r="X5" t="s">
        <v>13</v>
      </c>
      <c r="Y5" t="s">
        <v>20</v>
      </c>
      <c r="Z5" t="s">
        <v>6</v>
      </c>
      <c r="AA5" t="s">
        <v>20</v>
      </c>
      <c r="AB5" s="4">
        <f t="shared" si="0"/>
        <v>148900</v>
      </c>
      <c r="AC5" s="6">
        <v>0.02</v>
      </c>
      <c r="AD5" s="4">
        <f t="shared" si="2"/>
        <v>2978</v>
      </c>
      <c r="AE5" s="4">
        <f t="shared" si="1"/>
        <v>1489</v>
      </c>
    </row>
    <row r="6" spans="1:31" x14ac:dyDescent="0.25">
      <c r="A6" t="s">
        <v>0</v>
      </c>
      <c r="B6" s="3" t="s">
        <v>2219</v>
      </c>
      <c r="C6" t="s">
        <v>29</v>
      </c>
      <c r="D6" t="s">
        <v>2</v>
      </c>
      <c r="E6" t="s">
        <v>22</v>
      </c>
      <c r="F6" s="1"/>
      <c r="G6" s="1"/>
      <c r="H6" t="s">
        <v>4</v>
      </c>
      <c r="I6" t="s">
        <v>5</v>
      </c>
      <c r="J6" t="s">
        <v>6</v>
      </c>
      <c r="K6" t="s">
        <v>23</v>
      </c>
      <c r="L6" t="s">
        <v>30</v>
      </c>
      <c r="M6" t="s">
        <v>30</v>
      </c>
      <c r="N6" s="2">
        <v>3895</v>
      </c>
      <c r="O6" t="s">
        <v>23</v>
      </c>
      <c r="P6" t="s">
        <v>18</v>
      </c>
      <c r="Q6" t="s">
        <v>10</v>
      </c>
      <c r="R6" t="e">
        <f>VLOOKUP(Q6,#REF!,2,FALSE)</f>
        <v>#REF!</v>
      </c>
      <c r="S6" s="3">
        <v>1408</v>
      </c>
      <c r="T6" s="3" t="s">
        <v>2223</v>
      </c>
      <c r="U6" t="s">
        <v>31</v>
      </c>
      <c r="V6" s="1">
        <v>46185</v>
      </c>
      <c r="W6" s="1">
        <v>46175</v>
      </c>
      <c r="X6" t="s">
        <v>13</v>
      </c>
      <c r="Y6" t="s">
        <v>20</v>
      </c>
      <c r="Z6" t="s">
        <v>6</v>
      </c>
      <c r="AA6" t="s">
        <v>20</v>
      </c>
      <c r="AB6" s="4">
        <f t="shared" si="0"/>
        <v>389500</v>
      </c>
      <c r="AC6" s="6">
        <v>0.02</v>
      </c>
      <c r="AD6" s="4">
        <f t="shared" si="2"/>
        <v>7790</v>
      </c>
      <c r="AE6" s="4">
        <f t="shared" si="1"/>
        <v>3895</v>
      </c>
    </row>
    <row r="7" spans="1:31" x14ac:dyDescent="0.25">
      <c r="A7" t="s">
        <v>0</v>
      </c>
      <c r="B7" s="3" t="s">
        <v>2219</v>
      </c>
      <c r="C7" t="s">
        <v>32</v>
      </c>
      <c r="D7" t="s">
        <v>2</v>
      </c>
      <c r="E7" t="s">
        <v>3</v>
      </c>
      <c r="F7" s="1"/>
      <c r="G7" s="1"/>
      <c r="H7" t="s">
        <v>4</v>
      </c>
      <c r="I7" t="s">
        <v>5</v>
      </c>
      <c r="J7" t="s">
        <v>6</v>
      </c>
      <c r="K7" t="s">
        <v>7</v>
      </c>
      <c r="L7" t="s">
        <v>33</v>
      </c>
      <c r="M7" t="s">
        <v>33</v>
      </c>
      <c r="N7" s="2">
        <v>96</v>
      </c>
      <c r="O7" t="s">
        <v>7</v>
      </c>
      <c r="P7" t="s">
        <v>9</v>
      </c>
      <c r="Q7" t="s">
        <v>10</v>
      </c>
      <c r="R7" t="e">
        <f>VLOOKUP(Q7,#REF!,2,FALSE)</f>
        <v>#REF!</v>
      </c>
      <c r="S7">
        <v>1015</v>
      </c>
      <c r="T7" t="str">
        <f>VLOOKUP(S7,[1]Sheet1!$A$1:$B$9,2,FALSE)</f>
        <v>CJSJ Pearl</v>
      </c>
      <c r="U7" t="s">
        <v>34</v>
      </c>
      <c r="V7" s="1">
        <v>46185</v>
      </c>
      <c r="W7" s="1">
        <v>46184</v>
      </c>
      <c r="X7" t="s">
        <v>13</v>
      </c>
      <c r="Y7" t="s">
        <v>35</v>
      </c>
      <c r="Z7" t="s">
        <v>6</v>
      </c>
      <c r="AA7" t="s">
        <v>35</v>
      </c>
      <c r="AB7" s="4">
        <f t="shared" si="0"/>
        <v>9600</v>
      </c>
      <c r="AC7" s="6">
        <v>0.02</v>
      </c>
      <c r="AD7" s="4">
        <f t="shared" si="2"/>
        <v>192</v>
      </c>
      <c r="AE7" s="4">
        <f t="shared" si="1"/>
        <v>96</v>
      </c>
    </row>
    <row r="8" spans="1:31" x14ac:dyDescent="0.25">
      <c r="A8" t="s">
        <v>0</v>
      </c>
      <c r="B8" s="3" t="s">
        <v>2219</v>
      </c>
      <c r="C8" t="s">
        <v>36</v>
      </c>
      <c r="D8" t="s">
        <v>2</v>
      </c>
      <c r="E8" t="s">
        <v>22</v>
      </c>
      <c r="F8" s="1"/>
      <c r="G8" s="1"/>
      <c r="H8" t="s">
        <v>4</v>
      </c>
      <c r="I8" t="s">
        <v>5</v>
      </c>
      <c r="J8" t="s">
        <v>6</v>
      </c>
      <c r="K8" t="s">
        <v>7</v>
      </c>
      <c r="L8" t="s">
        <v>37</v>
      </c>
      <c r="M8" t="s">
        <v>37</v>
      </c>
      <c r="N8" s="2">
        <v>2089</v>
      </c>
      <c r="O8" t="s">
        <v>7</v>
      </c>
      <c r="P8" t="s">
        <v>9</v>
      </c>
      <c r="Q8" t="s">
        <v>10</v>
      </c>
      <c r="R8" t="e">
        <f>VLOOKUP(Q8,#REF!,2,FALSE)</f>
        <v>#REF!</v>
      </c>
      <c r="S8">
        <v>1511</v>
      </c>
      <c r="T8" t="s">
        <v>2224</v>
      </c>
      <c r="U8" t="s">
        <v>38</v>
      </c>
      <c r="V8" s="1">
        <v>46185</v>
      </c>
      <c r="W8" s="1">
        <v>46184</v>
      </c>
      <c r="X8" t="s">
        <v>13</v>
      </c>
      <c r="Y8" t="s">
        <v>35</v>
      </c>
      <c r="Z8" t="s">
        <v>6</v>
      </c>
      <c r="AA8" t="s">
        <v>35</v>
      </c>
      <c r="AB8" s="4">
        <f t="shared" si="0"/>
        <v>208900</v>
      </c>
      <c r="AC8" s="6">
        <v>0.02</v>
      </c>
      <c r="AD8" s="4">
        <f t="shared" si="2"/>
        <v>4178</v>
      </c>
      <c r="AE8" s="4">
        <f t="shared" si="1"/>
        <v>2089</v>
      </c>
    </row>
    <row r="9" spans="1:31" x14ac:dyDescent="0.25">
      <c r="A9" t="s">
        <v>0</v>
      </c>
      <c r="B9" s="3" t="s">
        <v>2219</v>
      </c>
      <c r="C9" t="s">
        <v>39</v>
      </c>
      <c r="D9" t="s">
        <v>2</v>
      </c>
      <c r="E9" t="s">
        <v>3</v>
      </c>
      <c r="F9" s="1"/>
      <c r="G9" s="1"/>
      <c r="H9" t="s">
        <v>4</v>
      </c>
      <c r="I9" t="s">
        <v>5</v>
      </c>
      <c r="J9" t="s">
        <v>6</v>
      </c>
      <c r="K9" t="s">
        <v>23</v>
      </c>
      <c r="L9" t="s">
        <v>40</v>
      </c>
      <c r="M9" t="s">
        <v>40</v>
      </c>
      <c r="N9" s="2">
        <v>14721</v>
      </c>
      <c r="O9" t="s">
        <v>23</v>
      </c>
      <c r="P9" t="s">
        <v>9</v>
      </c>
      <c r="Q9" t="s">
        <v>10</v>
      </c>
      <c r="R9" t="e">
        <f>VLOOKUP(Q9,#REF!,2,FALSE)</f>
        <v>#REF!</v>
      </c>
      <c r="S9">
        <v>1004</v>
      </c>
      <c r="T9" t="s">
        <v>2225</v>
      </c>
      <c r="U9" t="s">
        <v>41</v>
      </c>
      <c r="V9" s="1">
        <v>46185</v>
      </c>
      <c r="W9" s="1">
        <v>46163</v>
      </c>
      <c r="X9" t="s">
        <v>13</v>
      </c>
      <c r="Y9" t="s">
        <v>14</v>
      </c>
      <c r="Z9" t="s">
        <v>6</v>
      </c>
      <c r="AA9" t="s">
        <v>14</v>
      </c>
      <c r="AB9" s="4">
        <f t="shared" si="0"/>
        <v>1472100</v>
      </c>
      <c r="AC9" s="6">
        <v>0.02</v>
      </c>
      <c r="AD9" s="4">
        <f t="shared" si="2"/>
        <v>29442</v>
      </c>
      <c r="AE9" s="4">
        <f t="shared" si="1"/>
        <v>14721</v>
      </c>
    </row>
    <row r="10" spans="1:31" x14ac:dyDescent="0.25">
      <c r="A10" t="s">
        <v>0</v>
      </c>
      <c r="B10" s="3" t="s">
        <v>2219</v>
      </c>
      <c r="C10" t="s">
        <v>42</v>
      </c>
      <c r="D10" t="s">
        <v>2</v>
      </c>
      <c r="E10" t="s">
        <v>43</v>
      </c>
      <c r="F10" s="1"/>
      <c r="G10" s="1"/>
      <c r="H10" t="s">
        <v>4</v>
      </c>
      <c r="I10" t="s">
        <v>5</v>
      </c>
      <c r="J10" t="s">
        <v>6</v>
      </c>
      <c r="K10" t="s">
        <v>44</v>
      </c>
      <c r="L10" t="s">
        <v>45</v>
      </c>
      <c r="M10" t="s">
        <v>45</v>
      </c>
      <c r="N10" s="2">
        <v>330</v>
      </c>
      <c r="O10" t="s">
        <v>46</v>
      </c>
      <c r="P10" t="s">
        <v>9</v>
      </c>
      <c r="Q10" t="s">
        <v>47</v>
      </c>
      <c r="R10" t="e">
        <f>VLOOKUP(Q10,#REF!,2,FALSE)</f>
        <v>#REF!</v>
      </c>
      <c r="S10">
        <v>1004</v>
      </c>
      <c r="T10" t="s">
        <v>2225</v>
      </c>
      <c r="U10" t="s">
        <v>48</v>
      </c>
      <c r="V10" s="1">
        <v>46185</v>
      </c>
      <c r="W10" s="1">
        <v>46174</v>
      </c>
      <c r="X10" t="s">
        <v>49</v>
      </c>
      <c r="Y10" t="s">
        <v>50</v>
      </c>
      <c r="Z10" t="s">
        <v>6</v>
      </c>
      <c r="AA10" t="s">
        <v>50</v>
      </c>
      <c r="AB10" s="4">
        <f>L10/0.02</f>
        <v>16500</v>
      </c>
      <c r="AC10" s="6">
        <v>0.02</v>
      </c>
      <c r="AD10" s="4">
        <f>AB10*AC10</f>
        <v>330</v>
      </c>
      <c r="AE10" s="4">
        <f t="shared" si="1"/>
        <v>0</v>
      </c>
    </row>
    <row r="11" spans="1:31" x14ac:dyDescent="0.25">
      <c r="A11" t="s">
        <v>0</v>
      </c>
      <c r="B11" s="3" t="s">
        <v>2219</v>
      </c>
      <c r="C11" t="s">
        <v>51</v>
      </c>
      <c r="D11" t="s">
        <v>2</v>
      </c>
      <c r="E11" t="s">
        <v>43</v>
      </c>
      <c r="F11" s="1"/>
      <c r="G11" s="1"/>
      <c r="H11" t="s">
        <v>4</v>
      </c>
      <c r="I11" t="s">
        <v>5</v>
      </c>
      <c r="J11" t="s">
        <v>6</v>
      </c>
      <c r="K11" t="s">
        <v>52</v>
      </c>
      <c r="L11" t="s">
        <v>53</v>
      </c>
      <c r="M11" t="s">
        <v>53</v>
      </c>
      <c r="N11" s="2">
        <v>419</v>
      </c>
      <c r="O11" t="s">
        <v>52</v>
      </c>
      <c r="P11" t="s">
        <v>18</v>
      </c>
      <c r="Q11" t="s">
        <v>54</v>
      </c>
      <c r="R11" t="e">
        <f>VLOOKUP(Q11,#REF!,2,FALSE)</f>
        <v>#REF!</v>
      </c>
      <c r="S11">
        <v>1004</v>
      </c>
      <c r="T11" t="s">
        <v>2225</v>
      </c>
      <c r="U11" t="s">
        <v>55</v>
      </c>
      <c r="V11" s="1">
        <v>46185</v>
      </c>
      <c r="W11" s="1">
        <v>46174</v>
      </c>
      <c r="X11" t="s">
        <v>56</v>
      </c>
      <c r="Y11" t="s">
        <v>57</v>
      </c>
      <c r="Z11" t="s">
        <v>6</v>
      </c>
      <c r="AA11" t="s">
        <v>57</v>
      </c>
      <c r="AB11" s="4">
        <f>L11/0.001</f>
        <v>419000</v>
      </c>
      <c r="AC11" s="7">
        <v>1E-3</v>
      </c>
      <c r="AD11" s="4">
        <f>AB11*AC11</f>
        <v>419</v>
      </c>
      <c r="AE11" s="4">
        <f t="shared" si="1"/>
        <v>0</v>
      </c>
    </row>
    <row r="12" spans="1:31" x14ac:dyDescent="0.25">
      <c r="A12" t="s">
        <v>0</v>
      </c>
      <c r="B12" s="3" t="s">
        <v>2219</v>
      </c>
      <c r="C12" t="s">
        <v>58</v>
      </c>
      <c r="D12" t="s">
        <v>2</v>
      </c>
      <c r="E12" t="s">
        <v>43</v>
      </c>
      <c r="F12" s="1"/>
      <c r="G12" s="1"/>
      <c r="H12" t="s">
        <v>4</v>
      </c>
      <c r="I12" t="s">
        <v>5</v>
      </c>
      <c r="J12" t="s">
        <v>6</v>
      </c>
      <c r="K12" t="s">
        <v>7</v>
      </c>
      <c r="L12" t="s">
        <v>59</v>
      </c>
      <c r="M12" t="s">
        <v>59</v>
      </c>
      <c r="N12" s="2">
        <v>1934</v>
      </c>
      <c r="O12" t="s">
        <v>7</v>
      </c>
      <c r="P12" t="s">
        <v>9</v>
      </c>
      <c r="Q12" t="s">
        <v>10</v>
      </c>
      <c r="R12" t="e">
        <f>VLOOKUP(Q12,#REF!,2,FALSE)</f>
        <v>#REF!</v>
      </c>
      <c r="S12">
        <v>1004</v>
      </c>
      <c r="T12" t="s">
        <v>2225</v>
      </c>
      <c r="U12" t="s">
        <v>60</v>
      </c>
      <c r="V12" s="1">
        <v>46185</v>
      </c>
      <c r="W12" s="1">
        <v>46183</v>
      </c>
      <c r="X12" t="s">
        <v>61</v>
      </c>
      <c r="Y12" t="s">
        <v>35</v>
      </c>
      <c r="Z12" t="s">
        <v>6</v>
      </c>
      <c r="AA12" t="s">
        <v>35</v>
      </c>
      <c r="AB12" s="4">
        <f>L12/0.01</f>
        <v>193400</v>
      </c>
      <c r="AC12" s="6">
        <v>0.02</v>
      </c>
      <c r="AD12" s="4">
        <f t="shared" ref="AD12:AD13" si="3">AB12*AC12</f>
        <v>3868</v>
      </c>
      <c r="AE12" s="4">
        <f t="shared" si="1"/>
        <v>1934</v>
      </c>
    </row>
    <row r="13" spans="1:31" x14ac:dyDescent="0.25">
      <c r="A13" t="s">
        <v>0</v>
      </c>
      <c r="B13" s="3" t="s">
        <v>2219</v>
      </c>
      <c r="C13" t="s">
        <v>62</v>
      </c>
      <c r="D13" t="s">
        <v>2</v>
      </c>
      <c r="E13" t="s">
        <v>43</v>
      </c>
      <c r="F13" s="1"/>
      <c r="G13" s="1"/>
      <c r="H13" t="s">
        <v>4</v>
      </c>
      <c r="I13" t="s">
        <v>5</v>
      </c>
      <c r="J13" t="s">
        <v>6</v>
      </c>
      <c r="K13" t="s">
        <v>7</v>
      </c>
      <c r="L13" t="s">
        <v>63</v>
      </c>
      <c r="M13" t="s">
        <v>63</v>
      </c>
      <c r="N13" s="2">
        <v>2176</v>
      </c>
      <c r="O13" t="s">
        <v>7</v>
      </c>
      <c r="P13" t="s">
        <v>9</v>
      </c>
      <c r="Q13" t="s">
        <v>10</v>
      </c>
      <c r="R13" t="e">
        <f>VLOOKUP(Q13,#REF!,2,FALSE)</f>
        <v>#REF!</v>
      </c>
      <c r="S13">
        <v>1004</v>
      </c>
      <c r="T13" t="s">
        <v>2225</v>
      </c>
      <c r="U13" t="s">
        <v>64</v>
      </c>
      <c r="V13" s="1">
        <v>46185</v>
      </c>
      <c r="W13" s="1">
        <v>46183</v>
      </c>
      <c r="X13" t="s">
        <v>61</v>
      </c>
      <c r="Y13" t="s">
        <v>35</v>
      </c>
      <c r="Z13" t="s">
        <v>6</v>
      </c>
      <c r="AA13" t="s">
        <v>35</v>
      </c>
      <c r="AB13" s="4">
        <f>L13/0.01</f>
        <v>217600</v>
      </c>
      <c r="AC13" s="6">
        <v>0.02</v>
      </c>
      <c r="AD13" s="4">
        <f t="shared" si="3"/>
        <v>4352</v>
      </c>
      <c r="AE13" s="4">
        <f t="shared" si="1"/>
        <v>2176</v>
      </c>
    </row>
    <row r="14" spans="1:31" x14ac:dyDescent="0.25">
      <c r="A14" t="s">
        <v>0</v>
      </c>
      <c r="B14" s="3" t="s">
        <v>2219</v>
      </c>
      <c r="C14" t="s">
        <v>70</v>
      </c>
      <c r="D14" t="s">
        <v>69</v>
      </c>
      <c r="E14" t="s">
        <v>71</v>
      </c>
      <c r="F14" s="1">
        <v>45556</v>
      </c>
      <c r="G14" s="1">
        <v>45556</v>
      </c>
      <c r="H14" t="s">
        <v>72</v>
      </c>
      <c r="I14" t="s">
        <v>5</v>
      </c>
      <c r="J14" t="s">
        <v>6</v>
      </c>
      <c r="K14" t="s">
        <v>4</v>
      </c>
      <c r="L14" t="s">
        <v>73</v>
      </c>
      <c r="M14" t="s">
        <v>73</v>
      </c>
      <c r="N14" s="2">
        <v>2161444</v>
      </c>
      <c r="O14" t="s">
        <v>74</v>
      </c>
      <c r="P14" t="s">
        <v>9</v>
      </c>
      <c r="Q14" t="s">
        <v>75</v>
      </c>
      <c r="R14" t="e">
        <f>VLOOKUP(Q14,#REF!,2,FALSE)</f>
        <v>#REF!</v>
      </c>
      <c r="S14">
        <v>1511</v>
      </c>
      <c r="T14" t="s">
        <v>2224</v>
      </c>
      <c r="U14" t="s">
        <v>76</v>
      </c>
      <c r="V14" s="1">
        <v>45412</v>
      </c>
      <c r="W14" s="1">
        <v>45412</v>
      </c>
      <c r="X14" t="s">
        <v>77</v>
      </c>
      <c r="Y14" t="s">
        <v>78</v>
      </c>
      <c r="Z14" t="s">
        <v>6</v>
      </c>
      <c r="AA14" t="s">
        <v>78</v>
      </c>
      <c r="AB14" s="4">
        <f>L14/0.1</f>
        <v>21614440</v>
      </c>
      <c r="AC14" s="5" t="s">
        <v>2215</v>
      </c>
      <c r="AD14" s="4">
        <f>AB14/12</f>
        <v>1801203.3333333333</v>
      </c>
      <c r="AE14" s="4">
        <f t="shared" si="1"/>
        <v>-360240.66666666674</v>
      </c>
    </row>
    <row r="15" spans="1:31" x14ac:dyDescent="0.25">
      <c r="A15" t="s">
        <v>0</v>
      </c>
      <c r="B15" s="3" t="s">
        <v>2219</v>
      </c>
      <c r="C15" t="s">
        <v>70</v>
      </c>
      <c r="D15" t="s">
        <v>69</v>
      </c>
      <c r="E15" t="s">
        <v>79</v>
      </c>
      <c r="F15" s="1">
        <v>45747</v>
      </c>
      <c r="G15" s="1">
        <v>45749</v>
      </c>
      <c r="H15" t="s">
        <v>80</v>
      </c>
      <c r="I15" t="s">
        <v>5</v>
      </c>
      <c r="J15" t="s">
        <v>6</v>
      </c>
      <c r="K15" t="s">
        <v>4</v>
      </c>
      <c r="L15" t="s">
        <v>81</v>
      </c>
      <c r="M15" t="s">
        <v>81</v>
      </c>
      <c r="N15" s="2">
        <v>12181</v>
      </c>
      <c r="O15" t="s">
        <v>74</v>
      </c>
      <c r="P15" t="s">
        <v>9</v>
      </c>
      <c r="Q15" t="s">
        <v>82</v>
      </c>
      <c r="R15" t="e">
        <f>VLOOKUP(Q15,#REF!,2,FALSE)</f>
        <v>#REF!</v>
      </c>
      <c r="S15">
        <v>1511</v>
      </c>
      <c r="T15" t="s">
        <v>2224</v>
      </c>
      <c r="U15" t="s">
        <v>76</v>
      </c>
      <c r="V15" s="1">
        <v>45412</v>
      </c>
      <c r="W15" s="1">
        <v>45412</v>
      </c>
      <c r="X15" t="s">
        <v>77</v>
      </c>
      <c r="Y15" t="s">
        <v>78</v>
      </c>
      <c r="Z15" t="s">
        <v>6</v>
      </c>
      <c r="AA15" t="s">
        <v>78</v>
      </c>
      <c r="AB15" s="4">
        <f>L15/0.08</f>
        <v>152262.5</v>
      </c>
      <c r="AC15" s="6">
        <v>0.1</v>
      </c>
      <c r="AD15" s="4">
        <f>AB15*AC15</f>
        <v>15226.25</v>
      </c>
      <c r="AE15" s="4">
        <f t="shared" si="1"/>
        <v>3045.25</v>
      </c>
    </row>
    <row r="16" spans="1:31" x14ac:dyDescent="0.25">
      <c r="A16" t="s">
        <v>0</v>
      </c>
      <c r="B16" s="3" t="s">
        <v>2219</v>
      </c>
      <c r="C16" t="s">
        <v>70</v>
      </c>
      <c r="D16" t="s">
        <v>69</v>
      </c>
      <c r="E16" t="s">
        <v>83</v>
      </c>
      <c r="F16" s="1">
        <v>45553</v>
      </c>
      <c r="G16" s="1">
        <v>45553</v>
      </c>
      <c r="H16" t="s">
        <v>84</v>
      </c>
      <c r="I16" t="s">
        <v>5</v>
      </c>
      <c r="J16" t="s">
        <v>6</v>
      </c>
      <c r="K16" t="s">
        <v>4</v>
      </c>
      <c r="L16" t="s">
        <v>85</v>
      </c>
      <c r="M16" t="s">
        <v>85</v>
      </c>
      <c r="N16" s="2">
        <v>86952</v>
      </c>
      <c r="O16" t="s">
        <v>74</v>
      </c>
      <c r="P16" t="s">
        <v>9</v>
      </c>
      <c r="Q16" t="s">
        <v>86</v>
      </c>
      <c r="R16" t="e">
        <f>VLOOKUP(Q16,#REF!,2,FALSE)</f>
        <v>#REF!</v>
      </c>
      <c r="S16">
        <v>1511</v>
      </c>
      <c r="T16" t="s">
        <v>2224</v>
      </c>
      <c r="U16" t="s">
        <v>76</v>
      </c>
      <c r="V16" s="1">
        <v>45412</v>
      </c>
      <c r="W16" s="1">
        <v>45412</v>
      </c>
      <c r="X16" t="s">
        <v>77</v>
      </c>
      <c r="Y16" t="s">
        <v>78</v>
      </c>
      <c r="Z16" t="s">
        <v>6</v>
      </c>
      <c r="AA16" t="s">
        <v>78</v>
      </c>
      <c r="AB16" s="4">
        <f>L16/0.03</f>
        <v>2898400</v>
      </c>
      <c r="AC16" s="6">
        <v>0.04</v>
      </c>
      <c r="AD16" s="4">
        <f>AB16*AC16</f>
        <v>115936</v>
      </c>
      <c r="AE16" s="4">
        <f t="shared" si="1"/>
        <v>28984</v>
      </c>
    </row>
    <row r="17" spans="1:31" x14ac:dyDescent="0.25">
      <c r="A17" t="s">
        <v>0</v>
      </c>
      <c r="B17" s="3" t="s">
        <v>2219</v>
      </c>
      <c r="C17" t="s">
        <v>87</v>
      </c>
      <c r="D17" t="s">
        <v>69</v>
      </c>
      <c r="E17" t="s">
        <v>88</v>
      </c>
      <c r="F17" s="1">
        <v>45556</v>
      </c>
      <c r="G17" s="1">
        <v>45556</v>
      </c>
      <c r="H17" t="s">
        <v>72</v>
      </c>
      <c r="I17" t="s">
        <v>5</v>
      </c>
      <c r="J17" t="s">
        <v>6</v>
      </c>
      <c r="K17" t="s">
        <v>4</v>
      </c>
      <c r="L17" t="s">
        <v>89</v>
      </c>
      <c r="M17" t="s">
        <v>89</v>
      </c>
      <c r="N17" s="2">
        <v>2345051</v>
      </c>
      <c r="O17" t="s">
        <v>90</v>
      </c>
      <c r="P17" t="s">
        <v>9</v>
      </c>
      <c r="Q17" t="s">
        <v>75</v>
      </c>
      <c r="R17" t="e">
        <f>VLOOKUP(Q17,#REF!,2,FALSE)</f>
        <v>#REF!</v>
      </c>
      <c r="S17">
        <v>1511</v>
      </c>
      <c r="T17" t="s">
        <v>2224</v>
      </c>
      <c r="U17" t="s">
        <v>91</v>
      </c>
      <c r="V17" s="1">
        <v>45412</v>
      </c>
      <c r="W17" s="1">
        <v>45412</v>
      </c>
      <c r="X17" t="s">
        <v>77</v>
      </c>
      <c r="Y17" t="s">
        <v>78</v>
      </c>
      <c r="Z17" t="s">
        <v>6</v>
      </c>
      <c r="AA17" t="s">
        <v>78</v>
      </c>
      <c r="AB17" s="4">
        <f>L17/0.1</f>
        <v>23450510</v>
      </c>
      <c r="AC17" s="5" t="s">
        <v>2215</v>
      </c>
      <c r="AD17" s="4">
        <f>AB17/12</f>
        <v>1954209.1666666667</v>
      </c>
      <c r="AE17" s="4">
        <f t="shared" si="1"/>
        <v>-390841.83333333326</v>
      </c>
    </row>
    <row r="18" spans="1:31" x14ac:dyDescent="0.25">
      <c r="A18" t="s">
        <v>0</v>
      </c>
      <c r="B18" s="3" t="s">
        <v>2219</v>
      </c>
      <c r="C18" t="s">
        <v>87</v>
      </c>
      <c r="D18" t="s">
        <v>69</v>
      </c>
      <c r="E18" t="s">
        <v>92</v>
      </c>
      <c r="F18" s="1">
        <v>45747</v>
      </c>
      <c r="G18" s="1">
        <v>45749</v>
      </c>
      <c r="H18" t="s">
        <v>80</v>
      </c>
      <c r="I18" t="s">
        <v>5</v>
      </c>
      <c r="J18" t="s">
        <v>6</v>
      </c>
      <c r="K18" t="s">
        <v>4</v>
      </c>
      <c r="L18" t="s">
        <v>93</v>
      </c>
      <c r="M18" t="s">
        <v>93</v>
      </c>
      <c r="N18" s="2">
        <v>15423</v>
      </c>
      <c r="O18" t="s">
        <v>90</v>
      </c>
      <c r="P18" t="s">
        <v>9</v>
      </c>
      <c r="Q18" t="s">
        <v>82</v>
      </c>
      <c r="R18" t="e">
        <f>VLOOKUP(Q18,#REF!,2,FALSE)</f>
        <v>#REF!</v>
      </c>
      <c r="S18">
        <v>1511</v>
      </c>
      <c r="T18" t="s">
        <v>2224</v>
      </c>
      <c r="U18" t="s">
        <v>91</v>
      </c>
      <c r="V18" s="1">
        <v>45412</v>
      </c>
      <c r="W18" s="1">
        <v>45412</v>
      </c>
      <c r="X18" t="s">
        <v>77</v>
      </c>
      <c r="Y18" t="s">
        <v>78</v>
      </c>
      <c r="Z18" t="s">
        <v>6</v>
      </c>
      <c r="AA18" t="s">
        <v>78</v>
      </c>
      <c r="AB18" s="4">
        <f>L18/0.08</f>
        <v>192787.5</v>
      </c>
      <c r="AC18" s="6">
        <v>0.1</v>
      </c>
      <c r="AD18" s="4">
        <f>AB18*AC18</f>
        <v>19278.75</v>
      </c>
      <c r="AE18" s="4">
        <f t="shared" si="1"/>
        <v>3855.75</v>
      </c>
    </row>
    <row r="19" spans="1:31" x14ac:dyDescent="0.25">
      <c r="A19" t="s">
        <v>0</v>
      </c>
      <c r="B19" s="3" t="s">
        <v>2219</v>
      </c>
      <c r="C19" t="s">
        <v>87</v>
      </c>
      <c r="D19" t="s">
        <v>69</v>
      </c>
      <c r="E19" t="s">
        <v>94</v>
      </c>
      <c r="F19" s="1">
        <v>45553</v>
      </c>
      <c r="G19" s="1">
        <v>45553</v>
      </c>
      <c r="H19" t="s">
        <v>84</v>
      </c>
      <c r="I19" t="s">
        <v>5</v>
      </c>
      <c r="J19" t="s">
        <v>6</v>
      </c>
      <c r="K19" t="s">
        <v>4</v>
      </c>
      <c r="L19" t="s">
        <v>95</v>
      </c>
      <c r="M19" t="s">
        <v>95</v>
      </c>
      <c r="N19" s="2">
        <v>94420</v>
      </c>
      <c r="O19" t="s">
        <v>90</v>
      </c>
      <c r="P19" t="s">
        <v>9</v>
      </c>
      <c r="Q19" t="s">
        <v>86</v>
      </c>
      <c r="R19" t="e">
        <f>VLOOKUP(Q19,#REF!,2,FALSE)</f>
        <v>#REF!</v>
      </c>
      <c r="S19">
        <v>1511</v>
      </c>
      <c r="T19" t="s">
        <v>2224</v>
      </c>
      <c r="U19" t="s">
        <v>91</v>
      </c>
      <c r="V19" s="1">
        <v>45412</v>
      </c>
      <c r="W19" s="1">
        <v>45412</v>
      </c>
      <c r="X19" t="s">
        <v>77</v>
      </c>
      <c r="Y19" t="s">
        <v>78</v>
      </c>
      <c r="Z19" t="s">
        <v>6</v>
      </c>
      <c r="AA19" t="s">
        <v>78</v>
      </c>
      <c r="AB19" s="4">
        <f>L19/0.03</f>
        <v>3147333.3333333335</v>
      </c>
      <c r="AC19" s="6">
        <v>0.04</v>
      </c>
      <c r="AD19" s="4">
        <f>AB19*AC19</f>
        <v>125893.33333333334</v>
      </c>
      <c r="AE19" s="4">
        <f t="shared" si="1"/>
        <v>31473.333333333343</v>
      </c>
    </row>
    <row r="20" spans="1:31" x14ac:dyDescent="0.25">
      <c r="A20" t="s">
        <v>0</v>
      </c>
      <c r="B20" s="3" t="s">
        <v>2219</v>
      </c>
      <c r="C20" t="s">
        <v>96</v>
      </c>
      <c r="D20" t="s">
        <v>69</v>
      </c>
      <c r="E20" t="s">
        <v>16</v>
      </c>
      <c r="F20" s="1">
        <v>45418</v>
      </c>
      <c r="G20" s="1">
        <v>45443</v>
      </c>
      <c r="H20" t="s">
        <v>97</v>
      </c>
      <c r="I20" t="s">
        <v>5</v>
      </c>
      <c r="J20" t="s">
        <v>6</v>
      </c>
      <c r="K20" t="s">
        <v>4</v>
      </c>
      <c r="L20" t="s">
        <v>98</v>
      </c>
      <c r="M20" t="s">
        <v>98</v>
      </c>
      <c r="N20" s="2">
        <v>193934</v>
      </c>
      <c r="O20" t="s">
        <v>99</v>
      </c>
      <c r="P20" t="s">
        <v>9</v>
      </c>
      <c r="Q20" t="s">
        <v>75</v>
      </c>
      <c r="R20" t="e">
        <f>VLOOKUP(Q20,#REF!,2,FALSE)</f>
        <v>#REF!</v>
      </c>
      <c r="S20">
        <v>1408</v>
      </c>
      <c r="T20" t="s">
        <v>2223</v>
      </c>
      <c r="U20" t="s">
        <v>100</v>
      </c>
      <c r="V20" s="1">
        <v>45412</v>
      </c>
      <c r="W20" s="1">
        <v>45412</v>
      </c>
      <c r="X20" t="s">
        <v>77</v>
      </c>
      <c r="Y20" t="s">
        <v>101</v>
      </c>
      <c r="Z20" t="s">
        <v>6</v>
      </c>
      <c r="AA20" t="s">
        <v>101</v>
      </c>
      <c r="AB20" s="4">
        <f>L20/0.1</f>
        <v>1939340</v>
      </c>
      <c r="AC20" s="5" t="s">
        <v>2215</v>
      </c>
      <c r="AD20" s="4">
        <f>AB20/12</f>
        <v>161611.66666666666</v>
      </c>
      <c r="AE20" s="4">
        <f t="shared" si="1"/>
        <v>-32322.333333333343</v>
      </c>
    </row>
    <row r="21" spans="1:31" x14ac:dyDescent="0.25">
      <c r="A21" t="s">
        <v>0</v>
      </c>
      <c r="B21" s="3" t="s">
        <v>2219</v>
      </c>
      <c r="C21" t="s">
        <v>96</v>
      </c>
      <c r="D21" t="s">
        <v>69</v>
      </c>
      <c r="E21" t="s">
        <v>43</v>
      </c>
      <c r="F21" s="1">
        <v>45418</v>
      </c>
      <c r="G21" s="1">
        <v>45443</v>
      </c>
      <c r="H21" t="s">
        <v>97</v>
      </c>
      <c r="I21" t="s">
        <v>5</v>
      </c>
      <c r="J21" t="s">
        <v>6</v>
      </c>
      <c r="K21" t="s">
        <v>4</v>
      </c>
      <c r="L21" t="s">
        <v>102</v>
      </c>
      <c r="M21" t="s">
        <v>102</v>
      </c>
      <c r="N21" s="2">
        <v>7760</v>
      </c>
      <c r="O21" t="s">
        <v>99</v>
      </c>
      <c r="P21" t="s">
        <v>9</v>
      </c>
      <c r="Q21" t="s">
        <v>86</v>
      </c>
      <c r="R21" t="e">
        <f>VLOOKUP(Q21,#REF!,2,FALSE)</f>
        <v>#REF!</v>
      </c>
      <c r="S21">
        <v>1408</v>
      </c>
      <c r="T21" t="s">
        <v>2223</v>
      </c>
      <c r="U21" t="s">
        <v>100</v>
      </c>
      <c r="V21" s="1">
        <v>45412</v>
      </c>
      <c r="W21" s="1">
        <v>45412</v>
      </c>
      <c r="X21" t="s">
        <v>77</v>
      </c>
      <c r="Y21" t="s">
        <v>101</v>
      </c>
      <c r="Z21" t="s">
        <v>6</v>
      </c>
      <c r="AA21" t="s">
        <v>101</v>
      </c>
      <c r="AB21" s="4">
        <f>L21/0.03</f>
        <v>258666.66666666669</v>
      </c>
      <c r="AC21" s="6">
        <v>0.04</v>
      </c>
      <c r="AD21" s="4">
        <f>AB21*AC21</f>
        <v>10346.666666666668</v>
      </c>
      <c r="AE21" s="4">
        <f t="shared" si="1"/>
        <v>2586.6666666666679</v>
      </c>
    </row>
    <row r="22" spans="1:31" x14ac:dyDescent="0.25">
      <c r="A22" t="s">
        <v>0</v>
      </c>
      <c r="B22" s="3" t="s">
        <v>2219</v>
      </c>
      <c r="C22" t="s">
        <v>103</v>
      </c>
      <c r="D22" t="s">
        <v>69</v>
      </c>
      <c r="E22" t="s">
        <v>104</v>
      </c>
      <c r="F22" s="1">
        <v>45444</v>
      </c>
      <c r="G22" s="1">
        <v>45447</v>
      </c>
      <c r="H22" t="s">
        <v>105</v>
      </c>
      <c r="I22" t="s">
        <v>5</v>
      </c>
      <c r="J22" t="s">
        <v>6</v>
      </c>
      <c r="K22" t="s">
        <v>4</v>
      </c>
      <c r="L22" t="s">
        <v>106</v>
      </c>
      <c r="M22" t="s">
        <v>106</v>
      </c>
      <c r="N22" s="2">
        <v>570798</v>
      </c>
      <c r="O22" t="s">
        <v>107</v>
      </c>
      <c r="P22" t="s">
        <v>9</v>
      </c>
      <c r="Q22" t="s">
        <v>75</v>
      </c>
      <c r="R22" t="e">
        <f>VLOOKUP(Q22,#REF!,2,FALSE)</f>
        <v>#REF!</v>
      </c>
      <c r="S22">
        <v>1408</v>
      </c>
      <c r="T22" t="s">
        <v>2223</v>
      </c>
      <c r="U22" t="s">
        <v>108</v>
      </c>
      <c r="V22" s="1">
        <v>45412</v>
      </c>
      <c r="W22" s="1">
        <v>45412</v>
      </c>
      <c r="X22" t="s">
        <v>77</v>
      </c>
      <c r="Y22" t="s">
        <v>78</v>
      </c>
      <c r="Z22" t="s">
        <v>6</v>
      </c>
      <c r="AA22" t="s">
        <v>78</v>
      </c>
      <c r="AB22" s="4">
        <f>L22/0.1</f>
        <v>5707980</v>
      </c>
      <c r="AC22" s="5" t="s">
        <v>2215</v>
      </c>
      <c r="AD22" s="4">
        <f>AB22/12</f>
        <v>475665</v>
      </c>
      <c r="AE22" s="4">
        <f t="shared" si="1"/>
        <v>-95133</v>
      </c>
    </row>
    <row r="23" spans="1:31" x14ac:dyDescent="0.25">
      <c r="A23" t="s">
        <v>0</v>
      </c>
      <c r="B23" s="3" t="s">
        <v>2219</v>
      </c>
      <c r="C23" t="s">
        <v>103</v>
      </c>
      <c r="D23" t="s">
        <v>69</v>
      </c>
      <c r="E23" t="s">
        <v>109</v>
      </c>
      <c r="F23" s="1">
        <v>45447</v>
      </c>
      <c r="G23" s="1">
        <v>45447</v>
      </c>
      <c r="H23" t="s">
        <v>110</v>
      </c>
      <c r="I23" t="s">
        <v>5</v>
      </c>
      <c r="J23" t="s">
        <v>6</v>
      </c>
      <c r="K23" t="s">
        <v>4</v>
      </c>
      <c r="L23" t="s">
        <v>111</v>
      </c>
      <c r="M23" t="s">
        <v>111</v>
      </c>
      <c r="N23" s="2">
        <v>22833</v>
      </c>
      <c r="O23" t="s">
        <v>107</v>
      </c>
      <c r="P23" t="s">
        <v>9</v>
      </c>
      <c r="Q23" t="s">
        <v>86</v>
      </c>
      <c r="R23" t="e">
        <f>VLOOKUP(Q23,#REF!,2,FALSE)</f>
        <v>#REF!</v>
      </c>
      <c r="S23">
        <v>1408</v>
      </c>
      <c r="T23" t="s">
        <v>2223</v>
      </c>
      <c r="U23" t="s">
        <v>108</v>
      </c>
      <c r="V23" s="1">
        <v>45412</v>
      </c>
      <c r="W23" s="1">
        <v>45412</v>
      </c>
      <c r="X23" t="s">
        <v>77</v>
      </c>
      <c r="Y23" t="s">
        <v>78</v>
      </c>
      <c r="Z23" t="s">
        <v>6</v>
      </c>
      <c r="AA23" t="s">
        <v>78</v>
      </c>
      <c r="AB23" s="4">
        <f>L23/0.03</f>
        <v>761100</v>
      </c>
      <c r="AC23" s="6">
        <v>0.04</v>
      </c>
      <c r="AD23" s="4">
        <f>AB23*AC23</f>
        <v>30444</v>
      </c>
      <c r="AE23" s="4">
        <f t="shared" si="1"/>
        <v>7611</v>
      </c>
    </row>
    <row r="24" spans="1:31" x14ac:dyDescent="0.25">
      <c r="A24" t="s">
        <v>0</v>
      </c>
      <c r="B24" s="3" t="s">
        <v>2219</v>
      </c>
      <c r="C24" t="s">
        <v>112</v>
      </c>
      <c r="D24" t="s">
        <v>69</v>
      </c>
      <c r="E24" t="s">
        <v>104</v>
      </c>
      <c r="F24" s="1">
        <v>45418</v>
      </c>
      <c r="G24" s="1">
        <v>45420</v>
      </c>
      <c r="H24" t="s">
        <v>113</v>
      </c>
      <c r="I24" t="s">
        <v>5</v>
      </c>
      <c r="J24" t="s">
        <v>6</v>
      </c>
      <c r="K24" t="s">
        <v>4</v>
      </c>
      <c r="L24" t="s">
        <v>114</v>
      </c>
      <c r="M24" t="s">
        <v>114</v>
      </c>
      <c r="N24" s="2">
        <v>373519</v>
      </c>
      <c r="O24" t="s">
        <v>115</v>
      </c>
      <c r="P24" t="s">
        <v>9</v>
      </c>
      <c r="Q24" t="s">
        <v>75</v>
      </c>
      <c r="R24" t="e">
        <f>VLOOKUP(Q24,#REF!,2,FALSE)</f>
        <v>#REF!</v>
      </c>
      <c r="S24">
        <v>1511</v>
      </c>
      <c r="T24" t="s">
        <v>2224</v>
      </c>
      <c r="U24" t="s">
        <v>116</v>
      </c>
      <c r="V24" s="1">
        <v>45412</v>
      </c>
      <c r="W24" s="1">
        <v>45412</v>
      </c>
      <c r="X24" t="s">
        <v>77</v>
      </c>
      <c r="Y24" t="s">
        <v>101</v>
      </c>
      <c r="Z24" t="s">
        <v>6</v>
      </c>
      <c r="AA24" t="s">
        <v>101</v>
      </c>
      <c r="AB24" s="4">
        <f>L24/0.1</f>
        <v>3735190</v>
      </c>
      <c r="AC24" s="5" t="s">
        <v>2215</v>
      </c>
      <c r="AD24" s="4">
        <f>AB24/12</f>
        <v>311265.83333333331</v>
      </c>
      <c r="AE24" s="4">
        <f t="shared" si="1"/>
        <v>-62253.166666666686</v>
      </c>
    </row>
    <row r="25" spans="1:31" x14ac:dyDescent="0.25">
      <c r="A25" t="s">
        <v>0</v>
      </c>
      <c r="B25" s="3" t="s">
        <v>2219</v>
      </c>
      <c r="C25" t="s">
        <v>112</v>
      </c>
      <c r="D25" t="s">
        <v>69</v>
      </c>
      <c r="E25" t="s">
        <v>109</v>
      </c>
      <c r="F25" s="1">
        <v>45418</v>
      </c>
      <c r="G25" s="1">
        <v>45420</v>
      </c>
      <c r="H25" t="s">
        <v>113</v>
      </c>
      <c r="I25" t="s">
        <v>5</v>
      </c>
      <c r="J25" t="s">
        <v>6</v>
      </c>
      <c r="K25" t="s">
        <v>4</v>
      </c>
      <c r="L25" t="s">
        <v>117</v>
      </c>
      <c r="M25" t="s">
        <v>117</v>
      </c>
      <c r="N25" s="2">
        <v>14943</v>
      </c>
      <c r="O25" t="s">
        <v>115</v>
      </c>
      <c r="P25" t="s">
        <v>9</v>
      </c>
      <c r="Q25" t="s">
        <v>86</v>
      </c>
      <c r="R25" t="e">
        <f>VLOOKUP(Q25,#REF!,2,FALSE)</f>
        <v>#REF!</v>
      </c>
      <c r="S25">
        <v>1511</v>
      </c>
      <c r="T25" t="s">
        <v>2224</v>
      </c>
      <c r="U25" t="s">
        <v>116</v>
      </c>
      <c r="V25" s="1">
        <v>45412</v>
      </c>
      <c r="W25" s="1">
        <v>45412</v>
      </c>
      <c r="X25" t="s">
        <v>77</v>
      </c>
      <c r="Y25" t="s">
        <v>101</v>
      </c>
      <c r="Z25" t="s">
        <v>6</v>
      </c>
      <c r="AA25" t="s">
        <v>101</v>
      </c>
      <c r="AB25" s="4">
        <f>L25/0.03</f>
        <v>498100</v>
      </c>
      <c r="AC25" s="6">
        <v>0.04</v>
      </c>
      <c r="AD25" s="4">
        <f>AB25*AC25</f>
        <v>19924</v>
      </c>
      <c r="AE25" s="4">
        <f t="shared" si="1"/>
        <v>4981</v>
      </c>
    </row>
    <row r="26" spans="1:31" x14ac:dyDescent="0.25">
      <c r="A26" t="s">
        <v>0</v>
      </c>
      <c r="B26" s="3" t="s">
        <v>2219</v>
      </c>
      <c r="C26" t="s">
        <v>118</v>
      </c>
      <c r="D26" t="s">
        <v>69</v>
      </c>
      <c r="E26" t="s">
        <v>119</v>
      </c>
      <c r="F26" s="1">
        <v>45714</v>
      </c>
      <c r="G26" s="1">
        <v>45714</v>
      </c>
      <c r="H26" t="s">
        <v>120</v>
      </c>
      <c r="I26" t="s">
        <v>5</v>
      </c>
      <c r="J26" t="s">
        <v>6</v>
      </c>
      <c r="K26" t="s">
        <v>4</v>
      </c>
      <c r="L26" t="s">
        <v>121</v>
      </c>
      <c r="M26" t="s">
        <v>121</v>
      </c>
      <c r="N26" s="2">
        <v>21840159</v>
      </c>
      <c r="O26" t="s">
        <v>122</v>
      </c>
      <c r="P26" t="s">
        <v>9</v>
      </c>
      <c r="Q26" t="s">
        <v>75</v>
      </c>
      <c r="R26" t="e">
        <f>VLOOKUP(Q26,#REF!,2,FALSE)</f>
        <v>#REF!</v>
      </c>
      <c r="S26">
        <v>1004</v>
      </c>
      <c r="T26" t="s">
        <v>2225</v>
      </c>
      <c r="U26" t="s">
        <v>123</v>
      </c>
      <c r="V26" s="1">
        <v>45412</v>
      </c>
      <c r="W26" s="1">
        <v>45412</v>
      </c>
      <c r="X26" t="s">
        <v>77</v>
      </c>
      <c r="Y26" t="s">
        <v>124</v>
      </c>
      <c r="Z26" t="s">
        <v>6</v>
      </c>
      <c r="AA26" t="s">
        <v>124</v>
      </c>
      <c r="AB26" s="4">
        <f>L26/0.1</f>
        <v>218401590</v>
      </c>
      <c r="AC26" s="5" t="s">
        <v>2215</v>
      </c>
      <c r="AD26" s="4">
        <f>AB26/12</f>
        <v>18200132.5</v>
      </c>
      <c r="AE26" s="4">
        <f t="shared" si="1"/>
        <v>-3640026.5</v>
      </c>
    </row>
    <row r="27" spans="1:31" x14ac:dyDescent="0.25">
      <c r="A27" t="s">
        <v>0</v>
      </c>
      <c r="B27" s="3" t="s">
        <v>2219</v>
      </c>
      <c r="C27" t="s">
        <v>118</v>
      </c>
      <c r="D27" t="s">
        <v>69</v>
      </c>
      <c r="E27" t="s">
        <v>125</v>
      </c>
      <c r="F27" s="1">
        <v>45747</v>
      </c>
      <c r="G27" s="1">
        <v>45749</v>
      </c>
      <c r="H27" t="s">
        <v>80</v>
      </c>
      <c r="I27" t="s">
        <v>5</v>
      </c>
      <c r="J27" t="s">
        <v>6</v>
      </c>
      <c r="K27" t="s">
        <v>4</v>
      </c>
      <c r="L27" t="s">
        <v>126</v>
      </c>
      <c r="M27" t="s">
        <v>126</v>
      </c>
      <c r="N27" s="2">
        <v>1312973</v>
      </c>
      <c r="O27" t="s">
        <v>122</v>
      </c>
      <c r="P27" t="s">
        <v>9</v>
      </c>
      <c r="Q27" t="s">
        <v>82</v>
      </c>
      <c r="R27" t="e">
        <f>VLOOKUP(Q27,#REF!,2,FALSE)</f>
        <v>#REF!</v>
      </c>
      <c r="S27">
        <v>1004</v>
      </c>
      <c r="T27" t="s">
        <v>2225</v>
      </c>
      <c r="U27" t="s">
        <v>123</v>
      </c>
      <c r="V27" s="1">
        <v>45412</v>
      </c>
      <c r="W27" s="1">
        <v>45412</v>
      </c>
      <c r="X27" t="s">
        <v>77</v>
      </c>
      <c r="Y27" t="s">
        <v>124</v>
      </c>
      <c r="Z27" t="s">
        <v>6</v>
      </c>
      <c r="AA27" t="s">
        <v>124</v>
      </c>
      <c r="AB27" s="4">
        <f>L27/0.08</f>
        <v>16412162.5</v>
      </c>
      <c r="AC27" s="6">
        <v>0.1</v>
      </c>
      <c r="AD27" s="4">
        <f>AB27*AC27</f>
        <v>1641216.25</v>
      </c>
      <c r="AE27" s="4">
        <f t="shared" si="1"/>
        <v>328243.25</v>
      </c>
    </row>
    <row r="28" spans="1:31" x14ac:dyDescent="0.25">
      <c r="A28" t="s">
        <v>0</v>
      </c>
      <c r="B28" s="3" t="s">
        <v>2219</v>
      </c>
      <c r="C28" t="s">
        <v>118</v>
      </c>
      <c r="D28" t="s">
        <v>69</v>
      </c>
      <c r="E28" t="s">
        <v>127</v>
      </c>
      <c r="F28" s="1">
        <v>45747</v>
      </c>
      <c r="G28" s="1">
        <v>45749</v>
      </c>
      <c r="H28" t="s">
        <v>128</v>
      </c>
      <c r="I28" t="s">
        <v>5</v>
      </c>
      <c r="J28" t="s">
        <v>6</v>
      </c>
      <c r="K28" t="s">
        <v>4</v>
      </c>
      <c r="L28" t="s">
        <v>129</v>
      </c>
      <c r="M28" t="s">
        <v>129</v>
      </c>
      <c r="N28" s="2">
        <v>926142</v>
      </c>
      <c r="O28" t="s">
        <v>122</v>
      </c>
      <c r="P28" t="s">
        <v>9</v>
      </c>
      <c r="Q28" t="s">
        <v>86</v>
      </c>
      <c r="R28" t="e">
        <f>VLOOKUP(Q28,#REF!,2,FALSE)</f>
        <v>#REF!</v>
      </c>
      <c r="S28">
        <v>1004</v>
      </c>
      <c r="T28" t="s">
        <v>2225</v>
      </c>
      <c r="U28" t="s">
        <v>123</v>
      </c>
      <c r="V28" s="1">
        <v>45412</v>
      </c>
      <c r="W28" s="1">
        <v>45412</v>
      </c>
      <c r="X28" t="s">
        <v>77</v>
      </c>
      <c r="Y28" t="s">
        <v>124</v>
      </c>
      <c r="Z28" t="s">
        <v>6</v>
      </c>
      <c r="AA28" t="s">
        <v>124</v>
      </c>
      <c r="AB28" s="4">
        <f>L28/0.03</f>
        <v>30871400</v>
      </c>
      <c r="AC28" s="6">
        <v>0.04</v>
      </c>
      <c r="AD28" s="4">
        <f>AB28*AC28</f>
        <v>1234856</v>
      </c>
      <c r="AE28" s="4">
        <f t="shared" si="1"/>
        <v>308714</v>
      </c>
    </row>
    <row r="29" spans="1:31" x14ac:dyDescent="0.25">
      <c r="A29" t="s">
        <v>0</v>
      </c>
      <c r="B29" s="3" t="s">
        <v>2219</v>
      </c>
      <c r="C29" t="s">
        <v>130</v>
      </c>
      <c r="D29" t="s">
        <v>69</v>
      </c>
      <c r="E29" t="s">
        <v>16</v>
      </c>
      <c r="F29" s="1">
        <v>45713</v>
      </c>
      <c r="G29" s="1">
        <v>45713</v>
      </c>
      <c r="H29" t="s">
        <v>131</v>
      </c>
      <c r="I29" t="s">
        <v>5</v>
      </c>
      <c r="J29" t="s">
        <v>6</v>
      </c>
      <c r="K29" t="s">
        <v>4</v>
      </c>
      <c r="L29" t="s">
        <v>132</v>
      </c>
      <c r="M29" t="s">
        <v>132</v>
      </c>
      <c r="N29" s="2">
        <v>940982</v>
      </c>
      <c r="O29" t="s">
        <v>133</v>
      </c>
      <c r="P29" t="s">
        <v>9</v>
      </c>
      <c r="Q29" t="s">
        <v>75</v>
      </c>
      <c r="R29" t="e">
        <f>VLOOKUP(Q29,#REF!,2,FALSE)</f>
        <v>#REF!</v>
      </c>
      <c r="S29">
        <v>1004</v>
      </c>
      <c r="T29" t="s">
        <v>2225</v>
      </c>
      <c r="U29" t="s">
        <v>134</v>
      </c>
      <c r="V29" s="1">
        <v>45412</v>
      </c>
      <c r="W29" s="1">
        <v>45412</v>
      </c>
      <c r="X29" t="s">
        <v>77</v>
      </c>
      <c r="Y29" t="s">
        <v>78</v>
      </c>
      <c r="Z29" t="s">
        <v>6</v>
      </c>
      <c r="AA29" t="s">
        <v>78</v>
      </c>
      <c r="AB29" s="4">
        <f>L29/0.1</f>
        <v>9409820</v>
      </c>
      <c r="AC29" s="5" t="s">
        <v>2215</v>
      </c>
      <c r="AD29" s="4">
        <f>AB29/12</f>
        <v>784151.66666666663</v>
      </c>
      <c r="AE29" s="4">
        <f t="shared" si="1"/>
        <v>-156830.33333333337</v>
      </c>
    </row>
    <row r="30" spans="1:31" x14ac:dyDescent="0.25">
      <c r="A30" t="s">
        <v>0</v>
      </c>
      <c r="B30" s="3" t="s">
        <v>2219</v>
      </c>
      <c r="C30" t="s">
        <v>130</v>
      </c>
      <c r="D30" t="s">
        <v>69</v>
      </c>
      <c r="E30" t="s">
        <v>43</v>
      </c>
      <c r="F30" s="1">
        <v>45747</v>
      </c>
      <c r="G30" s="1">
        <v>45749</v>
      </c>
      <c r="H30" t="s">
        <v>128</v>
      </c>
      <c r="I30" t="s">
        <v>5</v>
      </c>
      <c r="J30" t="s">
        <v>6</v>
      </c>
      <c r="K30" t="s">
        <v>4</v>
      </c>
      <c r="L30" t="s">
        <v>135</v>
      </c>
      <c r="M30" t="s">
        <v>135</v>
      </c>
      <c r="N30" s="2">
        <v>37642</v>
      </c>
      <c r="O30" t="s">
        <v>133</v>
      </c>
      <c r="P30" t="s">
        <v>9</v>
      </c>
      <c r="Q30" t="s">
        <v>86</v>
      </c>
      <c r="R30" t="e">
        <f>VLOOKUP(Q30,#REF!,2,FALSE)</f>
        <v>#REF!</v>
      </c>
      <c r="S30">
        <v>1004</v>
      </c>
      <c r="T30" t="s">
        <v>2225</v>
      </c>
      <c r="U30" t="s">
        <v>134</v>
      </c>
      <c r="V30" s="1">
        <v>45412</v>
      </c>
      <c r="W30" s="1">
        <v>45412</v>
      </c>
      <c r="X30" t="s">
        <v>77</v>
      </c>
      <c r="Y30" t="s">
        <v>78</v>
      </c>
      <c r="Z30" t="s">
        <v>6</v>
      </c>
      <c r="AA30" t="s">
        <v>78</v>
      </c>
      <c r="AB30" s="4">
        <f>L30/0.03</f>
        <v>1254733.3333333335</v>
      </c>
      <c r="AC30" s="6">
        <v>0.04</v>
      </c>
      <c r="AD30" s="4">
        <f>AB30*AC30</f>
        <v>50189.333333333343</v>
      </c>
      <c r="AE30" s="4">
        <f t="shared" si="1"/>
        <v>12547.333333333343</v>
      </c>
    </row>
    <row r="31" spans="1:31" x14ac:dyDescent="0.25">
      <c r="A31" t="s">
        <v>0</v>
      </c>
      <c r="B31" s="3" t="s">
        <v>2219</v>
      </c>
      <c r="C31" t="s">
        <v>136</v>
      </c>
      <c r="D31" t="s">
        <v>69</v>
      </c>
      <c r="E31" t="s">
        <v>16</v>
      </c>
      <c r="F31" s="1">
        <v>45713</v>
      </c>
      <c r="G31" s="1">
        <v>45713</v>
      </c>
      <c r="H31" t="s">
        <v>131</v>
      </c>
      <c r="I31" t="s">
        <v>5</v>
      </c>
      <c r="J31" t="s">
        <v>6</v>
      </c>
      <c r="K31" t="s">
        <v>4</v>
      </c>
      <c r="L31" t="s">
        <v>137</v>
      </c>
      <c r="M31" t="s">
        <v>137</v>
      </c>
      <c r="N31" s="2">
        <v>8689376</v>
      </c>
      <c r="O31" t="s">
        <v>138</v>
      </c>
      <c r="P31" t="s">
        <v>9</v>
      </c>
      <c r="Q31" t="s">
        <v>75</v>
      </c>
      <c r="R31" t="e">
        <f>VLOOKUP(Q31,#REF!,2,FALSE)</f>
        <v>#REF!</v>
      </c>
      <c r="S31">
        <v>1004</v>
      </c>
      <c r="T31" t="s">
        <v>2225</v>
      </c>
      <c r="U31" t="s">
        <v>139</v>
      </c>
      <c r="V31" s="1">
        <v>45412</v>
      </c>
      <c r="W31" s="1">
        <v>45412</v>
      </c>
      <c r="X31" t="s">
        <v>77</v>
      </c>
      <c r="Y31" t="s">
        <v>124</v>
      </c>
      <c r="Z31" t="s">
        <v>6</v>
      </c>
      <c r="AA31" t="s">
        <v>124</v>
      </c>
      <c r="AB31" s="4">
        <f>L31/0.1</f>
        <v>86893760</v>
      </c>
      <c r="AC31" s="5" t="s">
        <v>2215</v>
      </c>
      <c r="AD31" s="4">
        <f>AB31/12</f>
        <v>7241146.666666667</v>
      </c>
      <c r="AE31" s="4">
        <f t="shared" si="1"/>
        <v>-1448229.333333333</v>
      </c>
    </row>
    <row r="32" spans="1:31" x14ac:dyDescent="0.25">
      <c r="A32" t="s">
        <v>0</v>
      </c>
      <c r="B32" s="3" t="s">
        <v>2219</v>
      </c>
      <c r="C32" t="s">
        <v>136</v>
      </c>
      <c r="D32" t="s">
        <v>69</v>
      </c>
      <c r="E32" t="s">
        <v>43</v>
      </c>
      <c r="F32" s="1">
        <v>45747</v>
      </c>
      <c r="G32" s="1">
        <v>45749</v>
      </c>
      <c r="H32" t="s">
        <v>80</v>
      </c>
      <c r="I32" t="s">
        <v>5</v>
      </c>
      <c r="J32" t="s">
        <v>6</v>
      </c>
      <c r="K32" t="s">
        <v>4</v>
      </c>
      <c r="L32" t="s">
        <v>140</v>
      </c>
      <c r="M32" t="s">
        <v>140</v>
      </c>
      <c r="N32" s="2">
        <v>122145</v>
      </c>
      <c r="O32" t="s">
        <v>138</v>
      </c>
      <c r="P32" t="s">
        <v>9</v>
      </c>
      <c r="Q32" t="s">
        <v>82</v>
      </c>
      <c r="R32" t="e">
        <f>VLOOKUP(Q32,#REF!,2,FALSE)</f>
        <v>#REF!</v>
      </c>
      <c r="S32">
        <v>1004</v>
      </c>
      <c r="T32" t="s">
        <v>2225</v>
      </c>
      <c r="U32" t="s">
        <v>139</v>
      </c>
      <c r="V32" s="1">
        <v>45412</v>
      </c>
      <c r="W32" s="1">
        <v>45412</v>
      </c>
      <c r="X32" t="s">
        <v>77</v>
      </c>
      <c r="Y32" t="s">
        <v>124</v>
      </c>
      <c r="Z32" t="s">
        <v>6</v>
      </c>
      <c r="AA32" t="s">
        <v>124</v>
      </c>
      <c r="AB32" s="4">
        <f>L32/0.08</f>
        <v>1526812.5</v>
      </c>
      <c r="AC32" s="6">
        <v>0.1</v>
      </c>
      <c r="AD32" s="4">
        <f>AB32*AC32</f>
        <v>152681.25</v>
      </c>
      <c r="AE32" s="4">
        <f t="shared" si="1"/>
        <v>30536.25</v>
      </c>
    </row>
    <row r="33" spans="1:31" x14ac:dyDescent="0.25">
      <c r="A33" t="s">
        <v>0</v>
      </c>
      <c r="B33" s="3" t="s">
        <v>2219</v>
      </c>
      <c r="C33" t="s">
        <v>136</v>
      </c>
      <c r="D33" t="s">
        <v>69</v>
      </c>
      <c r="E33" t="s">
        <v>104</v>
      </c>
      <c r="F33" s="1">
        <v>45747</v>
      </c>
      <c r="G33" s="1">
        <v>45749</v>
      </c>
      <c r="H33" t="s">
        <v>128</v>
      </c>
      <c r="I33" t="s">
        <v>5</v>
      </c>
      <c r="J33" t="s">
        <v>6</v>
      </c>
      <c r="K33" t="s">
        <v>4</v>
      </c>
      <c r="L33" t="s">
        <v>141</v>
      </c>
      <c r="M33" t="s">
        <v>141</v>
      </c>
      <c r="N33" s="2">
        <v>352468</v>
      </c>
      <c r="O33" t="s">
        <v>138</v>
      </c>
      <c r="P33" t="s">
        <v>9</v>
      </c>
      <c r="Q33" t="s">
        <v>86</v>
      </c>
      <c r="R33" t="e">
        <f>VLOOKUP(Q33,#REF!,2,FALSE)</f>
        <v>#REF!</v>
      </c>
      <c r="S33">
        <v>1004</v>
      </c>
      <c r="T33" t="s">
        <v>2225</v>
      </c>
      <c r="U33" t="s">
        <v>139</v>
      </c>
      <c r="V33" s="1">
        <v>45412</v>
      </c>
      <c r="W33" s="1">
        <v>45412</v>
      </c>
      <c r="X33" t="s">
        <v>77</v>
      </c>
      <c r="Y33" t="s">
        <v>124</v>
      </c>
      <c r="Z33" t="s">
        <v>6</v>
      </c>
      <c r="AA33" t="s">
        <v>124</v>
      </c>
      <c r="AB33" s="4">
        <f>L33/0.03</f>
        <v>11748933.333333334</v>
      </c>
      <c r="AC33" s="6">
        <v>0.04</v>
      </c>
      <c r="AD33" s="4">
        <f>AB33*AC33</f>
        <v>469957.33333333337</v>
      </c>
      <c r="AE33" s="4">
        <f t="shared" si="1"/>
        <v>117489.33333333337</v>
      </c>
    </row>
    <row r="34" spans="1:31" x14ac:dyDescent="0.25">
      <c r="A34" t="s">
        <v>0</v>
      </c>
      <c r="B34" s="3" t="s">
        <v>2219</v>
      </c>
      <c r="C34" t="s">
        <v>142</v>
      </c>
      <c r="D34" t="s">
        <v>69</v>
      </c>
      <c r="E34" t="s">
        <v>143</v>
      </c>
      <c r="F34" s="1">
        <v>45714</v>
      </c>
      <c r="G34" s="1">
        <v>45714</v>
      </c>
      <c r="H34" t="s">
        <v>120</v>
      </c>
      <c r="I34" t="s">
        <v>5</v>
      </c>
      <c r="J34" t="s">
        <v>6</v>
      </c>
      <c r="K34" t="s">
        <v>4</v>
      </c>
      <c r="L34" t="s">
        <v>144</v>
      </c>
      <c r="M34" t="s">
        <v>144</v>
      </c>
      <c r="N34" s="2">
        <v>2052987</v>
      </c>
      <c r="O34" t="s">
        <v>145</v>
      </c>
      <c r="P34" t="s">
        <v>9</v>
      </c>
      <c r="Q34" t="s">
        <v>75</v>
      </c>
      <c r="R34" t="e">
        <f>VLOOKUP(Q34,#REF!,2,FALSE)</f>
        <v>#REF!</v>
      </c>
      <c r="S34">
        <v>1004</v>
      </c>
      <c r="T34" t="s">
        <v>2225</v>
      </c>
      <c r="U34" t="s">
        <v>146</v>
      </c>
      <c r="V34" s="1">
        <v>45412</v>
      </c>
      <c r="W34" s="1">
        <v>45412</v>
      </c>
      <c r="X34" t="s">
        <v>77</v>
      </c>
      <c r="Y34" t="s">
        <v>78</v>
      </c>
      <c r="Z34" t="s">
        <v>6</v>
      </c>
      <c r="AA34" t="s">
        <v>78</v>
      </c>
      <c r="AB34" s="4">
        <f>L34/0.1</f>
        <v>20529870</v>
      </c>
      <c r="AC34" s="5" t="s">
        <v>2215</v>
      </c>
      <c r="AD34" s="4">
        <f>AB34/12</f>
        <v>1710822.5</v>
      </c>
      <c r="AE34" s="4">
        <f t="shared" si="1"/>
        <v>-342164.5</v>
      </c>
    </row>
    <row r="35" spans="1:31" x14ac:dyDescent="0.25">
      <c r="A35" t="s">
        <v>0</v>
      </c>
      <c r="B35" s="3" t="s">
        <v>2219</v>
      </c>
      <c r="C35" t="s">
        <v>142</v>
      </c>
      <c r="D35" t="s">
        <v>69</v>
      </c>
      <c r="E35" t="s">
        <v>147</v>
      </c>
      <c r="F35" s="1">
        <v>45747</v>
      </c>
      <c r="G35" s="1">
        <v>45749</v>
      </c>
      <c r="H35" t="s">
        <v>80</v>
      </c>
      <c r="I35" t="s">
        <v>5</v>
      </c>
      <c r="J35" t="s">
        <v>6</v>
      </c>
      <c r="K35" t="s">
        <v>4</v>
      </c>
      <c r="L35" t="s">
        <v>148</v>
      </c>
      <c r="M35" t="s">
        <v>148</v>
      </c>
      <c r="N35" s="2">
        <v>31671</v>
      </c>
      <c r="O35" t="s">
        <v>145</v>
      </c>
      <c r="P35" t="s">
        <v>9</v>
      </c>
      <c r="Q35" t="s">
        <v>82</v>
      </c>
      <c r="R35" t="e">
        <f>VLOOKUP(Q35,#REF!,2,FALSE)</f>
        <v>#REF!</v>
      </c>
      <c r="S35">
        <v>1004</v>
      </c>
      <c r="T35" t="s">
        <v>2225</v>
      </c>
      <c r="U35" t="s">
        <v>146</v>
      </c>
      <c r="V35" s="1">
        <v>45412</v>
      </c>
      <c r="W35" s="1">
        <v>45412</v>
      </c>
      <c r="X35" t="s">
        <v>77</v>
      </c>
      <c r="Y35" t="s">
        <v>78</v>
      </c>
      <c r="Z35" t="s">
        <v>6</v>
      </c>
      <c r="AA35" t="s">
        <v>78</v>
      </c>
      <c r="AB35" s="4">
        <f>L35/0.08</f>
        <v>395887.5</v>
      </c>
      <c r="AC35" s="6">
        <v>0.1</v>
      </c>
      <c r="AD35" s="4">
        <f>AB35*AC35</f>
        <v>39588.75</v>
      </c>
      <c r="AE35" s="4">
        <f t="shared" si="1"/>
        <v>7917.75</v>
      </c>
    </row>
    <row r="36" spans="1:31" x14ac:dyDescent="0.25">
      <c r="A36" t="s">
        <v>0</v>
      </c>
      <c r="B36" s="3" t="s">
        <v>2219</v>
      </c>
      <c r="C36" t="s">
        <v>142</v>
      </c>
      <c r="D36" t="s">
        <v>69</v>
      </c>
      <c r="E36" t="s">
        <v>149</v>
      </c>
      <c r="F36" s="1">
        <v>45747</v>
      </c>
      <c r="G36" s="1">
        <v>45749</v>
      </c>
      <c r="H36" t="s">
        <v>128</v>
      </c>
      <c r="I36" t="s">
        <v>5</v>
      </c>
      <c r="J36" t="s">
        <v>6</v>
      </c>
      <c r="K36" t="s">
        <v>4</v>
      </c>
      <c r="L36" t="s">
        <v>150</v>
      </c>
      <c r="M36" t="s">
        <v>150</v>
      </c>
      <c r="N36" s="2">
        <v>83391</v>
      </c>
      <c r="O36" t="s">
        <v>145</v>
      </c>
      <c r="P36" t="s">
        <v>9</v>
      </c>
      <c r="Q36" t="s">
        <v>86</v>
      </c>
      <c r="R36" t="e">
        <f>VLOOKUP(Q36,#REF!,2,FALSE)</f>
        <v>#REF!</v>
      </c>
      <c r="S36">
        <v>1004</v>
      </c>
      <c r="T36" t="s">
        <v>2225</v>
      </c>
      <c r="U36" t="s">
        <v>146</v>
      </c>
      <c r="V36" s="1">
        <v>45412</v>
      </c>
      <c r="W36" s="1">
        <v>45412</v>
      </c>
      <c r="X36" t="s">
        <v>77</v>
      </c>
      <c r="Y36" t="s">
        <v>78</v>
      </c>
      <c r="Z36" t="s">
        <v>6</v>
      </c>
      <c r="AA36" t="s">
        <v>78</v>
      </c>
      <c r="AB36" s="4">
        <f>L36/0.03</f>
        <v>2779700</v>
      </c>
      <c r="AC36" s="6">
        <v>0.04</v>
      </c>
      <c r="AD36" s="4">
        <f>AB36*AC36</f>
        <v>111188</v>
      </c>
      <c r="AE36" s="4">
        <f t="shared" si="1"/>
        <v>27797</v>
      </c>
    </row>
    <row r="37" spans="1:31" x14ac:dyDescent="0.25">
      <c r="A37" t="s">
        <v>0</v>
      </c>
      <c r="B37" s="3" t="s">
        <v>2219</v>
      </c>
      <c r="C37" t="s">
        <v>151</v>
      </c>
      <c r="D37" t="s">
        <v>69</v>
      </c>
      <c r="E37" t="s">
        <v>152</v>
      </c>
      <c r="F37" s="1">
        <v>45714</v>
      </c>
      <c r="G37" s="1">
        <v>45714</v>
      </c>
      <c r="H37" t="s">
        <v>153</v>
      </c>
      <c r="I37" t="s">
        <v>5</v>
      </c>
      <c r="J37" t="s">
        <v>6</v>
      </c>
      <c r="K37" t="s">
        <v>4</v>
      </c>
      <c r="L37" t="s">
        <v>154</v>
      </c>
      <c r="M37" t="s">
        <v>154</v>
      </c>
      <c r="N37" s="2">
        <v>370812</v>
      </c>
      <c r="O37" t="s">
        <v>155</v>
      </c>
      <c r="P37" t="s">
        <v>9</v>
      </c>
      <c r="Q37" t="s">
        <v>75</v>
      </c>
      <c r="R37" t="e">
        <f>VLOOKUP(Q37,#REF!,2,FALSE)</f>
        <v>#REF!</v>
      </c>
      <c r="S37">
        <v>1004</v>
      </c>
      <c r="T37" t="s">
        <v>2225</v>
      </c>
      <c r="U37" t="s">
        <v>156</v>
      </c>
      <c r="V37" s="1">
        <v>45412</v>
      </c>
      <c r="W37" s="1">
        <v>45412</v>
      </c>
      <c r="X37" t="s">
        <v>77</v>
      </c>
      <c r="Y37" t="s">
        <v>101</v>
      </c>
      <c r="Z37" t="s">
        <v>6</v>
      </c>
      <c r="AA37" t="s">
        <v>101</v>
      </c>
      <c r="AB37" s="4">
        <f>L37/0.1</f>
        <v>3708120</v>
      </c>
      <c r="AC37" s="5" t="s">
        <v>2215</v>
      </c>
      <c r="AD37" s="4">
        <f>AB37/12</f>
        <v>309010</v>
      </c>
      <c r="AE37" s="4">
        <f t="shared" si="1"/>
        <v>-61802</v>
      </c>
    </row>
    <row r="38" spans="1:31" x14ac:dyDescent="0.25">
      <c r="A38" t="s">
        <v>0</v>
      </c>
      <c r="B38" s="3" t="s">
        <v>2219</v>
      </c>
      <c r="C38" t="s">
        <v>151</v>
      </c>
      <c r="D38" t="s">
        <v>69</v>
      </c>
      <c r="E38" t="s">
        <v>157</v>
      </c>
      <c r="F38" s="1">
        <v>45747</v>
      </c>
      <c r="G38" s="1">
        <v>45749</v>
      </c>
      <c r="H38" t="s">
        <v>128</v>
      </c>
      <c r="I38" t="s">
        <v>5</v>
      </c>
      <c r="J38" t="s">
        <v>6</v>
      </c>
      <c r="K38" t="s">
        <v>4</v>
      </c>
      <c r="L38" t="s">
        <v>158</v>
      </c>
      <c r="M38" t="s">
        <v>158</v>
      </c>
      <c r="N38" s="2">
        <v>14831</v>
      </c>
      <c r="O38" t="s">
        <v>155</v>
      </c>
      <c r="P38" t="s">
        <v>9</v>
      </c>
      <c r="Q38" t="s">
        <v>86</v>
      </c>
      <c r="R38" t="e">
        <f>VLOOKUP(Q38,#REF!,2,FALSE)</f>
        <v>#REF!</v>
      </c>
      <c r="S38">
        <v>1004</v>
      </c>
      <c r="T38" t="s">
        <v>2225</v>
      </c>
      <c r="U38" t="s">
        <v>156</v>
      </c>
      <c r="V38" s="1">
        <v>45412</v>
      </c>
      <c r="W38" s="1">
        <v>45412</v>
      </c>
      <c r="X38" t="s">
        <v>77</v>
      </c>
      <c r="Y38" t="s">
        <v>101</v>
      </c>
      <c r="Z38" t="s">
        <v>6</v>
      </c>
      <c r="AA38" t="s">
        <v>101</v>
      </c>
      <c r="AB38" s="4">
        <f>L38/0.03</f>
        <v>494366.66666666669</v>
      </c>
      <c r="AC38" s="6">
        <v>0.04</v>
      </c>
      <c r="AD38" s="4">
        <f>AB38*AC38</f>
        <v>19774.666666666668</v>
      </c>
      <c r="AE38" s="4">
        <f t="shared" si="1"/>
        <v>4943.6666666666679</v>
      </c>
    </row>
    <row r="39" spans="1:31" x14ac:dyDescent="0.25">
      <c r="A39" t="s">
        <v>0</v>
      </c>
      <c r="B39" s="3" t="s">
        <v>2219</v>
      </c>
      <c r="C39" t="s">
        <v>159</v>
      </c>
      <c r="D39" t="s">
        <v>160</v>
      </c>
      <c r="E39" t="s">
        <v>161</v>
      </c>
      <c r="F39" s="1">
        <v>45784</v>
      </c>
      <c r="G39" s="1">
        <v>45804</v>
      </c>
      <c r="H39" t="s">
        <v>162</v>
      </c>
      <c r="I39" t="s">
        <v>5</v>
      </c>
      <c r="J39" t="s">
        <v>6</v>
      </c>
      <c r="K39" t="s">
        <v>4</v>
      </c>
      <c r="L39" t="s">
        <v>163</v>
      </c>
      <c r="M39" t="s">
        <v>163</v>
      </c>
      <c r="N39" s="2">
        <v>46622</v>
      </c>
      <c r="O39" t="s">
        <v>164</v>
      </c>
      <c r="P39" t="s">
        <v>9</v>
      </c>
      <c r="Q39" t="s">
        <v>75</v>
      </c>
      <c r="R39" t="e">
        <f>VLOOKUP(Q39,#REF!,2,FALSE)</f>
        <v>#REF!</v>
      </c>
      <c r="S39">
        <v>1408</v>
      </c>
      <c r="T39" t="s">
        <v>2223</v>
      </c>
      <c r="U39" t="s">
        <v>165</v>
      </c>
      <c r="V39" s="1">
        <v>45777</v>
      </c>
      <c r="W39" s="1">
        <v>45777</v>
      </c>
      <c r="X39" t="s">
        <v>77</v>
      </c>
      <c r="Y39" t="s">
        <v>78</v>
      </c>
      <c r="Z39" t="s">
        <v>6</v>
      </c>
      <c r="AA39" t="s">
        <v>78</v>
      </c>
      <c r="AB39" s="4">
        <f t="shared" ref="AB39:AB49" si="4">L39/0.1</f>
        <v>466220</v>
      </c>
      <c r="AC39" s="5" t="s">
        <v>2215</v>
      </c>
      <c r="AD39" s="4">
        <f t="shared" ref="AD39:AD49" si="5">AB39/12</f>
        <v>38851.666666666664</v>
      </c>
      <c r="AE39" s="4">
        <f t="shared" si="1"/>
        <v>-7770.3333333333358</v>
      </c>
    </row>
    <row r="40" spans="1:31" x14ac:dyDescent="0.25">
      <c r="A40" t="s">
        <v>0</v>
      </c>
      <c r="B40" s="3" t="s">
        <v>2219</v>
      </c>
      <c r="C40" t="s">
        <v>159</v>
      </c>
      <c r="D40" t="s">
        <v>160</v>
      </c>
      <c r="E40" t="s">
        <v>166</v>
      </c>
      <c r="F40" s="1">
        <v>45784</v>
      </c>
      <c r="G40" s="1">
        <v>45804</v>
      </c>
      <c r="H40" t="s">
        <v>162</v>
      </c>
      <c r="I40" t="s">
        <v>5</v>
      </c>
      <c r="J40" t="s">
        <v>6</v>
      </c>
      <c r="K40" t="s">
        <v>4</v>
      </c>
      <c r="L40" t="s">
        <v>167</v>
      </c>
      <c r="M40" t="s">
        <v>167</v>
      </c>
      <c r="N40" s="2">
        <v>6421</v>
      </c>
      <c r="O40" t="s">
        <v>164</v>
      </c>
      <c r="P40" t="s">
        <v>9</v>
      </c>
      <c r="Q40" t="s">
        <v>75</v>
      </c>
      <c r="R40" t="e">
        <f>VLOOKUP(Q40,#REF!,2,FALSE)</f>
        <v>#REF!</v>
      </c>
      <c r="S40">
        <v>1408</v>
      </c>
      <c r="T40" t="s">
        <v>2223</v>
      </c>
      <c r="U40" t="s">
        <v>165</v>
      </c>
      <c r="V40" s="1">
        <v>45777</v>
      </c>
      <c r="W40" s="1">
        <v>45777</v>
      </c>
      <c r="X40" t="s">
        <v>77</v>
      </c>
      <c r="Y40" t="s">
        <v>78</v>
      </c>
      <c r="Z40" t="s">
        <v>6</v>
      </c>
      <c r="AA40" t="s">
        <v>78</v>
      </c>
      <c r="AB40" s="4">
        <f t="shared" si="4"/>
        <v>64210</v>
      </c>
      <c r="AC40" s="5" t="s">
        <v>2215</v>
      </c>
      <c r="AD40" s="4">
        <f t="shared" si="5"/>
        <v>5350.833333333333</v>
      </c>
      <c r="AE40" s="4">
        <f t="shared" si="1"/>
        <v>-1070.166666666667</v>
      </c>
    </row>
    <row r="41" spans="1:31" x14ac:dyDescent="0.25">
      <c r="A41" t="s">
        <v>0</v>
      </c>
      <c r="B41" s="3" t="s">
        <v>2219</v>
      </c>
      <c r="C41" t="s">
        <v>159</v>
      </c>
      <c r="D41" t="s">
        <v>160</v>
      </c>
      <c r="E41" t="s">
        <v>168</v>
      </c>
      <c r="F41" s="1">
        <v>45784</v>
      </c>
      <c r="G41" s="1">
        <v>45804</v>
      </c>
      <c r="H41" t="s">
        <v>162</v>
      </c>
      <c r="I41" t="s">
        <v>5</v>
      </c>
      <c r="J41" t="s">
        <v>6</v>
      </c>
      <c r="K41" t="s">
        <v>4</v>
      </c>
      <c r="L41" t="s">
        <v>169</v>
      </c>
      <c r="M41" t="s">
        <v>169</v>
      </c>
      <c r="N41" s="2">
        <v>35783</v>
      </c>
      <c r="O41" t="s">
        <v>164</v>
      </c>
      <c r="P41" t="s">
        <v>9</v>
      </c>
      <c r="Q41" t="s">
        <v>75</v>
      </c>
      <c r="R41" t="e">
        <f>VLOOKUP(Q41,#REF!,2,FALSE)</f>
        <v>#REF!</v>
      </c>
      <c r="S41">
        <v>1408</v>
      </c>
      <c r="T41" t="s">
        <v>2223</v>
      </c>
      <c r="U41" t="s">
        <v>165</v>
      </c>
      <c r="V41" s="1">
        <v>45777</v>
      </c>
      <c r="W41" s="1">
        <v>45777</v>
      </c>
      <c r="X41" t="s">
        <v>77</v>
      </c>
      <c r="Y41" t="s">
        <v>78</v>
      </c>
      <c r="Z41" t="s">
        <v>6</v>
      </c>
      <c r="AA41" t="s">
        <v>78</v>
      </c>
      <c r="AB41" s="4">
        <f t="shared" si="4"/>
        <v>357830</v>
      </c>
      <c r="AC41" s="5" t="s">
        <v>2215</v>
      </c>
      <c r="AD41" s="4">
        <f t="shared" si="5"/>
        <v>29819.166666666668</v>
      </c>
      <c r="AE41" s="4">
        <f t="shared" si="1"/>
        <v>-5963.8333333333321</v>
      </c>
    </row>
    <row r="42" spans="1:31" x14ac:dyDescent="0.25">
      <c r="A42" t="s">
        <v>0</v>
      </c>
      <c r="B42" s="3" t="s">
        <v>2219</v>
      </c>
      <c r="C42" t="s">
        <v>159</v>
      </c>
      <c r="D42" t="s">
        <v>160</v>
      </c>
      <c r="E42" t="s">
        <v>170</v>
      </c>
      <c r="F42" s="1">
        <v>45784</v>
      </c>
      <c r="G42" s="1">
        <v>45804</v>
      </c>
      <c r="H42" t="s">
        <v>162</v>
      </c>
      <c r="I42" t="s">
        <v>5</v>
      </c>
      <c r="J42" t="s">
        <v>6</v>
      </c>
      <c r="K42" t="s">
        <v>4</v>
      </c>
      <c r="L42" t="s">
        <v>171</v>
      </c>
      <c r="M42" t="s">
        <v>171</v>
      </c>
      <c r="N42" s="2">
        <v>9729</v>
      </c>
      <c r="O42" t="s">
        <v>164</v>
      </c>
      <c r="P42" t="s">
        <v>9</v>
      </c>
      <c r="Q42" t="s">
        <v>75</v>
      </c>
      <c r="R42" t="e">
        <f>VLOOKUP(Q42,#REF!,2,FALSE)</f>
        <v>#REF!</v>
      </c>
      <c r="S42">
        <v>1408</v>
      </c>
      <c r="T42" t="s">
        <v>2223</v>
      </c>
      <c r="U42" t="s">
        <v>165</v>
      </c>
      <c r="V42" s="1">
        <v>45777</v>
      </c>
      <c r="W42" s="1">
        <v>45777</v>
      </c>
      <c r="X42" t="s">
        <v>77</v>
      </c>
      <c r="Y42" t="s">
        <v>78</v>
      </c>
      <c r="Z42" t="s">
        <v>6</v>
      </c>
      <c r="AA42" t="s">
        <v>78</v>
      </c>
      <c r="AB42" s="4">
        <f t="shared" si="4"/>
        <v>97290</v>
      </c>
      <c r="AC42" s="5" t="s">
        <v>2215</v>
      </c>
      <c r="AD42" s="4">
        <f t="shared" si="5"/>
        <v>8107.5</v>
      </c>
      <c r="AE42" s="4">
        <f t="shared" si="1"/>
        <v>-1621.5</v>
      </c>
    </row>
    <row r="43" spans="1:31" x14ac:dyDescent="0.25">
      <c r="A43" t="s">
        <v>0</v>
      </c>
      <c r="B43" s="3" t="s">
        <v>2219</v>
      </c>
      <c r="C43" t="s">
        <v>159</v>
      </c>
      <c r="D43" t="s">
        <v>160</v>
      </c>
      <c r="E43" t="s">
        <v>172</v>
      </c>
      <c r="F43" s="1">
        <v>45784</v>
      </c>
      <c r="G43" s="1">
        <v>45804</v>
      </c>
      <c r="H43" t="s">
        <v>162</v>
      </c>
      <c r="I43" t="s">
        <v>5</v>
      </c>
      <c r="J43" t="s">
        <v>6</v>
      </c>
      <c r="K43" t="s">
        <v>4</v>
      </c>
      <c r="L43" t="s">
        <v>173</v>
      </c>
      <c r="M43" t="s">
        <v>173</v>
      </c>
      <c r="N43" s="2">
        <v>40243</v>
      </c>
      <c r="O43" t="s">
        <v>164</v>
      </c>
      <c r="P43" t="s">
        <v>9</v>
      </c>
      <c r="Q43" t="s">
        <v>75</v>
      </c>
      <c r="R43" t="e">
        <f>VLOOKUP(Q43,#REF!,2,FALSE)</f>
        <v>#REF!</v>
      </c>
      <c r="S43">
        <v>1408</v>
      </c>
      <c r="T43" t="s">
        <v>2223</v>
      </c>
      <c r="U43" t="s">
        <v>165</v>
      </c>
      <c r="V43" s="1">
        <v>45777</v>
      </c>
      <c r="W43" s="1">
        <v>45777</v>
      </c>
      <c r="X43" t="s">
        <v>77</v>
      </c>
      <c r="Y43" t="s">
        <v>78</v>
      </c>
      <c r="Z43" t="s">
        <v>6</v>
      </c>
      <c r="AA43" t="s">
        <v>78</v>
      </c>
      <c r="AB43" s="4">
        <f t="shared" si="4"/>
        <v>402430</v>
      </c>
      <c r="AC43" s="5" t="s">
        <v>2215</v>
      </c>
      <c r="AD43" s="4">
        <f t="shared" si="5"/>
        <v>33535.833333333336</v>
      </c>
      <c r="AE43" s="4">
        <f t="shared" si="1"/>
        <v>-6707.1666666666642</v>
      </c>
    </row>
    <row r="44" spans="1:31" x14ac:dyDescent="0.25">
      <c r="A44" t="s">
        <v>0</v>
      </c>
      <c r="B44" s="3" t="s">
        <v>2219</v>
      </c>
      <c r="C44" t="s">
        <v>159</v>
      </c>
      <c r="D44" t="s">
        <v>160</v>
      </c>
      <c r="E44" t="s">
        <v>174</v>
      </c>
      <c r="F44" s="1">
        <v>45784</v>
      </c>
      <c r="G44" s="1">
        <v>45804</v>
      </c>
      <c r="H44" t="s">
        <v>162</v>
      </c>
      <c r="I44" t="s">
        <v>5</v>
      </c>
      <c r="J44" t="s">
        <v>6</v>
      </c>
      <c r="K44" t="s">
        <v>4</v>
      </c>
      <c r="L44" t="s">
        <v>175</v>
      </c>
      <c r="M44" t="s">
        <v>175</v>
      </c>
      <c r="N44" s="2">
        <v>11231</v>
      </c>
      <c r="O44" t="s">
        <v>164</v>
      </c>
      <c r="P44" t="s">
        <v>9</v>
      </c>
      <c r="Q44" t="s">
        <v>75</v>
      </c>
      <c r="R44" t="e">
        <f>VLOOKUP(Q44,#REF!,2,FALSE)</f>
        <v>#REF!</v>
      </c>
      <c r="S44">
        <v>1408</v>
      </c>
      <c r="T44" t="s">
        <v>2223</v>
      </c>
      <c r="U44" t="s">
        <v>165</v>
      </c>
      <c r="V44" s="1">
        <v>45777</v>
      </c>
      <c r="W44" s="1">
        <v>45777</v>
      </c>
      <c r="X44" t="s">
        <v>77</v>
      </c>
      <c r="Y44" t="s">
        <v>78</v>
      </c>
      <c r="Z44" t="s">
        <v>6</v>
      </c>
      <c r="AA44" t="s">
        <v>78</v>
      </c>
      <c r="AB44" s="4">
        <f t="shared" si="4"/>
        <v>112310</v>
      </c>
      <c r="AC44" s="5" t="s">
        <v>2215</v>
      </c>
      <c r="AD44" s="4">
        <f t="shared" si="5"/>
        <v>9359.1666666666661</v>
      </c>
      <c r="AE44" s="4">
        <f t="shared" si="1"/>
        <v>-1871.8333333333339</v>
      </c>
    </row>
    <row r="45" spans="1:31" x14ac:dyDescent="0.25">
      <c r="A45" t="s">
        <v>0</v>
      </c>
      <c r="B45" s="3" t="s">
        <v>2219</v>
      </c>
      <c r="C45" t="s">
        <v>159</v>
      </c>
      <c r="D45" t="s">
        <v>160</v>
      </c>
      <c r="E45" t="s">
        <v>176</v>
      </c>
      <c r="F45" s="1">
        <v>45784</v>
      </c>
      <c r="G45" s="1">
        <v>45804</v>
      </c>
      <c r="H45" t="s">
        <v>162</v>
      </c>
      <c r="I45" t="s">
        <v>5</v>
      </c>
      <c r="J45" t="s">
        <v>6</v>
      </c>
      <c r="K45" t="s">
        <v>4</v>
      </c>
      <c r="L45" t="s">
        <v>177</v>
      </c>
      <c r="M45" t="s">
        <v>177</v>
      </c>
      <c r="N45" s="2">
        <v>33853</v>
      </c>
      <c r="O45" t="s">
        <v>164</v>
      </c>
      <c r="P45" t="s">
        <v>9</v>
      </c>
      <c r="Q45" t="s">
        <v>75</v>
      </c>
      <c r="R45" t="e">
        <f>VLOOKUP(Q45,#REF!,2,FALSE)</f>
        <v>#REF!</v>
      </c>
      <c r="S45">
        <v>1408</v>
      </c>
      <c r="T45" t="s">
        <v>2223</v>
      </c>
      <c r="U45" t="s">
        <v>165</v>
      </c>
      <c r="V45" s="1">
        <v>45777</v>
      </c>
      <c r="W45" s="1">
        <v>45777</v>
      </c>
      <c r="X45" t="s">
        <v>77</v>
      </c>
      <c r="Y45" t="s">
        <v>78</v>
      </c>
      <c r="Z45" t="s">
        <v>6</v>
      </c>
      <c r="AA45" t="s">
        <v>78</v>
      </c>
      <c r="AB45" s="4">
        <f t="shared" si="4"/>
        <v>338530</v>
      </c>
      <c r="AC45" s="5" t="s">
        <v>2215</v>
      </c>
      <c r="AD45" s="4">
        <f t="shared" si="5"/>
        <v>28210.833333333332</v>
      </c>
      <c r="AE45" s="4">
        <f t="shared" si="1"/>
        <v>-5642.1666666666679</v>
      </c>
    </row>
    <row r="46" spans="1:31" x14ac:dyDescent="0.25">
      <c r="A46" t="s">
        <v>0</v>
      </c>
      <c r="B46" s="3" t="s">
        <v>2219</v>
      </c>
      <c r="C46" t="s">
        <v>159</v>
      </c>
      <c r="D46" t="s">
        <v>160</v>
      </c>
      <c r="E46" t="s">
        <v>178</v>
      </c>
      <c r="F46" s="1">
        <v>45784</v>
      </c>
      <c r="G46" s="1">
        <v>45804</v>
      </c>
      <c r="H46" t="s">
        <v>162</v>
      </c>
      <c r="I46" t="s">
        <v>5</v>
      </c>
      <c r="J46" t="s">
        <v>6</v>
      </c>
      <c r="K46" t="s">
        <v>4</v>
      </c>
      <c r="L46" t="s">
        <v>179</v>
      </c>
      <c r="M46" t="s">
        <v>179</v>
      </c>
      <c r="N46" s="2">
        <v>60357</v>
      </c>
      <c r="O46" t="s">
        <v>164</v>
      </c>
      <c r="P46" t="s">
        <v>9</v>
      </c>
      <c r="Q46" t="s">
        <v>75</v>
      </c>
      <c r="R46" t="e">
        <f>VLOOKUP(Q46,#REF!,2,FALSE)</f>
        <v>#REF!</v>
      </c>
      <c r="S46">
        <v>1408</v>
      </c>
      <c r="T46" t="s">
        <v>2223</v>
      </c>
      <c r="U46" t="s">
        <v>165</v>
      </c>
      <c r="V46" s="1">
        <v>45777</v>
      </c>
      <c r="W46" s="1">
        <v>45777</v>
      </c>
      <c r="X46" t="s">
        <v>77</v>
      </c>
      <c r="Y46" t="s">
        <v>78</v>
      </c>
      <c r="Z46" t="s">
        <v>6</v>
      </c>
      <c r="AA46" t="s">
        <v>78</v>
      </c>
      <c r="AB46" s="4">
        <f t="shared" si="4"/>
        <v>603570</v>
      </c>
      <c r="AC46" s="5" t="s">
        <v>2215</v>
      </c>
      <c r="AD46" s="4">
        <f t="shared" si="5"/>
        <v>50297.5</v>
      </c>
      <c r="AE46" s="4">
        <f t="shared" si="1"/>
        <v>-10059.5</v>
      </c>
    </row>
    <row r="47" spans="1:31" x14ac:dyDescent="0.25">
      <c r="A47" t="s">
        <v>0</v>
      </c>
      <c r="B47" s="3" t="s">
        <v>2219</v>
      </c>
      <c r="C47" t="s">
        <v>159</v>
      </c>
      <c r="D47" t="s">
        <v>160</v>
      </c>
      <c r="E47" t="s">
        <v>180</v>
      </c>
      <c r="F47" s="1">
        <v>45784</v>
      </c>
      <c r="G47" s="1">
        <v>45804</v>
      </c>
      <c r="H47" t="s">
        <v>162</v>
      </c>
      <c r="I47" t="s">
        <v>5</v>
      </c>
      <c r="J47" t="s">
        <v>6</v>
      </c>
      <c r="K47" t="s">
        <v>4</v>
      </c>
      <c r="L47" t="s">
        <v>181</v>
      </c>
      <c r="M47" t="s">
        <v>181</v>
      </c>
      <c r="N47" s="2">
        <v>14813</v>
      </c>
      <c r="O47" t="s">
        <v>164</v>
      </c>
      <c r="P47" t="s">
        <v>9</v>
      </c>
      <c r="Q47" t="s">
        <v>75</v>
      </c>
      <c r="R47" t="e">
        <f>VLOOKUP(Q47,#REF!,2,FALSE)</f>
        <v>#REF!</v>
      </c>
      <c r="S47">
        <v>1408</v>
      </c>
      <c r="T47" t="s">
        <v>2223</v>
      </c>
      <c r="U47" t="s">
        <v>165</v>
      </c>
      <c r="V47" s="1">
        <v>45777</v>
      </c>
      <c r="W47" s="1">
        <v>45777</v>
      </c>
      <c r="X47" t="s">
        <v>77</v>
      </c>
      <c r="Y47" t="s">
        <v>78</v>
      </c>
      <c r="Z47" t="s">
        <v>6</v>
      </c>
      <c r="AA47" t="s">
        <v>78</v>
      </c>
      <c r="AB47" s="4">
        <f t="shared" si="4"/>
        <v>148130</v>
      </c>
      <c r="AC47" s="5" t="s">
        <v>2215</v>
      </c>
      <c r="AD47" s="4">
        <f t="shared" si="5"/>
        <v>12344.166666666666</v>
      </c>
      <c r="AE47" s="4">
        <f t="shared" si="1"/>
        <v>-2468.8333333333339</v>
      </c>
    </row>
    <row r="48" spans="1:31" x14ac:dyDescent="0.25">
      <c r="A48" t="s">
        <v>0</v>
      </c>
      <c r="B48" s="3" t="s">
        <v>2219</v>
      </c>
      <c r="C48" t="s">
        <v>159</v>
      </c>
      <c r="D48" t="s">
        <v>160</v>
      </c>
      <c r="E48" t="s">
        <v>182</v>
      </c>
      <c r="F48" s="1">
        <v>45784</v>
      </c>
      <c r="G48" s="1">
        <v>45804</v>
      </c>
      <c r="H48" t="s">
        <v>162</v>
      </c>
      <c r="I48" t="s">
        <v>5</v>
      </c>
      <c r="J48" t="s">
        <v>6</v>
      </c>
      <c r="K48" t="s">
        <v>4</v>
      </c>
      <c r="L48" t="s">
        <v>183</v>
      </c>
      <c r="M48" t="s">
        <v>183</v>
      </c>
      <c r="N48" s="2">
        <v>38713</v>
      </c>
      <c r="O48" t="s">
        <v>164</v>
      </c>
      <c r="P48" t="s">
        <v>9</v>
      </c>
      <c r="Q48" t="s">
        <v>75</v>
      </c>
      <c r="R48" t="e">
        <f>VLOOKUP(Q48,#REF!,2,FALSE)</f>
        <v>#REF!</v>
      </c>
      <c r="S48">
        <v>1408</v>
      </c>
      <c r="T48" t="s">
        <v>2223</v>
      </c>
      <c r="U48" t="s">
        <v>165</v>
      </c>
      <c r="V48" s="1">
        <v>45777</v>
      </c>
      <c r="W48" s="1">
        <v>45777</v>
      </c>
      <c r="X48" t="s">
        <v>77</v>
      </c>
      <c r="Y48" t="s">
        <v>78</v>
      </c>
      <c r="Z48" t="s">
        <v>6</v>
      </c>
      <c r="AA48" t="s">
        <v>78</v>
      </c>
      <c r="AB48" s="4">
        <f t="shared" si="4"/>
        <v>387130</v>
      </c>
      <c r="AC48" s="5" t="s">
        <v>2215</v>
      </c>
      <c r="AD48" s="4">
        <f t="shared" si="5"/>
        <v>32260.833333333332</v>
      </c>
      <c r="AE48" s="4">
        <f t="shared" si="1"/>
        <v>-6452.1666666666679</v>
      </c>
    </row>
    <row r="49" spans="1:31" x14ac:dyDescent="0.25">
      <c r="A49" t="s">
        <v>0</v>
      </c>
      <c r="B49" s="3" t="s">
        <v>2219</v>
      </c>
      <c r="C49" t="s">
        <v>184</v>
      </c>
      <c r="D49" t="s">
        <v>69</v>
      </c>
      <c r="E49" t="s">
        <v>83</v>
      </c>
      <c r="F49" s="1">
        <v>45556</v>
      </c>
      <c r="G49" s="1">
        <v>45556</v>
      </c>
      <c r="H49" t="s">
        <v>72</v>
      </c>
      <c r="I49" t="s">
        <v>5</v>
      </c>
      <c r="J49" t="s">
        <v>6</v>
      </c>
      <c r="K49" t="s">
        <v>4</v>
      </c>
      <c r="L49" t="s">
        <v>185</v>
      </c>
      <c r="M49" t="s">
        <v>185</v>
      </c>
      <c r="N49" s="2">
        <v>2290554</v>
      </c>
      <c r="O49" t="s">
        <v>186</v>
      </c>
      <c r="P49" t="s">
        <v>9</v>
      </c>
      <c r="Q49" t="s">
        <v>75</v>
      </c>
      <c r="R49" t="e">
        <f>VLOOKUP(Q49,#REF!,2,FALSE)</f>
        <v>#REF!</v>
      </c>
      <c r="S49">
        <v>1511</v>
      </c>
      <c r="T49" t="s">
        <v>2224</v>
      </c>
      <c r="U49" t="s">
        <v>187</v>
      </c>
      <c r="V49" s="1">
        <v>45443</v>
      </c>
      <c r="W49" s="1">
        <v>45443</v>
      </c>
      <c r="X49" t="s">
        <v>77</v>
      </c>
      <c r="Y49" t="s">
        <v>78</v>
      </c>
      <c r="Z49" t="s">
        <v>6</v>
      </c>
      <c r="AA49" t="s">
        <v>78</v>
      </c>
      <c r="AB49" s="4">
        <f t="shared" si="4"/>
        <v>22905540</v>
      </c>
      <c r="AC49" s="5" t="s">
        <v>2215</v>
      </c>
      <c r="AD49" s="4">
        <f t="shared" si="5"/>
        <v>1908795</v>
      </c>
      <c r="AE49" s="4">
        <f t="shared" si="1"/>
        <v>-381759</v>
      </c>
    </row>
    <row r="50" spans="1:31" x14ac:dyDescent="0.25">
      <c r="A50" t="s">
        <v>0</v>
      </c>
      <c r="B50" s="3" t="s">
        <v>2219</v>
      </c>
      <c r="C50" t="s">
        <v>184</v>
      </c>
      <c r="D50" t="s">
        <v>69</v>
      </c>
      <c r="E50" t="s">
        <v>189</v>
      </c>
      <c r="F50" s="1">
        <v>45747</v>
      </c>
      <c r="G50" s="1">
        <v>45749</v>
      </c>
      <c r="H50" t="s">
        <v>80</v>
      </c>
      <c r="I50" t="s">
        <v>5</v>
      </c>
      <c r="J50" t="s">
        <v>6</v>
      </c>
      <c r="K50" t="s">
        <v>4</v>
      </c>
      <c r="L50" t="s">
        <v>190</v>
      </c>
      <c r="M50" t="s">
        <v>190</v>
      </c>
      <c r="N50" s="2">
        <v>10381</v>
      </c>
      <c r="O50" t="s">
        <v>186</v>
      </c>
      <c r="P50" t="s">
        <v>9</v>
      </c>
      <c r="Q50" t="s">
        <v>82</v>
      </c>
      <c r="R50" t="e">
        <f>VLOOKUP(Q50,#REF!,2,FALSE)</f>
        <v>#REF!</v>
      </c>
      <c r="S50">
        <v>1511</v>
      </c>
      <c r="T50" t="s">
        <v>2224</v>
      </c>
      <c r="U50" t="s">
        <v>187</v>
      </c>
      <c r="V50" s="1">
        <v>45443</v>
      </c>
      <c r="W50" s="1">
        <v>45443</v>
      </c>
      <c r="X50" t="s">
        <v>77</v>
      </c>
      <c r="Y50" t="s">
        <v>78</v>
      </c>
      <c r="Z50" t="s">
        <v>6</v>
      </c>
      <c r="AA50" t="s">
        <v>78</v>
      </c>
      <c r="AB50" s="4">
        <f>L50/0.08</f>
        <v>129762.5</v>
      </c>
      <c r="AC50" s="6">
        <v>0.1</v>
      </c>
      <c r="AD50" s="4">
        <f>AB50*AC50</f>
        <v>12976.25</v>
      </c>
      <c r="AE50" s="4">
        <f t="shared" si="1"/>
        <v>2595.25</v>
      </c>
    </row>
    <row r="51" spans="1:31" x14ac:dyDescent="0.25">
      <c r="A51" t="s">
        <v>0</v>
      </c>
      <c r="B51" s="3" t="s">
        <v>2219</v>
      </c>
      <c r="C51" t="s">
        <v>184</v>
      </c>
      <c r="D51" t="s">
        <v>69</v>
      </c>
      <c r="E51" t="s">
        <v>191</v>
      </c>
      <c r="F51" s="1">
        <v>45553</v>
      </c>
      <c r="G51" s="1">
        <v>45553</v>
      </c>
      <c r="H51" t="s">
        <v>84</v>
      </c>
      <c r="I51" t="s">
        <v>5</v>
      </c>
      <c r="J51" t="s">
        <v>6</v>
      </c>
      <c r="K51" t="s">
        <v>4</v>
      </c>
      <c r="L51" t="s">
        <v>192</v>
      </c>
      <c r="M51" t="s">
        <v>192</v>
      </c>
      <c r="N51" s="2">
        <v>92031</v>
      </c>
      <c r="O51" t="s">
        <v>186</v>
      </c>
      <c r="P51" t="s">
        <v>9</v>
      </c>
      <c r="Q51" t="s">
        <v>86</v>
      </c>
      <c r="R51" t="e">
        <f>VLOOKUP(Q51,#REF!,2,FALSE)</f>
        <v>#REF!</v>
      </c>
      <c r="S51">
        <v>1511</v>
      </c>
      <c r="T51" t="s">
        <v>2224</v>
      </c>
      <c r="U51" t="s">
        <v>187</v>
      </c>
      <c r="V51" s="1">
        <v>45443</v>
      </c>
      <c r="W51" s="1">
        <v>45443</v>
      </c>
      <c r="X51" t="s">
        <v>77</v>
      </c>
      <c r="Y51" t="s">
        <v>78</v>
      </c>
      <c r="Z51" t="s">
        <v>6</v>
      </c>
      <c r="AA51" t="s">
        <v>78</v>
      </c>
      <c r="AB51" s="4">
        <f>L51/0.03</f>
        <v>3067700</v>
      </c>
      <c r="AC51" s="6">
        <v>0.04</v>
      </c>
      <c r="AD51" s="4">
        <f>AB51*AC51</f>
        <v>122708</v>
      </c>
      <c r="AE51" s="4">
        <f t="shared" si="1"/>
        <v>30677</v>
      </c>
    </row>
    <row r="52" spans="1:31" x14ac:dyDescent="0.25">
      <c r="A52" t="s">
        <v>0</v>
      </c>
      <c r="B52" s="3" t="s">
        <v>2219</v>
      </c>
      <c r="C52" t="s">
        <v>193</v>
      </c>
      <c r="D52" t="s">
        <v>69</v>
      </c>
      <c r="E52" t="s">
        <v>194</v>
      </c>
      <c r="F52" s="1">
        <v>45556</v>
      </c>
      <c r="G52" s="1">
        <v>45556</v>
      </c>
      <c r="H52" t="s">
        <v>72</v>
      </c>
      <c r="I52" t="s">
        <v>5</v>
      </c>
      <c r="J52" t="s">
        <v>6</v>
      </c>
      <c r="K52" t="s">
        <v>4</v>
      </c>
      <c r="L52" t="s">
        <v>195</v>
      </c>
      <c r="M52" t="s">
        <v>195</v>
      </c>
      <c r="N52" s="2">
        <v>2453921</v>
      </c>
      <c r="O52" t="s">
        <v>196</v>
      </c>
      <c r="P52" t="s">
        <v>9</v>
      </c>
      <c r="Q52" t="s">
        <v>75</v>
      </c>
      <c r="R52" t="e">
        <f>VLOOKUP(Q52,#REF!,2,FALSE)</f>
        <v>#REF!</v>
      </c>
      <c r="S52">
        <v>1511</v>
      </c>
      <c r="T52" t="s">
        <v>2224</v>
      </c>
      <c r="U52" t="s">
        <v>197</v>
      </c>
      <c r="V52" s="1">
        <v>45443</v>
      </c>
      <c r="W52" s="1">
        <v>45443</v>
      </c>
      <c r="X52" t="s">
        <v>77</v>
      </c>
      <c r="Y52" t="s">
        <v>78</v>
      </c>
      <c r="Z52" t="s">
        <v>6</v>
      </c>
      <c r="AA52" t="s">
        <v>78</v>
      </c>
      <c r="AB52" s="4">
        <f>L52/0.1</f>
        <v>24539210</v>
      </c>
      <c r="AC52" s="5" t="s">
        <v>2215</v>
      </c>
      <c r="AD52" s="4">
        <f>AB52/12</f>
        <v>2044934.1666666667</v>
      </c>
      <c r="AE52" s="4">
        <f t="shared" si="1"/>
        <v>-408986.83333333326</v>
      </c>
    </row>
    <row r="53" spans="1:31" x14ac:dyDescent="0.25">
      <c r="A53" t="s">
        <v>0</v>
      </c>
      <c r="B53" s="3" t="s">
        <v>2219</v>
      </c>
      <c r="C53" t="s">
        <v>193</v>
      </c>
      <c r="D53" t="s">
        <v>69</v>
      </c>
      <c r="E53" t="s">
        <v>198</v>
      </c>
      <c r="F53" s="1">
        <v>45747</v>
      </c>
      <c r="G53" s="1">
        <v>45749</v>
      </c>
      <c r="H53" t="s">
        <v>80</v>
      </c>
      <c r="I53" t="s">
        <v>5</v>
      </c>
      <c r="J53" t="s">
        <v>6</v>
      </c>
      <c r="K53" t="s">
        <v>4</v>
      </c>
      <c r="L53" t="s">
        <v>199</v>
      </c>
      <c r="M53" t="s">
        <v>199</v>
      </c>
      <c r="N53" s="2">
        <v>27822</v>
      </c>
      <c r="O53" t="s">
        <v>196</v>
      </c>
      <c r="P53" t="s">
        <v>9</v>
      </c>
      <c r="Q53" t="s">
        <v>82</v>
      </c>
      <c r="R53" t="e">
        <f>VLOOKUP(Q53,#REF!,2,FALSE)</f>
        <v>#REF!</v>
      </c>
      <c r="S53">
        <v>1511</v>
      </c>
      <c r="T53" t="s">
        <v>2224</v>
      </c>
      <c r="U53" t="s">
        <v>197</v>
      </c>
      <c r="V53" s="1">
        <v>45443</v>
      </c>
      <c r="W53" s="1">
        <v>45443</v>
      </c>
      <c r="X53" t="s">
        <v>77</v>
      </c>
      <c r="Y53" t="s">
        <v>78</v>
      </c>
      <c r="Z53" t="s">
        <v>6</v>
      </c>
      <c r="AA53" t="s">
        <v>78</v>
      </c>
      <c r="AB53" s="4">
        <f>L53/0.08</f>
        <v>347775</v>
      </c>
      <c r="AC53" s="6">
        <v>0.1</v>
      </c>
      <c r="AD53" s="4">
        <f>AB53*AC53</f>
        <v>34777.5</v>
      </c>
      <c r="AE53" s="4">
        <f t="shared" si="1"/>
        <v>6955.5</v>
      </c>
    </row>
    <row r="54" spans="1:31" x14ac:dyDescent="0.25">
      <c r="A54" t="s">
        <v>0</v>
      </c>
      <c r="B54" s="3" t="s">
        <v>2219</v>
      </c>
      <c r="C54" t="s">
        <v>193</v>
      </c>
      <c r="D54" t="s">
        <v>69</v>
      </c>
      <c r="E54" t="s">
        <v>200</v>
      </c>
      <c r="F54" s="1">
        <v>45553</v>
      </c>
      <c r="G54" s="1">
        <v>45553</v>
      </c>
      <c r="H54" t="s">
        <v>84</v>
      </c>
      <c r="I54" t="s">
        <v>5</v>
      </c>
      <c r="J54" t="s">
        <v>6</v>
      </c>
      <c r="K54" t="s">
        <v>4</v>
      </c>
      <c r="L54" t="s">
        <v>201</v>
      </c>
      <c r="M54" t="s">
        <v>201</v>
      </c>
      <c r="N54" s="2">
        <v>99273</v>
      </c>
      <c r="O54" t="s">
        <v>196</v>
      </c>
      <c r="P54" t="s">
        <v>9</v>
      </c>
      <c r="Q54" t="s">
        <v>86</v>
      </c>
      <c r="R54" t="e">
        <f>VLOOKUP(Q54,#REF!,2,FALSE)</f>
        <v>#REF!</v>
      </c>
      <c r="S54">
        <v>1511</v>
      </c>
      <c r="T54" t="s">
        <v>2224</v>
      </c>
      <c r="U54" t="s">
        <v>197</v>
      </c>
      <c r="V54" s="1">
        <v>45443</v>
      </c>
      <c r="W54" s="1">
        <v>45443</v>
      </c>
      <c r="X54" t="s">
        <v>77</v>
      </c>
      <c r="Y54" t="s">
        <v>78</v>
      </c>
      <c r="Z54" t="s">
        <v>6</v>
      </c>
      <c r="AA54" t="s">
        <v>78</v>
      </c>
      <c r="AB54" s="4">
        <f>L54/0.03</f>
        <v>3309100</v>
      </c>
      <c r="AC54" s="6">
        <v>0.04</v>
      </c>
      <c r="AD54" s="4">
        <f>AB54*AC54</f>
        <v>132364</v>
      </c>
      <c r="AE54" s="4">
        <f t="shared" si="1"/>
        <v>33091</v>
      </c>
    </row>
    <row r="55" spans="1:31" x14ac:dyDescent="0.25">
      <c r="A55" t="s">
        <v>0</v>
      </c>
      <c r="B55" s="3" t="s">
        <v>2219</v>
      </c>
      <c r="C55" t="s">
        <v>202</v>
      </c>
      <c r="D55" t="s">
        <v>69</v>
      </c>
      <c r="E55" t="s">
        <v>203</v>
      </c>
      <c r="F55" s="1">
        <v>45713</v>
      </c>
      <c r="G55" s="1">
        <v>45713</v>
      </c>
      <c r="H55" t="s">
        <v>204</v>
      </c>
      <c r="I55" t="s">
        <v>5</v>
      </c>
      <c r="J55" t="s">
        <v>6</v>
      </c>
      <c r="K55" t="s">
        <v>4</v>
      </c>
      <c r="L55" t="s">
        <v>205</v>
      </c>
      <c r="M55" t="s">
        <v>205</v>
      </c>
      <c r="N55" s="2">
        <v>346744</v>
      </c>
      <c r="O55" t="s">
        <v>206</v>
      </c>
      <c r="P55" t="s">
        <v>9</v>
      </c>
      <c r="Q55" t="s">
        <v>75</v>
      </c>
      <c r="R55" t="e">
        <f>VLOOKUP(Q55,#REF!,2,FALSE)</f>
        <v>#REF!</v>
      </c>
      <c r="S55">
        <v>1004</v>
      </c>
      <c r="T55" t="s">
        <v>2225</v>
      </c>
      <c r="U55" t="s">
        <v>207</v>
      </c>
      <c r="V55" s="1">
        <v>45443</v>
      </c>
      <c r="W55" s="1">
        <v>45443</v>
      </c>
      <c r="X55" t="s">
        <v>77</v>
      </c>
      <c r="Y55" t="s">
        <v>78</v>
      </c>
      <c r="Z55" t="s">
        <v>6</v>
      </c>
      <c r="AA55" t="s">
        <v>78</v>
      </c>
      <c r="AB55" s="4">
        <f>L55/0.1</f>
        <v>3467440</v>
      </c>
      <c r="AC55" s="5" t="s">
        <v>2215</v>
      </c>
      <c r="AD55" s="4">
        <f>AB55/12</f>
        <v>288953.33333333331</v>
      </c>
      <c r="AE55" s="4">
        <f t="shared" si="1"/>
        <v>-57790.666666666686</v>
      </c>
    </row>
    <row r="56" spans="1:31" x14ac:dyDescent="0.25">
      <c r="A56" t="s">
        <v>0</v>
      </c>
      <c r="B56" s="3" t="s">
        <v>2219</v>
      </c>
      <c r="C56" t="s">
        <v>202</v>
      </c>
      <c r="D56" t="s">
        <v>69</v>
      </c>
      <c r="E56" t="s">
        <v>208</v>
      </c>
      <c r="F56" s="1">
        <v>45747</v>
      </c>
      <c r="G56" s="1">
        <v>45749</v>
      </c>
      <c r="H56" t="s">
        <v>128</v>
      </c>
      <c r="I56" t="s">
        <v>5</v>
      </c>
      <c r="J56" t="s">
        <v>6</v>
      </c>
      <c r="K56" t="s">
        <v>4</v>
      </c>
      <c r="L56" t="s">
        <v>209</v>
      </c>
      <c r="M56" t="s">
        <v>209</v>
      </c>
      <c r="N56" s="2">
        <v>13870</v>
      </c>
      <c r="O56" t="s">
        <v>206</v>
      </c>
      <c r="P56" t="s">
        <v>9</v>
      </c>
      <c r="Q56" t="s">
        <v>86</v>
      </c>
      <c r="R56" t="e">
        <f>VLOOKUP(Q56,#REF!,2,FALSE)</f>
        <v>#REF!</v>
      </c>
      <c r="S56">
        <v>1004</v>
      </c>
      <c r="T56" t="s">
        <v>2225</v>
      </c>
      <c r="U56" t="s">
        <v>207</v>
      </c>
      <c r="V56" s="1">
        <v>45443</v>
      </c>
      <c r="W56" s="1">
        <v>45443</v>
      </c>
      <c r="X56" t="s">
        <v>77</v>
      </c>
      <c r="Y56" t="s">
        <v>78</v>
      </c>
      <c r="Z56" t="s">
        <v>6</v>
      </c>
      <c r="AA56" t="s">
        <v>78</v>
      </c>
      <c r="AB56" s="4">
        <f>L56/0.03</f>
        <v>462333.33333333337</v>
      </c>
      <c r="AC56" s="6">
        <v>0.04</v>
      </c>
      <c r="AD56" s="4">
        <f>AB56*AC56</f>
        <v>18493.333333333336</v>
      </c>
      <c r="AE56" s="4">
        <f t="shared" si="1"/>
        <v>4623.3333333333358</v>
      </c>
    </row>
    <row r="57" spans="1:31" x14ac:dyDescent="0.25">
      <c r="A57" t="s">
        <v>0</v>
      </c>
      <c r="B57" s="3" t="s">
        <v>2219</v>
      </c>
      <c r="C57" t="s">
        <v>210</v>
      </c>
      <c r="D57" t="s">
        <v>69</v>
      </c>
      <c r="E57" t="s">
        <v>125</v>
      </c>
      <c r="F57" s="1">
        <v>45714</v>
      </c>
      <c r="G57" s="1">
        <v>45714</v>
      </c>
      <c r="H57" t="s">
        <v>120</v>
      </c>
      <c r="I57" t="s">
        <v>5</v>
      </c>
      <c r="J57" t="s">
        <v>6</v>
      </c>
      <c r="K57" t="s">
        <v>4</v>
      </c>
      <c r="L57" t="s">
        <v>211</v>
      </c>
      <c r="M57" t="s">
        <v>211</v>
      </c>
      <c r="N57" s="2">
        <v>20651830</v>
      </c>
      <c r="O57" t="s">
        <v>212</v>
      </c>
      <c r="P57" t="s">
        <v>9</v>
      </c>
      <c r="Q57" t="s">
        <v>75</v>
      </c>
      <c r="R57" t="e">
        <f>VLOOKUP(Q57,#REF!,2,FALSE)</f>
        <v>#REF!</v>
      </c>
      <c r="S57">
        <v>1004</v>
      </c>
      <c r="T57" t="s">
        <v>2225</v>
      </c>
      <c r="U57" t="s">
        <v>213</v>
      </c>
      <c r="V57" s="1">
        <v>45443</v>
      </c>
      <c r="W57" s="1">
        <v>45443</v>
      </c>
      <c r="X57" t="s">
        <v>77</v>
      </c>
      <c r="Y57" t="s">
        <v>124</v>
      </c>
      <c r="Z57" t="s">
        <v>6</v>
      </c>
      <c r="AA57" t="s">
        <v>124</v>
      </c>
      <c r="AB57" s="4">
        <f>L57/0.1</f>
        <v>206518300</v>
      </c>
      <c r="AC57" s="5" t="s">
        <v>2215</v>
      </c>
      <c r="AD57" s="4">
        <f>AB57/12</f>
        <v>17209858.333333332</v>
      </c>
      <c r="AE57" s="4">
        <f t="shared" si="1"/>
        <v>-3441971.6666666679</v>
      </c>
    </row>
    <row r="58" spans="1:31" x14ac:dyDescent="0.25">
      <c r="A58" t="s">
        <v>0</v>
      </c>
      <c r="B58" s="3" t="s">
        <v>2219</v>
      </c>
      <c r="C58" t="s">
        <v>210</v>
      </c>
      <c r="D58" t="s">
        <v>69</v>
      </c>
      <c r="E58" t="s">
        <v>127</v>
      </c>
      <c r="F58" s="1">
        <v>45747</v>
      </c>
      <c r="G58" s="1">
        <v>45749</v>
      </c>
      <c r="H58" t="s">
        <v>80</v>
      </c>
      <c r="I58" t="s">
        <v>5</v>
      </c>
      <c r="J58" t="s">
        <v>6</v>
      </c>
      <c r="K58" t="s">
        <v>4</v>
      </c>
      <c r="L58" t="s">
        <v>214</v>
      </c>
      <c r="M58" t="s">
        <v>214</v>
      </c>
      <c r="N58" s="2">
        <v>1116144</v>
      </c>
      <c r="O58" t="s">
        <v>212</v>
      </c>
      <c r="P58" t="s">
        <v>9</v>
      </c>
      <c r="Q58" t="s">
        <v>82</v>
      </c>
      <c r="R58" t="e">
        <f>VLOOKUP(Q58,#REF!,2,FALSE)</f>
        <v>#REF!</v>
      </c>
      <c r="S58">
        <v>1004</v>
      </c>
      <c r="T58" t="s">
        <v>2225</v>
      </c>
      <c r="U58" t="s">
        <v>213</v>
      </c>
      <c r="V58" s="1">
        <v>45443</v>
      </c>
      <c r="W58" s="1">
        <v>45443</v>
      </c>
      <c r="X58" t="s">
        <v>77</v>
      </c>
      <c r="Y58" t="s">
        <v>124</v>
      </c>
      <c r="Z58" t="s">
        <v>6</v>
      </c>
      <c r="AA58" t="s">
        <v>124</v>
      </c>
      <c r="AB58" s="4">
        <f>L58/0.08</f>
        <v>13951800</v>
      </c>
      <c r="AC58" s="6">
        <v>0.1</v>
      </c>
      <c r="AD58" s="4">
        <f>AB58*AC58</f>
        <v>1395180</v>
      </c>
      <c r="AE58" s="4">
        <f t="shared" si="1"/>
        <v>279036</v>
      </c>
    </row>
    <row r="59" spans="1:31" x14ac:dyDescent="0.25">
      <c r="A59" t="s">
        <v>0</v>
      </c>
      <c r="B59" s="3" t="s">
        <v>2219</v>
      </c>
      <c r="C59" t="s">
        <v>210</v>
      </c>
      <c r="D59" t="s">
        <v>69</v>
      </c>
      <c r="E59" t="s">
        <v>66</v>
      </c>
      <c r="F59" s="1">
        <v>45747</v>
      </c>
      <c r="G59" s="1">
        <v>45749</v>
      </c>
      <c r="H59" t="s">
        <v>128</v>
      </c>
      <c r="I59" t="s">
        <v>5</v>
      </c>
      <c r="J59" t="s">
        <v>6</v>
      </c>
      <c r="K59" t="s">
        <v>4</v>
      </c>
      <c r="L59" t="s">
        <v>215</v>
      </c>
      <c r="M59" t="s">
        <v>215</v>
      </c>
      <c r="N59" s="2">
        <v>870724</v>
      </c>
      <c r="O59" t="s">
        <v>212</v>
      </c>
      <c r="P59" t="s">
        <v>9</v>
      </c>
      <c r="Q59" t="s">
        <v>86</v>
      </c>
      <c r="R59" t="e">
        <f>VLOOKUP(Q59,#REF!,2,FALSE)</f>
        <v>#REF!</v>
      </c>
      <c r="S59">
        <v>1004</v>
      </c>
      <c r="T59" t="s">
        <v>2225</v>
      </c>
      <c r="U59" t="s">
        <v>213</v>
      </c>
      <c r="V59" s="1">
        <v>45443</v>
      </c>
      <c r="W59" s="1">
        <v>45443</v>
      </c>
      <c r="X59" t="s">
        <v>77</v>
      </c>
      <c r="Y59" t="s">
        <v>124</v>
      </c>
      <c r="Z59" t="s">
        <v>6</v>
      </c>
      <c r="AA59" t="s">
        <v>124</v>
      </c>
      <c r="AB59" s="4">
        <f>L59/0.03</f>
        <v>29024133.333333336</v>
      </c>
      <c r="AC59" s="6">
        <v>0.04</v>
      </c>
      <c r="AD59" s="4">
        <f>AB59*AC59</f>
        <v>1160965.3333333335</v>
      </c>
      <c r="AE59" s="4">
        <f t="shared" si="1"/>
        <v>290241.33333333349</v>
      </c>
    </row>
    <row r="60" spans="1:31" x14ac:dyDescent="0.25">
      <c r="A60" t="s">
        <v>0</v>
      </c>
      <c r="B60" s="3" t="s">
        <v>2219</v>
      </c>
      <c r="C60" t="s">
        <v>216</v>
      </c>
      <c r="D60" t="s">
        <v>69</v>
      </c>
      <c r="E60" t="s">
        <v>109</v>
      </c>
      <c r="F60" s="1">
        <v>45713</v>
      </c>
      <c r="G60" s="1">
        <v>45713</v>
      </c>
      <c r="H60" t="s">
        <v>204</v>
      </c>
      <c r="I60" t="s">
        <v>5</v>
      </c>
      <c r="J60" t="s">
        <v>6</v>
      </c>
      <c r="K60" t="s">
        <v>4</v>
      </c>
      <c r="L60" t="s">
        <v>217</v>
      </c>
      <c r="M60" t="s">
        <v>217</v>
      </c>
      <c r="N60" s="2">
        <v>944979</v>
      </c>
      <c r="O60" t="s">
        <v>218</v>
      </c>
      <c r="P60" t="s">
        <v>9</v>
      </c>
      <c r="Q60" t="s">
        <v>75</v>
      </c>
      <c r="R60" t="e">
        <f>VLOOKUP(Q60,#REF!,2,FALSE)</f>
        <v>#REF!</v>
      </c>
      <c r="S60">
        <v>1004</v>
      </c>
      <c r="T60" t="s">
        <v>2225</v>
      </c>
      <c r="U60" t="s">
        <v>219</v>
      </c>
      <c r="V60" s="1">
        <v>45443</v>
      </c>
      <c r="W60" s="1">
        <v>45443</v>
      </c>
      <c r="X60" t="s">
        <v>77</v>
      </c>
      <c r="Y60" t="s">
        <v>78</v>
      </c>
      <c r="Z60" t="s">
        <v>6</v>
      </c>
      <c r="AA60" t="s">
        <v>78</v>
      </c>
      <c r="AB60" s="4">
        <f>L60/0.1</f>
        <v>9449790</v>
      </c>
      <c r="AC60" s="5" t="s">
        <v>2215</v>
      </c>
      <c r="AD60" s="4">
        <f>AB60/12</f>
        <v>787482.5</v>
      </c>
      <c r="AE60" s="4">
        <f t="shared" si="1"/>
        <v>-157496.5</v>
      </c>
    </row>
    <row r="61" spans="1:31" x14ac:dyDescent="0.25">
      <c r="A61" t="s">
        <v>0</v>
      </c>
      <c r="B61" s="3" t="s">
        <v>2219</v>
      </c>
      <c r="C61" t="s">
        <v>216</v>
      </c>
      <c r="D61" t="s">
        <v>69</v>
      </c>
      <c r="E61" t="s">
        <v>203</v>
      </c>
      <c r="F61" s="1">
        <v>45747</v>
      </c>
      <c r="G61" s="1">
        <v>45749</v>
      </c>
      <c r="H61" t="s">
        <v>128</v>
      </c>
      <c r="I61" t="s">
        <v>5</v>
      </c>
      <c r="J61" t="s">
        <v>6</v>
      </c>
      <c r="K61" t="s">
        <v>4</v>
      </c>
      <c r="L61" t="s">
        <v>220</v>
      </c>
      <c r="M61" t="s">
        <v>220</v>
      </c>
      <c r="N61" s="2">
        <v>37803</v>
      </c>
      <c r="O61" t="s">
        <v>218</v>
      </c>
      <c r="P61" t="s">
        <v>9</v>
      </c>
      <c r="Q61" t="s">
        <v>86</v>
      </c>
      <c r="R61" t="e">
        <f>VLOOKUP(Q61,#REF!,2,FALSE)</f>
        <v>#REF!</v>
      </c>
      <c r="S61">
        <v>1004</v>
      </c>
      <c r="T61" t="s">
        <v>2225</v>
      </c>
      <c r="U61" t="s">
        <v>219</v>
      </c>
      <c r="V61" s="1">
        <v>45443</v>
      </c>
      <c r="W61" s="1">
        <v>45443</v>
      </c>
      <c r="X61" t="s">
        <v>77</v>
      </c>
      <c r="Y61" t="s">
        <v>78</v>
      </c>
      <c r="Z61" t="s">
        <v>6</v>
      </c>
      <c r="AA61" t="s">
        <v>78</v>
      </c>
      <c r="AB61" s="4">
        <f>L61/0.03</f>
        <v>1260100</v>
      </c>
      <c r="AC61" s="6">
        <v>0.04</v>
      </c>
      <c r="AD61" s="4">
        <f>AB61*AC61</f>
        <v>50404</v>
      </c>
      <c r="AE61" s="4">
        <f t="shared" si="1"/>
        <v>12601</v>
      </c>
    </row>
    <row r="62" spans="1:31" x14ac:dyDescent="0.25">
      <c r="A62" t="s">
        <v>0</v>
      </c>
      <c r="B62" s="3" t="s">
        <v>2219</v>
      </c>
      <c r="C62" t="s">
        <v>221</v>
      </c>
      <c r="D62" t="s">
        <v>69</v>
      </c>
      <c r="E62" t="s">
        <v>208</v>
      </c>
      <c r="F62" s="1">
        <v>45714</v>
      </c>
      <c r="G62" s="1">
        <v>45714</v>
      </c>
      <c r="H62" t="s">
        <v>222</v>
      </c>
      <c r="I62" t="s">
        <v>5</v>
      </c>
      <c r="J62" t="s">
        <v>6</v>
      </c>
      <c r="K62" t="s">
        <v>4</v>
      </c>
      <c r="L62" t="s">
        <v>223</v>
      </c>
      <c r="M62" t="s">
        <v>223</v>
      </c>
      <c r="N62" s="2">
        <v>3174481</v>
      </c>
      <c r="O62" t="s">
        <v>224</v>
      </c>
      <c r="P62" t="s">
        <v>9</v>
      </c>
      <c r="Q62" t="s">
        <v>75</v>
      </c>
      <c r="R62" t="e">
        <f>VLOOKUP(Q62,#REF!,2,FALSE)</f>
        <v>#REF!</v>
      </c>
      <c r="S62">
        <v>1004</v>
      </c>
      <c r="T62" t="s">
        <v>2225</v>
      </c>
      <c r="U62" t="s">
        <v>225</v>
      </c>
      <c r="V62" s="1">
        <v>45443</v>
      </c>
      <c r="W62" s="1">
        <v>45443</v>
      </c>
      <c r="X62" t="s">
        <v>77</v>
      </c>
      <c r="Y62" t="s">
        <v>78</v>
      </c>
      <c r="Z62" t="s">
        <v>6</v>
      </c>
      <c r="AA62" t="s">
        <v>78</v>
      </c>
      <c r="AB62" s="4">
        <f>L62/0.1</f>
        <v>31744810</v>
      </c>
      <c r="AC62" s="5" t="s">
        <v>2215</v>
      </c>
      <c r="AD62" s="4">
        <f>AB62/12</f>
        <v>2645400.8333333335</v>
      </c>
      <c r="AE62" s="4">
        <f t="shared" si="1"/>
        <v>-529080.16666666651</v>
      </c>
    </row>
    <row r="63" spans="1:31" x14ac:dyDescent="0.25">
      <c r="A63" t="s">
        <v>0</v>
      </c>
      <c r="B63" s="3" t="s">
        <v>2219</v>
      </c>
      <c r="C63" t="s">
        <v>221</v>
      </c>
      <c r="D63" t="s">
        <v>69</v>
      </c>
      <c r="E63" t="s">
        <v>67</v>
      </c>
      <c r="F63" s="1">
        <v>45747</v>
      </c>
      <c r="G63" s="1">
        <v>45749</v>
      </c>
      <c r="H63" t="s">
        <v>80</v>
      </c>
      <c r="I63" t="s">
        <v>5</v>
      </c>
      <c r="J63" t="s">
        <v>6</v>
      </c>
      <c r="K63" t="s">
        <v>4</v>
      </c>
      <c r="L63" t="s">
        <v>226</v>
      </c>
      <c r="M63" t="s">
        <v>226</v>
      </c>
      <c r="N63" s="2">
        <v>57134</v>
      </c>
      <c r="O63" t="s">
        <v>224</v>
      </c>
      <c r="P63" t="s">
        <v>9</v>
      </c>
      <c r="Q63" t="s">
        <v>82</v>
      </c>
      <c r="R63" t="e">
        <f>VLOOKUP(Q63,#REF!,2,FALSE)</f>
        <v>#REF!</v>
      </c>
      <c r="S63">
        <v>1004</v>
      </c>
      <c r="T63" t="s">
        <v>2225</v>
      </c>
      <c r="U63" t="s">
        <v>225</v>
      </c>
      <c r="V63" s="1">
        <v>45443</v>
      </c>
      <c r="W63" s="1">
        <v>45443</v>
      </c>
      <c r="X63" t="s">
        <v>77</v>
      </c>
      <c r="Y63" t="s">
        <v>78</v>
      </c>
      <c r="Z63" t="s">
        <v>6</v>
      </c>
      <c r="AA63" t="s">
        <v>78</v>
      </c>
      <c r="AB63" s="4">
        <f>L63/0.08</f>
        <v>714175</v>
      </c>
      <c r="AC63" s="6">
        <v>0.1</v>
      </c>
      <c r="AD63" s="4">
        <f>AB63*AC63</f>
        <v>71417.5</v>
      </c>
      <c r="AE63" s="4">
        <f t="shared" si="1"/>
        <v>14283.5</v>
      </c>
    </row>
    <row r="64" spans="1:31" x14ac:dyDescent="0.25">
      <c r="A64" t="s">
        <v>0</v>
      </c>
      <c r="B64" s="3" t="s">
        <v>2219</v>
      </c>
      <c r="C64" t="s">
        <v>221</v>
      </c>
      <c r="D64" t="s">
        <v>69</v>
      </c>
      <c r="E64" t="s">
        <v>227</v>
      </c>
      <c r="F64" s="1">
        <v>45747</v>
      </c>
      <c r="G64" s="1">
        <v>45749</v>
      </c>
      <c r="H64" t="s">
        <v>128</v>
      </c>
      <c r="I64" t="s">
        <v>5</v>
      </c>
      <c r="J64" t="s">
        <v>6</v>
      </c>
      <c r="K64" t="s">
        <v>4</v>
      </c>
      <c r="L64" t="s">
        <v>228</v>
      </c>
      <c r="M64" t="s">
        <v>228</v>
      </c>
      <c r="N64" s="2">
        <v>129275</v>
      </c>
      <c r="O64" t="s">
        <v>224</v>
      </c>
      <c r="P64" t="s">
        <v>9</v>
      </c>
      <c r="Q64" t="s">
        <v>86</v>
      </c>
      <c r="R64" t="e">
        <f>VLOOKUP(Q64,#REF!,2,FALSE)</f>
        <v>#REF!</v>
      </c>
      <c r="S64">
        <v>1004</v>
      </c>
      <c r="T64" t="s">
        <v>2225</v>
      </c>
      <c r="U64" t="s">
        <v>225</v>
      </c>
      <c r="V64" s="1">
        <v>45443</v>
      </c>
      <c r="W64" s="1">
        <v>45443</v>
      </c>
      <c r="X64" t="s">
        <v>77</v>
      </c>
      <c r="Y64" t="s">
        <v>78</v>
      </c>
      <c r="Z64" t="s">
        <v>6</v>
      </c>
      <c r="AA64" t="s">
        <v>78</v>
      </c>
      <c r="AB64" s="4">
        <f>L64/0.03</f>
        <v>4309166.666666667</v>
      </c>
      <c r="AC64" s="6">
        <v>0.04</v>
      </c>
      <c r="AD64" s="4">
        <f>AB64*AC64</f>
        <v>172366.66666666669</v>
      </c>
      <c r="AE64" s="4">
        <f t="shared" si="1"/>
        <v>43091.666666666686</v>
      </c>
    </row>
    <row r="65" spans="1:31" x14ac:dyDescent="0.25">
      <c r="A65" t="s">
        <v>0</v>
      </c>
      <c r="B65" s="3" t="s">
        <v>2219</v>
      </c>
      <c r="C65" t="s">
        <v>229</v>
      </c>
      <c r="D65" t="s">
        <v>69</v>
      </c>
      <c r="E65" t="s">
        <v>200</v>
      </c>
      <c r="F65" s="1">
        <v>45714</v>
      </c>
      <c r="G65" s="1">
        <v>45714</v>
      </c>
      <c r="H65" t="s">
        <v>230</v>
      </c>
      <c r="I65" t="s">
        <v>5</v>
      </c>
      <c r="J65" t="s">
        <v>6</v>
      </c>
      <c r="K65" t="s">
        <v>4</v>
      </c>
      <c r="L65" t="s">
        <v>231</v>
      </c>
      <c r="M65" t="s">
        <v>231</v>
      </c>
      <c r="N65" s="2">
        <v>295021</v>
      </c>
      <c r="O65" t="s">
        <v>232</v>
      </c>
      <c r="P65" t="s">
        <v>9</v>
      </c>
      <c r="Q65" t="s">
        <v>75</v>
      </c>
      <c r="R65" t="e">
        <f>VLOOKUP(Q65,#REF!,2,FALSE)</f>
        <v>#REF!</v>
      </c>
      <c r="S65">
        <v>1004</v>
      </c>
      <c r="T65" t="s">
        <v>2225</v>
      </c>
      <c r="U65" t="s">
        <v>233</v>
      </c>
      <c r="V65" s="1">
        <v>45443</v>
      </c>
      <c r="W65" s="1">
        <v>45443</v>
      </c>
      <c r="X65" t="s">
        <v>77</v>
      </c>
      <c r="Y65" t="s">
        <v>78</v>
      </c>
      <c r="Z65" t="s">
        <v>6</v>
      </c>
      <c r="AA65" t="s">
        <v>78</v>
      </c>
      <c r="AB65" s="4">
        <f>L65/0.1</f>
        <v>2950210</v>
      </c>
      <c r="AC65" s="5" t="s">
        <v>2215</v>
      </c>
      <c r="AD65" s="4">
        <f>AB65/12</f>
        <v>245850.83333333334</v>
      </c>
      <c r="AE65" s="4">
        <f t="shared" si="1"/>
        <v>-49170.166666666657</v>
      </c>
    </row>
    <row r="66" spans="1:31" x14ac:dyDescent="0.25">
      <c r="A66" t="s">
        <v>0</v>
      </c>
      <c r="B66" s="3" t="s">
        <v>2219</v>
      </c>
      <c r="C66" t="s">
        <v>229</v>
      </c>
      <c r="D66" t="s">
        <v>69</v>
      </c>
      <c r="E66" t="s">
        <v>71</v>
      </c>
      <c r="F66" s="1">
        <v>45747</v>
      </c>
      <c r="G66" s="1">
        <v>45749</v>
      </c>
      <c r="H66" t="s">
        <v>128</v>
      </c>
      <c r="I66" t="s">
        <v>5</v>
      </c>
      <c r="J66" t="s">
        <v>6</v>
      </c>
      <c r="K66" t="s">
        <v>4</v>
      </c>
      <c r="L66" t="s">
        <v>234</v>
      </c>
      <c r="M66" t="s">
        <v>234</v>
      </c>
      <c r="N66" s="2">
        <v>11801</v>
      </c>
      <c r="O66" t="s">
        <v>232</v>
      </c>
      <c r="P66" t="s">
        <v>9</v>
      </c>
      <c r="Q66" t="s">
        <v>86</v>
      </c>
      <c r="R66" t="e">
        <f>VLOOKUP(Q66,#REF!,2,FALSE)</f>
        <v>#REF!</v>
      </c>
      <c r="S66">
        <v>1004</v>
      </c>
      <c r="T66" t="s">
        <v>2225</v>
      </c>
      <c r="U66" t="s">
        <v>233</v>
      </c>
      <c r="V66" s="1">
        <v>45443</v>
      </c>
      <c r="W66" s="1">
        <v>45443</v>
      </c>
      <c r="X66" t="s">
        <v>77</v>
      </c>
      <c r="Y66" t="s">
        <v>78</v>
      </c>
      <c r="Z66" t="s">
        <v>6</v>
      </c>
      <c r="AA66" t="s">
        <v>78</v>
      </c>
      <c r="AB66" s="4">
        <f>L66/0.03</f>
        <v>393366.66666666669</v>
      </c>
      <c r="AC66" s="6">
        <v>0.04</v>
      </c>
      <c r="AD66" s="4">
        <f>AB66*AC66</f>
        <v>15734.666666666668</v>
      </c>
      <c r="AE66" s="4">
        <f t="shared" ref="AE66:AE129" si="6">AD66-L66</f>
        <v>3933.6666666666679</v>
      </c>
    </row>
    <row r="67" spans="1:31" x14ac:dyDescent="0.25">
      <c r="A67" t="s">
        <v>0</v>
      </c>
      <c r="B67" s="3" t="s">
        <v>2219</v>
      </c>
      <c r="C67" t="s">
        <v>235</v>
      </c>
      <c r="D67" t="s">
        <v>69</v>
      </c>
      <c r="E67" t="s">
        <v>43</v>
      </c>
      <c r="F67" s="1">
        <v>45449</v>
      </c>
      <c r="G67" s="1">
        <v>45455</v>
      </c>
      <c r="H67" t="s">
        <v>236</v>
      </c>
      <c r="I67" t="s">
        <v>5</v>
      </c>
      <c r="J67" t="s">
        <v>6</v>
      </c>
      <c r="K67" t="s">
        <v>4</v>
      </c>
      <c r="L67" t="s">
        <v>237</v>
      </c>
      <c r="M67" t="s">
        <v>237</v>
      </c>
      <c r="N67" s="2">
        <v>374339</v>
      </c>
      <c r="O67" t="s">
        <v>238</v>
      </c>
      <c r="P67" t="s">
        <v>9</v>
      </c>
      <c r="Q67" t="s">
        <v>75</v>
      </c>
      <c r="R67" t="e">
        <f>VLOOKUP(Q67,#REF!,2,FALSE)</f>
        <v>#REF!</v>
      </c>
      <c r="S67">
        <v>1511</v>
      </c>
      <c r="T67" t="s">
        <v>2224</v>
      </c>
      <c r="U67" t="s">
        <v>239</v>
      </c>
      <c r="V67" s="1">
        <v>45443</v>
      </c>
      <c r="W67" s="1">
        <v>45443</v>
      </c>
      <c r="X67" t="s">
        <v>77</v>
      </c>
      <c r="Y67" t="s">
        <v>78</v>
      </c>
      <c r="Z67" t="s">
        <v>6</v>
      </c>
      <c r="AA67" t="s">
        <v>78</v>
      </c>
      <c r="AB67" s="4">
        <f>L67/0.1</f>
        <v>3743390</v>
      </c>
      <c r="AC67" s="5" t="s">
        <v>2215</v>
      </c>
      <c r="AD67" s="4">
        <f>AB67/12</f>
        <v>311949.16666666669</v>
      </c>
      <c r="AE67" s="4">
        <f t="shared" si="6"/>
        <v>-62389.833333333314</v>
      </c>
    </row>
    <row r="68" spans="1:31" x14ac:dyDescent="0.25">
      <c r="A68" t="s">
        <v>0</v>
      </c>
      <c r="B68" s="3" t="s">
        <v>2219</v>
      </c>
      <c r="C68" t="s">
        <v>235</v>
      </c>
      <c r="D68" t="s">
        <v>69</v>
      </c>
      <c r="E68" t="s">
        <v>104</v>
      </c>
      <c r="F68" s="1">
        <v>45449</v>
      </c>
      <c r="G68" s="1">
        <v>45455</v>
      </c>
      <c r="H68" t="s">
        <v>236</v>
      </c>
      <c r="I68" t="s">
        <v>5</v>
      </c>
      <c r="J68" t="s">
        <v>6</v>
      </c>
      <c r="K68" t="s">
        <v>4</v>
      </c>
      <c r="L68" t="s">
        <v>240</v>
      </c>
      <c r="M68" t="s">
        <v>240</v>
      </c>
      <c r="N68" s="2">
        <v>14975</v>
      </c>
      <c r="O68" t="s">
        <v>238</v>
      </c>
      <c r="P68" t="s">
        <v>9</v>
      </c>
      <c r="Q68" t="s">
        <v>86</v>
      </c>
      <c r="R68" t="e">
        <f>VLOOKUP(Q68,#REF!,2,FALSE)</f>
        <v>#REF!</v>
      </c>
      <c r="S68">
        <v>1511</v>
      </c>
      <c r="T68" t="s">
        <v>2224</v>
      </c>
      <c r="U68" t="s">
        <v>239</v>
      </c>
      <c r="V68" s="1">
        <v>45443</v>
      </c>
      <c r="W68" s="1">
        <v>45443</v>
      </c>
      <c r="X68" t="s">
        <v>77</v>
      </c>
      <c r="Y68" t="s">
        <v>78</v>
      </c>
      <c r="Z68" t="s">
        <v>6</v>
      </c>
      <c r="AA68" t="s">
        <v>78</v>
      </c>
      <c r="AB68" s="4">
        <f>L68/0.03</f>
        <v>499166.66666666669</v>
      </c>
      <c r="AC68" s="6">
        <v>0.04</v>
      </c>
      <c r="AD68" s="4">
        <f>AB68*AC68</f>
        <v>19966.666666666668</v>
      </c>
      <c r="AE68" s="4">
        <f t="shared" si="6"/>
        <v>4991.6666666666679</v>
      </c>
    </row>
    <row r="69" spans="1:31" x14ac:dyDescent="0.25">
      <c r="A69" t="s">
        <v>0</v>
      </c>
      <c r="B69" s="3" t="s">
        <v>2219</v>
      </c>
      <c r="C69" t="s">
        <v>241</v>
      </c>
      <c r="D69" t="s">
        <v>69</v>
      </c>
      <c r="E69" t="s">
        <v>242</v>
      </c>
      <c r="F69" s="1">
        <v>45450</v>
      </c>
      <c r="G69" s="1">
        <v>45460</v>
      </c>
      <c r="H69" t="s">
        <v>243</v>
      </c>
      <c r="I69" t="s">
        <v>5</v>
      </c>
      <c r="J69" t="s">
        <v>6</v>
      </c>
      <c r="K69" t="s">
        <v>4</v>
      </c>
      <c r="L69" t="s">
        <v>244</v>
      </c>
      <c r="M69" t="s">
        <v>244</v>
      </c>
      <c r="N69" s="2">
        <v>2241477</v>
      </c>
      <c r="O69" t="s">
        <v>245</v>
      </c>
      <c r="P69" t="s">
        <v>9</v>
      </c>
      <c r="Q69" t="s">
        <v>75</v>
      </c>
      <c r="R69" t="e">
        <f>VLOOKUP(Q69,#REF!,2,FALSE)</f>
        <v>#REF!</v>
      </c>
      <c r="S69">
        <v>1015</v>
      </c>
      <c r="T69" t="s">
        <v>2226</v>
      </c>
      <c r="U69" t="s">
        <v>246</v>
      </c>
      <c r="V69" s="1">
        <v>45443</v>
      </c>
      <c r="W69" s="1">
        <v>45443</v>
      </c>
      <c r="X69" t="s">
        <v>77</v>
      </c>
      <c r="Y69" t="s">
        <v>78</v>
      </c>
      <c r="Z69" t="s">
        <v>6</v>
      </c>
      <c r="AA69" t="s">
        <v>78</v>
      </c>
      <c r="AB69" s="4">
        <f>L69/0.1</f>
        <v>22414770</v>
      </c>
      <c r="AC69" s="5" t="s">
        <v>2215</v>
      </c>
      <c r="AD69" s="4">
        <f>AB69/12</f>
        <v>1867897.5</v>
      </c>
      <c r="AE69" s="4">
        <f t="shared" si="6"/>
        <v>-373579.5</v>
      </c>
    </row>
    <row r="70" spans="1:31" x14ac:dyDescent="0.25">
      <c r="A70" t="s">
        <v>0</v>
      </c>
      <c r="B70" s="3" t="s">
        <v>2219</v>
      </c>
      <c r="C70" t="s">
        <v>241</v>
      </c>
      <c r="D70" t="s">
        <v>69</v>
      </c>
      <c r="E70" t="s">
        <v>247</v>
      </c>
      <c r="F70" s="1">
        <v>45450</v>
      </c>
      <c r="G70" s="1">
        <v>45460</v>
      </c>
      <c r="H70" t="s">
        <v>243</v>
      </c>
      <c r="I70" t="s">
        <v>5</v>
      </c>
      <c r="J70" t="s">
        <v>6</v>
      </c>
      <c r="K70" t="s">
        <v>4</v>
      </c>
      <c r="L70" t="s">
        <v>248</v>
      </c>
      <c r="M70" t="s">
        <v>248</v>
      </c>
      <c r="N70" s="2">
        <v>23348</v>
      </c>
      <c r="O70" t="s">
        <v>245</v>
      </c>
      <c r="P70" t="s">
        <v>9</v>
      </c>
      <c r="Q70" t="s">
        <v>82</v>
      </c>
      <c r="R70" t="e">
        <f>VLOOKUP(Q70,#REF!,2,FALSE)</f>
        <v>#REF!</v>
      </c>
      <c r="S70">
        <v>1015</v>
      </c>
      <c r="T70" t="s">
        <v>2226</v>
      </c>
      <c r="U70" t="s">
        <v>246</v>
      </c>
      <c r="V70" s="1">
        <v>45443</v>
      </c>
      <c r="W70" s="1">
        <v>45443</v>
      </c>
      <c r="X70" t="s">
        <v>77</v>
      </c>
      <c r="Y70" t="s">
        <v>78</v>
      </c>
      <c r="Z70" t="s">
        <v>6</v>
      </c>
      <c r="AA70" t="s">
        <v>78</v>
      </c>
      <c r="AB70" s="4">
        <f>L70/0.08</f>
        <v>291850</v>
      </c>
      <c r="AC70" s="6">
        <v>0.1</v>
      </c>
      <c r="AD70" s="4">
        <f>AB70*AC70</f>
        <v>29185</v>
      </c>
      <c r="AE70" s="4">
        <f t="shared" si="6"/>
        <v>5837</v>
      </c>
    </row>
    <row r="71" spans="1:31" x14ac:dyDescent="0.25">
      <c r="A71" t="s">
        <v>0</v>
      </c>
      <c r="B71" s="3" t="s">
        <v>2219</v>
      </c>
      <c r="C71" t="s">
        <v>241</v>
      </c>
      <c r="D71" t="s">
        <v>69</v>
      </c>
      <c r="E71" t="s">
        <v>249</v>
      </c>
      <c r="F71" s="1">
        <v>45450</v>
      </c>
      <c r="G71" s="1">
        <v>45460</v>
      </c>
      <c r="H71" t="s">
        <v>243</v>
      </c>
      <c r="I71" t="s">
        <v>5</v>
      </c>
      <c r="J71" t="s">
        <v>6</v>
      </c>
      <c r="K71" t="s">
        <v>4</v>
      </c>
      <c r="L71" t="s">
        <v>250</v>
      </c>
      <c r="M71" t="s">
        <v>250</v>
      </c>
      <c r="N71" s="2">
        <v>90601</v>
      </c>
      <c r="O71" t="s">
        <v>245</v>
      </c>
      <c r="P71" t="s">
        <v>9</v>
      </c>
      <c r="Q71" t="s">
        <v>86</v>
      </c>
      <c r="R71" t="e">
        <f>VLOOKUP(Q71,#REF!,2,FALSE)</f>
        <v>#REF!</v>
      </c>
      <c r="S71">
        <v>1015</v>
      </c>
      <c r="T71" t="s">
        <v>2226</v>
      </c>
      <c r="U71" t="s">
        <v>246</v>
      </c>
      <c r="V71" s="1">
        <v>45443</v>
      </c>
      <c r="W71" s="1">
        <v>45443</v>
      </c>
      <c r="X71" t="s">
        <v>77</v>
      </c>
      <c r="Y71" t="s">
        <v>78</v>
      </c>
      <c r="Z71" t="s">
        <v>6</v>
      </c>
      <c r="AA71" t="s">
        <v>78</v>
      </c>
      <c r="AB71" s="4">
        <f>L71/0.03</f>
        <v>3020033.3333333335</v>
      </c>
      <c r="AC71" s="6">
        <v>0.04</v>
      </c>
      <c r="AD71" s="4">
        <f>AB71*AC71</f>
        <v>120801.33333333334</v>
      </c>
      <c r="AE71" s="4">
        <f t="shared" si="6"/>
        <v>30200.333333333343</v>
      </c>
    </row>
    <row r="72" spans="1:31" x14ac:dyDescent="0.25">
      <c r="A72" t="s">
        <v>0</v>
      </c>
      <c r="B72" s="3" t="s">
        <v>2219</v>
      </c>
      <c r="C72" t="s">
        <v>251</v>
      </c>
      <c r="D72" t="s">
        <v>69</v>
      </c>
      <c r="E72" t="s">
        <v>67</v>
      </c>
      <c r="F72" s="1">
        <v>45449</v>
      </c>
      <c r="G72" s="1">
        <v>45455</v>
      </c>
      <c r="H72" t="s">
        <v>252</v>
      </c>
      <c r="I72" t="s">
        <v>5</v>
      </c>
      <c r="J72" t="s">
        <v>6</v>
      </c>
      <c r="K72" t="s">
        <v>4</v>
      </c>
      <c r="L72" t="s">
        <v>253</v>
      </c>
      <c r="M72" t="s">
        <v>253</v>
      </c>
      <c r="N72" s="2">
        <v>2222668</v>
      </c>
      <c r="O72" t="s">
        <v>254</v>
      </c>
      <c r="P72" t="s">
        <v>9</v>
      </c>
      <c r="Q72" t="s">
        <v>75</v>
      </c>
      <c r="R72" t="e">
        <f>VLOOKUP(Q72,#REF!,2,FALSE)</f>
        <v>#REF!</v>
      </c>
      <c r="S72">
        <v>1511</v>
      </c>
      <c r="T72" t="s">
        <v>2224</v>
      </c>
      <c r="U72" t="s">
        <v>255</v>
      </c>
      <c r="V72" s="1">
        <v>45443</v>
      </c>
      <c r="W72" s="1">
        <v>45443</v>
      </c>
      <c r="X72" t="s">
        <v>77</v>
      </c>
      <c r="Y72" t="s">
        <v>78</v>
      </c>
      <c r="Z72" t="s">
        <v>6</v>
      </c>
      <c r="AA72" t="s">
        <v>78</v>
      </c>
      <c r="AB72" s="4">
        <f>L72/0.1</f>
        <v>22226680</v>
      </c>
      <c r="AC72" s="5" t="s">
        <v>2215</v>
      </c>
      <c r="AD72" s="4">
        <f>AB72/12</f>
        <v>1852223.3333333333</v>
      </c>
      <c r="AE72" s="4">
        <f t="shared" si="6"/>
        <v>-370444.66666666674</v>
      </c>
    </row>
    <row r="73" spans="1:31" x14ac:dyDescent="0.25">
      <c r="A73" t="s">
        <v>0</v>
      </c>
      <c r="B73" s="3" t="s">
        <v>2219</v>
      </c>
      <c r="C73" t="s">
        <v>251</v>
      </c>
      <c r="D73" t="s">
        <v>69</v>
      </c>
      <c r="E73" t="s">
        <v>227</v>
      </c>
      <c r="F73" s="1">
        <v>45449</v>
      </c>
      <c r="G73" s="1">
        <v>45455</v>
      </c>
      <c r="H73" t="s">
        <v>252</v>
      </c>
      <c r="I73" t="s">
        <v>5</v>
      </c>
      <c r="J73" t="s">
        <v>6</v>
      </c>
      <c r="K73" t="s">
        <v>4</v>
      </c>
      <c r="L73" t="s">
        <v>256</v>
      </c>
      <c r="M73" t="s">
        <v>256</v>
      </c>
      <c r="N73" s="2">
        <v>27052</v>
      </c>
      <c r="O73" t="s">
        <v>254</v>
      </c>
      <c r="P73" t="s">
        <v>9</v>
      </c>
      <c r="Q73" t="s">
        <v>82</v>
      </c>
      <c r="R73" t="e">
        <f>VLOOKUP(Q73,#REF!,2,FALSE)</f>
        <v>#REF!</v>
      </c>
      <c r="S73">
        <v>1511</v>
      </c>
      <c r="T73" t="s">
        <v>2224</v>
      </c>
      <c r="U73" t="s">
        <v>255</v>
      </c>
      <c r="V73" s="1">
        <v>45443</v>
      </c>
      <c r="W73" s="1">
        <v>45443</v>
      </c>
      <c r="X73" t="s">
        <v>77</v>
      </c>
      <c r="Y73" t="s">
        <v>78</v>
      </c>
      <c r="Z73" t="s">
        <v>6</v>
      </c>
      <c r="AA73" t="s">
        <v>78</v>
      </c>
      <c r="AB73" s="4">
        <f>L73/0.08</f>
        <v>338150</v>
      </c>
      <c r="AC73" s="6">
        <v>0.1</v>
      </c>
      <c r="AD73" s="4">
        <f>AB73*AC73</f>
        <v>33815</v>
      </c>
      <c r="AE73" s="4">
        <f t="shared" si="6"/>
        <v>6763</v>
      </c>
    </row>
    <row r="74" spans="1:31" x14ac:dyDescent="0.25">
      <c r="A74" t="s">
        <v>0</v>
      </c>
      <c r="B74" s="3" t="s">
        <v>2219</v>
      </c>
      <c r="C74" t="s">
        <v>251</v>
      </c>
      <c r="D74" t="s">
        <v>69</v>
      </c>
      <c r="E74" t="s">
        <v>143</v>
      </c>
      <c r="F74" s="1">
        <v>45449</v>
      </c>
      <c r="G74" s="1">
        <v>45455</v>
      </c>
      <c r="H74" t="s">
        <v>252</v>
      </c>
      <c r="I74" t="s">
        <v>5</v>
      </c>
      <c r="J74" t="s">
        <v>6</v>
      </c>
      <c r="K74" t="s">
        <v>4</v>
      </c>
      <c r="L74" t="s">
        <v>257</v>
      </c>
      <c r="M74" t="s">
        <v>257</v>
      </c>
      <c r="N74" s="2">
        <v>89987</v>
      </c>
      <c r="O74" t="s">
        <v>254</v>
      </c>
      <c r="P74" t="s">
        <v>9</v>
      </c>
      <c r="Q74" t="s">
        <v>86</v>
      </c>
      <c r="R74" t="e">
        <f>VLOOKUP(Q74,#REF!,2,FALSE)</f>
        <v>#REF!</v>
      </c>
      <c r="S74">
        <v>1511</v>
      </c>
      <c r="T74" t="s">
        <v>2224</v>
      </c>
      <c r="U74" t="s">
        <v>255</v>
      </c>
      <c r="V74" s="1">
        <v>45443</v>
      </c>
      <c r="W74" s="1">
        <v>45443</v>
      </c>
      <c r="X74" t="s">
        <v>77</v>
      </c>
      <c r="Y74" t="s">
        <v>78</v>
      </c>
      <c r="Z74" t="s">
        <v>6</v>
      </c>
      <c r="AA74" t="s">
        <v>78</v>
      </c>
      <c r="AB74" s="4">
        <f>L74/0.03</f>
        <v>2999566.666666667</v>
      </c>
      <c r="AC74" s="6">
        <v>0.04</v>
      </c>
      <c r="AD74" s="4">
        <f>AB74*AC74</f>
        <v>119982.66666666669</v>
      </c>
      <c r="AE74" s="4">
        <f t="shared" si="6"/>
        <v>29995.666666666686</v>
      </c>
    </row>
    <row r="75" spans="1:31" x14ac:dyDescent="0.25">
      <c r="A75" t="s">
        <v>0</v>
      </c>
      <c r="B75" s="3" t="s">
        <v>2219</v>
      </c>
      <c r="C75" t="s">
        <v>258</v>
      </c>
      <c r="D75" t="s">
        <v>69</v>
      </c>
      <c r="E75" t="s">
        <v>43</v>
      </c>
      <c r="F75" s="1">
        <v>45447</v>
      </c>
      <c r="G75" s="1">
        <v>45468</v>
      </c>
      <c r="H75" t="s">
        <v>259</v>
      </c>
      <c r="I75" t="s">
        <v>5</v>
      </c>
      <c r="J75" t="s">
        <v>6</v>
      </c>
      <c r="K75" t="s">
        <v>4</v>
      </c>
      <c r="L75" t="s">
        <v>260</v>
      </c>
      <c r="M75" t="s">
        <v>260</v>
      </c>
      <c r="N75" s="2">
        <v>270536</v>
      </c>
      <c r="O75" t="s">
        <v>261</v>
      </c>
      <c r="P75" t="s">
        <v>9</v>
      </c>
      <c r="Q75" t="s">
        <v>75</v>
      </c>
      <c r="R75" t="e">
        <f>VLOOKUP(Q75,#REF!,2,FALSE)</f>
        <v>#REF!</v>
      </c>
      <c r="S75" t="e">
        <v>#N/A</v>
      </c>
      <c r="T75" t="e">
        <v>#N/A</v>
      </c>
      <c r="U75" t="s">
        <v>262</v>
      </c>
      <c r="V75" s="1">
        <v>45443</v>
      </c>
      <c r="W75" s="1">
        <v>45443</v>
      </c>
      <c r="X75" t="s">
        <v>77</v>
      </c>
      <c r="Y75" t="s">
        <v>263</v>
      </c>
      <c r="Z75" t="s">
        <v>6</v>
      </c>
      <c r="AA75" t="s">
        <v>263</v>
      </c>
      <c r="AB75" s="4">
        <f>L75/0.1</f>
        <v>2705360</v>
      </c>
      <c r="AC75" s="5" t="s">
        <v>2215</v>
      </c>
      <c r="AD75" s="4">
        <f>AB75/12</f>
        <v>225446.66666666666</v>
      </c>
      <c r="AE75" s="4">
        <f t="shared" si="6"/>
        <v>-45089.333333333343</v>
      </c>
    </row>
    <row r="76" spans="1:31" x14ac:dyDescent="0.25">
      <c r="A76" t="s">
        <v>0</v>
      </c>
      <c r="B76" s="3" t="s">
        <v>2219</v>
      </c>
      <c r="C76" t="s">
        <v>258</v>
      </c>
      <c r="D76" t="s">
        <v>69</v>
      </c>
      <c r="E76" t="s">
        <v>104</v>
      </c>
      <c r="F76" s="1">
        <v>45447</v>
      </c>
      <c r="G76" s="1">
        <v>45468</v>
      </c>
      <c r="H76" t="s">
        <v>259</v>
      </c>
      <c r="I76" t="s">
        <v>5</v>
      </c>
      <c r="J76" t="s">
        <v>6</v>
      </c>
      <c r="K76" t="s">
        <v>4</v>
      </c>
      <c r="L76" t="s">
        <v>264</v>
      </c>
      <c r="M76" t="s">
        <v>264</v>
      </c>
      <c r="N76" s="2">
        <v>10821</v>
      </c>
      <c r="O76" t="s">
        <v>261</v>
      </c>
      <c r="P76" t="s">
        <v>9</v>
      </c>
      <c r="Q76" t="s">
        <v>86</v>
      </c>
      <c r="R76" t="e">
        <f>VLOOKUP(Q76,#REF!,2,FALSE)</f>
        <v>#REF!</v>
      </c>
      <c r="S76" t="e">
        <v>#N/A</v>
      </c>
      <c r="T76" t="e">
        <v>#N/A</v>
      </c>
      <c r="U76" t="s">
        <v>262</v>
      </c>
      <c r="V76" s="1">
        <v>45443</v>
      </c>
      <c r="W76" s="1">
        <v>45443</v>
      </c>
      <c r="X76" t="s">
        <v>77</v>
      </c>
      <c r="Y76" t="s">
        <v>263</v>
      </c>
      <c r="Z76" t="s">
        <v>6</v>
      </c>
      <c r="AA76" t="s">
        <v>263</v>
      </c>
      <c r="AB76" s="4">
        <f>L76/0.03</f>
        <v>360700</v>
      </c>
      <c r="AC76" s="6">
        <v>0.04</v>
      </c>
      <c r="AD76" s="4">
        <f>AB76*AC76</f>
        <v>14428</v>
      </c>
      <c r="AE76" s="4">
        <f t="shared" si="6"/>
        <v>3607</v>
      </c>
    </row>
    <row r="77" spans="1:31" x14ac:dyDescent="0.25">
      <c r="A77" t="s">
        <v>0</v>
      </c>
      <c r="B77" s="3" t="s">
        <v>2219</v>
      </c>
      <c r="C77" t="s">
        <v>265</v>
      </c>
      <c r="D77" t="s">
        <v>69</v>
      </c>
      <c r="E77" t="s">
        <v>203</v>
      </c>
      <c r="F77" s="1">
        <v>45713</v>
      </c>
      <c r="G77" s="1">
        <v>45713</v>
      </c>
      <c r="H77" t="s">
        <v>266</v>
      </c>
      <c r="I77" t="s">
        <v>5</v>
      </c>
      <c r="J77" t="s">
        <v>6</v>
      </c>
      <c r="K77" t="s">
        <v>4</v>
      </c>
      <c r="L77" t="s">
        <v>267</v>
      </c>
      <c r="M77" t="s">
        <v>267</v>
      </c>
      <c r="N77" s="2">
        <v>3270088</v>
      </c>
      <c r="O77" t="s">
        <v>268</v>
      </c>
      <c r="P77" t="s">
        <v>9</v>
      </c>
      <c r="Q77" t="s">
        <v>75</v>
      </c>
      <c r="R77" t="e">
        <f>VLOOKUP(Q77,#REF!,2,FALSE)</f>
        <v>#REF!</v>
      </c>
      <c r="S77">
        <v>1004</v>
      </c>
      <c r="T77" t="s">
        <v>2225</v>
      </c>
      <c r="U77" t="s">
        <v>269</v>
      </c>
      <c r="V77" s="1">
        <v>45467</v>
      </c>
      <c r="W77" s="1">
        <v>45467</v>
      </c>
      <c r="X77" t="s">
        <v>77</v>
      </c>
      <c r="Y77" t="s">
        <v>270</v>
      </c>
      <c r="Z77" t="s">
        <v>6</v>
      </c>
      <c r="AA77" t="s">
        <v>270</v>
      </c>
      <c r="AB77" s="4">
        <f>L77/0.1</f>
        <v>32700880</v>
      </c>
      <c r="AC77" s="5" t="s">
        <v>2215</v>
      </c>
      <c r="AD77" s="4">
        <f>AB77/12</f>
        <v>2725073.3333333335</v>
      </c>
      <c r="AE77" s="4">
        <f t="shared" si="6"/>
        <v>-545014.66666666651</v>
      </c>
    </row>
    <row r="78" spans="1:31" x14ac:dyDescent="0.25">
      <c r="A78" t="s">
        <v>0</v>
      </c>
      <c r="B78" s="3" t="s">
        <v>2219</v>
      </c>
      <c r="C78" t="s">
        <v>265</v>
      </c>
      <c r="D78" t="s">
        <v>69</v>
      </c>
      <c r="E78" t="s">
        <v>208</v>
      </c>
      <c r="F78" s="1">
        <v>45747</v>
      </c>
      <c r="G78" s="1">
        <v>45749</v>
      </c>
      <c r="H78" t="s">
        <v>80</v>
      </c>
      <c r="I78" t="s">
        <v>5</v>
      </c>
      <c r="J78" t="s">
        <v>6</v>
      </c>
      <c r="K78" t="s">
        <v>4</v>
      </c>
      <c r="L78" t="s">
        <v>271</v>
      </c>
      <c r="M78" t="s">
        <v>271</v>
      </c>
      <c r="N78" s="2">
        <v>828099</v>
      </c>
      <c r="O78" t="s">
        <v>268</v>
      </c>
      <c r="P78" t="s">
        <v>9</v>
      </c>
      <c r="Q78" t="s">
        <v>82</v>
      </c>
      <c r="R78" t="e">
        <f>VLOOKUP(Q78,#REF!,2,FALSE)</f>
        <v>#REF!</v>
      </c>
      <c r="S78">
        <v>1004</v>
      </c>
      <c r="T78" t="s">
        <v>2225</v>
      </c>
      <c r="U78" t="s">
        <v>269</v>
      </c>
      <c r="V78" s="1">
        <v>45467</v>
      </c>
      <c r="W78" s="1">
        <v>45467</v>
      </c>
      <c r="X78" t="s">
        <v>77</v>
      </c>
      <c r="Y78" t="s">
        <v>270</v>
      </c>
      <c r="Z78" t="s">
        <v>6</v>
      </c>
      <c r="AA78" t="s">
        <v>270</v>
      </c>
      <c r="AB78" s="4">
        <f>L78/0.08</f>
        <v>10351237.5</v>
      </c>
      <c r="AC78" s="6">
        <v>0.1</v>
      </c>
      <c r="AD78" s="4">
        <f>AB78*AC78</f>
        <v>1035123.75</v>
      </c>
      <c r="AE78" s="4">
        <f t="shared" si="6"/>
        <v>207024.75</v>
      </c>
    </row>
    <row r="79" spans="1:31" x14ac:dyDescent="0.25">
      <c r="A79" t="s">
        <v>0</v>
      </c>
      <c r="B79" s="3" t="s">
        <v>2219</v>
      </c>
      <c r="C79" t="s">
        <v>265</v>
      </c>
      <c r="D79" t="s">
        <v>69</v>
      </c>
      <c r="E79" t="s">
        <v>67</v>
      </c>
      <c r="F79" s="1">
        <v>45747</v>
      </c>
      <c r="G79" s="1">
        <v>45749</v>
      </c>
      <c r="H79" t="s">
        <v>128</v>
      </c>
      <c r="I79" t="s">
        <v>5</v>
      </c>
      <c r="J79" t="s">
        <v>6</v>
      </c>
      <c r="K79" t="s">
        <v>4</v>
      </c>
      <c r="L79" t="s">
        <v>272</v>
      </c>
      <c r="M79" t="s">
        <v>272</v>
      </c>
      <c r="N79" s="2">
        <v>163928</v>
      </c>
      <c r="O79" t="s">
        <v>268</v>
      </c>
      <c r="P79" t="s">
        <v>9</v>
      </c>
      <c r="Q79" t="s">
        <v>86</v>
      </c>
      <c r="R79" t="e">
        <f>VLOOKUP(Q79,#REF!,2,FALSE)</f>
        <v>#REF!</v>
      </c>
      <c r="S79">
        <v>1004</v>
      </c>
      <c r="T79" t="s">
        <v>2225</v>
      </c>
      <c r="U79" t="s">
        <v>269</v>
      </c>
      <c r="V79" s="1">
        <v>45467</v>
      </c>
      <c r="W79" s="1">
        <v>45467</v>
      </c>
      <c r="X79" t="s">
        <v>77</v>
      </c>
      <c r="Y79" t="s">
        <v>270</v>
      </c>
      <c r="Z79" t="s">
        <v>6</v>
      </c>
      <c r="AA79" t="s">
        <v>270</v>
      </c>
      <c r="AB79" s="4">
        <f>L79/0.03</f>
        <v>5464266.666666667</v>
      </c>
      <c r="AC79" s="6">
        <v>0.04</v>
      </c>
      <c r="AD79" s="4">
        <f>AB79*AC79</f>
        <v>218570.66666666669</v>
      </c>
      <c r="AE79" s="4">
        <f t="shared" si="6"/>
        <v>54642.666666666686</v>
      </c>
    </row>
    <row r="80" spans="1:31" x14ac:dyDescent="0.25">
      <c r="A80" t="s">
        <v>0</v>
      </c>
      <c r="B80" s="3" t="s">
        <v>2219</v>
      </c>
      <c r="C80" t="s">
        <v>273</v>
      </c>
      <c r="D80" t="s">
        <v>69</v>
      </c>
      <c r="E80" t="s">
        <v>208</v>
      </c>
      <c r="F80" s="1">
        <v>45479</v>
      </c>
      <c r="G80" s="1">
        <v>45484</v>
      </c>
      <c r="H80" t="s">
        <v>274</v>
      </c>
      <c r="I80" t="s">
        <v>5</v>
      </c>
      <c r="J80" t="s">
        <v>6</v>
      </c>
      <c r="K80" t="s">
        <v>4</v>
      </c>
      <c r="L80" t="s">
        <v>275</v>
      </c>
      <c r="M80" t="s">
        <v>275</v>
      </c>
      <c r="N80" s="2">
        <v>580311</v>
      </c>
      <c r="O80" t="s">
        <v>276</v>
      </c>
      <c r="P80" t="s">
        <v>9</v>
      </c>
      <c r="Q80" t="s">
        <v>75</v>
      </c>
      <c r="R80" t="e">
        <f>VLOOKUP(Q80,#REF!,2,FALSE)</f>
        <v>#REF!</v>
      </c>
      <c r="S80">
        <v>1408</v>
      </c>
      <c r="T80" t="s">
        <v>2223</v>
      </c>
      <c r="U80" t="s">
        <v>277</v>
      </c>
      <c r="V80" s="1">
        <v>45473</v>
      </c>
      <c r="W80" s="1">
        <v>45473</v>
      </c>
      <c r="X80" t="s">
        <v>77</v>
      </c>
      <c r="Y80" t="s">
        <v>78</v>
      </c>
      <c r="Z80" t="s">
        <v>6</v>
      </c>
      <c r="AA80" t="s">
        <v>78</v>
      </c>
      <c r="AB80" s="4">
        <f>L80/0.1</f>
        <v>5803110</v>
      </c>
      <c r="AC80" s="5" t="s">
        <v>2215</v>
      </c>
      <c r="AD80" s="4">
        <f>AB80/12</f>
        <v>483592.5</v>
      </c>
      <c r="AE80" s="4">
        <f t="shared" si="6"/>
        <v>-96718.5</v>
      </c>
    </row>
    <row r="81" spans="1:31" x14ac:dyDescent="0.25">
      <c r="A81" t="s">
        <v>0</v>
      </c>
      <c r="B81" s="3" t="s">
        <v>2219</v>
      </c>
      <c r="C81" t="s">
        <v>273</v>
      </c>
      <c r="D81" t="s">
        <v>69</v>
      </c>
      <c r="E81" t="s">
        <v>67</v>
      </c>
      <c r="F81" s="1">
        <v>45479</v>
      </c>
      <c r="G81" s="1">
        <v>45484</v>
      </c>
      <c r="H81" t="s">
        <v>278</v>
      </c>
      <c r="I81" t="s">
        <v>5</v>
      </c>
      <c r="J81" t="s">
        <v>6</v>
      </c>
      <c r="K81" t="s">
        <v>4</v>
      </c>
      <c r="L81" t="s">
        <v>279</v>
      </c>
      <c r="M81" t="s">
        <v>279</v>
      </c>
      <c r="N81" s="2">
        <v>7020</v>
      </c>
      <c r="O81" t="s">
        <v>276</v>
      </c>
      <c r="P81" t="s">
        <v>9</v>
      </c>
      <c r="Q81" t="s">
        <v>82</v>
      </c>
      <c r="R81" t="e">
        <f>VLOOKUP(Q81,#REF!,2,FALSE)</f>
        <v>#REF!</v>
      </c>
      <c r="S81">
        <v>1408</v>
      </c>
      <c r="T81" t="s">
        <v>2223</v>
      </c>
      <c r="U81" t="s">
        <v>277</v>
      </c>
      <c r="V81" s="1">
        <v>45473</v>
      </c>
      <c r="W81" s="1">
        <v>45473</v>
      </c>
      <c r="X81" t="s">
        <v>77</v>
      </c>
      <c r="Y81" t="s">
        <v>78</v>
      </c>
      <c r="Z81" t="s">
        <v>6</v>
      </c>
      <c r="AA81" t="s">
        <v>78</v>
      </c>
      <c r="AB81" s="4">
        <f>L81/0.08</f>
        <v>87750</v>
      </c>
      <c r="AC81" s="6">
        <v>0.1</v>
      </c>
      <c r="AD81" s="4">
        <f>AB81*AC81</f>
        <v>8775</v>
      </c>
      <c r="AE81" s="4">
        <f t="shared" si="6"/>
        <v>1755</v>
      </c>
    </row>
    <row r="82" spans="1:31" x14ac:dyDescent="0.25">
      <c r="A82" t="s">
        <v>0</v>
      </c>
      <c r="B82" s="3" t="s">
        <v>2219</v>
      </c>
      <c r="C82" t="s">
        <v>273</v>
      </c>
      <c r="D82" t="s">
        <v>69</v>
      </c>
      <c r="E82" t="s">
        <v>227</v>
      </c>
      <c r="F82" s="1">
        <v>45479</v>
      </c>
      <c r="G82" s="1">
        <v>45484</v>
      </c>
      <c r="H82" t="s">
        <v>280</v>
      </c>
      <c r="I82" t="s">
        <v>5</v>
      </c>
      <c r="J82" t="s">
        <v>6</v>
      </c>
      <c r="K82" t="s">
        <v>4</v>
      </c>
      <c r="L82" t="s">
        <v>281</v>
      </c>
      <c r="M82" t="s">
        <v>281</v>
      </c>
      <c r="N82" s="2">
        <v>23492</v>
      </c>
      <c r="O82" t="s">
        <v>276</v>
      </c>
      <c r="P82" t="s">
        <v>9</v>
      </c>
      <c r="Q82" t="s">
        <v>86</v>
      </c>
      <c r="R82" t="e">
        <f>VLOOKUP(Q82,#REF!,2,FALSE)</f>
        <v>#REF!</v>
      </c>
      <c r="S82">
        <v>1408</v>
      </c>
      <c r="T82" t="s">
        <v>2223</v>
      </c>
      <c r="U82" t="s">
        <v>277</v>
      </c>
      <c r="V82" s="1">
        <v>45473</v>
      </c>
      <c r="W82" s="1">
        <v>45473</v>
      </c>
      <c r="X82" t="s">
        <v>77</v>
      </c>
      <c r="Y82" t="s">
        <v>78</v>
      </c>
      <c r="Z82" t="s">
        <v>6</v>
      </c>
      <c r="AA82" t="s">
        <v>78</v>
      </c>
      <c r="AB82" s="4">
        <f>L82/0.03</f>
        <v>783066.66666666674</v>
      </c>
      <c r="AC82" s="6">
        <v>0.04</v>
      </c>
      <c r="AD82" s="4">
        <f>AB82*AC82</f>
        <v>31322.666666666672</v>
      </c>
      <c r="AE82" s="4">
        <f t="shared" si="6"/>
        <v>7830.6666666666715</v>
      </c>
    </row>
    <row r="83" spans="1:31" x14ac:dyDescent="0.25">
      <c r="A83" t="s">
        <v>0</v>
      </c>
      <c r="B83" s="3" t="s">
        <v>2219</v>
      </c>
      <c r="C83" t="s">
        <v>282</v>
      </c>
      <c r="D83" t="s">
        <v>69</v>
      </c>
      <c r="E83" t="s">
        <v>71</v>
      </c>
      <c r="F83" s="1">
        <v>45556</v>
      </c>
      <c r="G83" s="1">
        <v>45556</v>
      </c>
      <c r="H83" t="s">
        <v>72</v>
      </c>
      <c r="I83" t="s">
        <v>5</v>
      </c>
      <c r="J83" t="s">
        <v>6</v>
      </c>
      <c r="K83" t="s">
        <v>4</v>
      </c>
      <c r="L83" t="s">
        <v>283</v>
      </c>
      <c r="M83" t="s">
        <v>283</v>
      </c>
      <c r="N83" s="2">
        <v>2401046</v>
      </c>
      <c r="O83" t="s">
        <v>284</v>
      </c>
      <c r="P83" t="s">
        <v>9</v>
      </c>
      <c r="Q83" t="s">
        <v>75</v>
      </c>
      <c r="R83" t="e">
        <f>VLOOKUP(Q83,#REF!,2,FALSE)</f>
        <v>#REF!</v>
      </c>
      <c r="S83">
        <v>1511</v>
      </c>
      <c r="T83" t="s">
        <v>2224</v>
      </c>
      <c r="U83" t="s">
        <v>285</v>
      </c>
      <c r="V83" s="1">
        <v>45473</v>
      </c>
      <c r="W83" s="1">
        <v>111216</v>
      </c>
      <c r="X83" t="s">
        <v>77</v>
      </c>
      <c r="Y83" t="s">
        <v>78</v>
      </c>
      <c r="Z83" t="s">
        <v>6</v>
      </c>
      <c r="AA83" t="s">
        <v>78</v>
      </c>
      <c r="AB83" s="4">
        <f>L83/0.1</f>
        <v>24010460</v>
      </c>
      <c r="AC83" s="5" t="s">
        <v>2215</v>
      </c>
      <c r="AD83" s="4">
        <f>AB83/12</f>
        <v>2000871.6666666667</v>
      </c>
      <c r="AE83" s="4">
        <f t="shared" si="6"/>
        <v>-400174.33333333326</v>
      </c>
    </row>
    <row r="84" spans="1:31" x14ac:dyDescent="0.25">
      <c r="A84" t="s">
        <v>0</v>
      </c>
      <c r="B84" s="3" t="s">
        <v>2219</v>
      </c>
      <c r="C84" t="s">
        <v>282</v>
      </c>
      <c r="D84" t="s">
        <v>69</v>
      </c>
      <c r="E84" t="s">
        <v>79</v>
      </c>
      <c r="F84" s="1">
        <v>45747</v>
      </c>
      <c r="G84" s="1">
        <v>45749</v>
      </c>
      <c r="H84" t="s">
        <v>80</v>
      </c>
      <c r="I84" t="s">
        <v>5</v>
      </c>
      <c r="J84" t="s">
        <v>6</v>
      </c>
      <c r="K84" t="s">
        <v>4</v>
      </c>
      <c r="L84" t="s">
        <v>286</v>
      </c>
      <c r="M84" t="s">
        <v>286</v>
      </c>
      <c r="N84" s="2">
        <v>12399</v>
      </c>
      <c r="O84" t="s">
        <v>284</v>
      </c>
      <c r="P84" t="s">
        <v>9</v>
      </c>
      <c r="Q84" t="s">
        <v>82</v>
      </c>
      <c r="R84" t="e">
        <f>VLOOKUP(Q84,#REF!,2,FALSE)</f>
        <v>#REF!</v>
      </c>
      <c r="S84">
        <v>1511</v>
      </c>
      <c r="T84" t="s">
        <v>2224</v>
      </c>
      <c r="U84" t="s">
        <v>285</v>
      </c>
      <c r="V84" s="1">
        <v>45473</v>
      </c>
      <c r="W84" s="1">
        <v>111216</v>
      </c>
      <c r="X84" t="s">
        <v>77</v>
      </c>
      <c r="Y84" t="s">
        <v>78</v>
      </c>
      <c r="Z84" t="s">
        <v>6</v>
      </c>
      <c r="AA84" t="s">
        <v>78</v>
      </c>
      <c r="AB84" s="4">
        <f>L84/0.08</f>
        <v>154987.5</v>
      </c>
      <c r="AC84" s="6">
        <v>0.1</v>
      </c>
      <c r="AD84" s="4">
        <f>AB84*AC84</f>
        <v>15498.75</v>
      </c>
      <c r="AE84" s="4">
        <f t="shared" si="6"/>
        <v>3099.75</v>
      </c>
    </row>
    <row r="85" spans="1:31" x14ac:dyDescent="0.25">
      <c r="A85" t="s">
        <v>0</v>
      </c>
      <c r="B85" s="3" t="s">
        <v>2219</v>
      </c>
      <c r="C85" t="s">
        <v>282</v>
      </c>
      <c r="D85" t="s">
        <v>69</v>
      </c>
      <c r="E85" t="s">
        <v>83</v>
      </c>
      <c r="F85" s="1">
        <v>45553</v>
      </c>
      <c r="G85" s="1">
        <v>45553</v>
      </c>
      <c r="H85" t="s">
        <v>84</v>
      </c>
      <c r="I85" t="s">
        <v>5</v>
      </c>
      <c r="J85" t="s">
        <v>6</v>
      </c>
      <c r="K85" t="s">
        <v>4</v>
      </c>
      <c r="L85" t="s">
        <v>287</v>
      </c>
      <c r="M85" t="s">
        <v>287</v>
      </c>
      <c r="N85" s="2">
        <v>96542</v>
      </c>
      <c r="O85" t="s">
        <v>284</v>
      </c>
      <c r="P85" t="s">
        <v>9</v>
      </c>
      <c r="Q85" t="s">
        <v>86</v>
      </c>
      <c r="R85" t="e">
        <f>VLOOKUP(Q85,#REF!,2,FALSE)</f>
        <v>#REF!</v>
      </c>
      <c r="S85">
        <v>1511</v>
      </c>
      <c r="T85" t="s">
        <v>2224</v>
      </c>
      <c r="U85" t="s">
        <v>285</v>
      </c>
      <c r="V85" s="1">
        <v>45473</v>
      </c>
      <c r="W85" s="1">
        <v>111216</v>
      </c>
      <c r="X85" t="s">
        <v>77</v>
      </c>
      <c r="Y85" t="s">
        <v>78</v>
      </c>
      <c r="Z85" t="s">
        <v>6</v>
      </c>
      <c r="AA85" t="s">
        <v>78</v>
      </c>
      <c r="AB85" s="4">
        <f>L85/0.03</f>
        <v>3218066.666666667</v>
      </c>
      <c r="AC85" s="6">
        <v>0.04</v>
      </c>
      <c r="AD85" s="4">
        <f>AB85*AC85</f>
        <v>128722.66666666669</v>
      </c>
      <c r="AE85" s="4">
        <f t="shared" si="6"/>
        <v>32180.666666666686</v>
      </c>
    </row>
    <row r="86" spans="1:31" x14ac:dyDescent="0.25">
      <c r="A86" t="s">
        <v>0</v>
      </c>
      <c r="B86" s="3" t="s">
        <v>2219</v>
      </c>
      <c r="C86" t="s">
        <v>288</v>
      </c>
      <c r="D86" t="s">
        <v>69</v>
      </c>
      <c r="E86" t="s">
        <v>43</v>
      </c>
      <c r="F86" s="1">
        <v>45477</v>
      </c>
      <c r="G86" s="1">
        <v>45498</v>
      </c>
      <c r="H86" t="s">
        <v>289</v>
      </c>
      <c r="I86" t="s">
        <v>5</v>
      </c>
      <c r="J86" t="s">
        <v>6</v>
      </c>
      <c r="K86" t="s">
        <v>4</v>
      </c>
      <c r="L86" t="s">
        <v>290</v>
      </c>
      <c r="M86" t="s">
        <v>290</v>
      </c>
      <c r="N86" s="2">
        <v>358865</v>
      </c>
      <c r="O86" t="s">
        <v>291</v>
      </c>
      <c r="P86" t="s">
        <v>9</v>
      </c>
      <c r="Q86" t="s">
        <v>75</v>
      </c>
      <c r="R86" t="e">
        <f>VLOOKUP(Q86,#REF!,2,FALSE)</f>
        <v>#REF!</v>
      </c>
      <c r="S86">
        <v>1511</v>
      </c>
      <c r="T86" t="s">
        <v>2224</v>
      </c>
      <c r="U86" t="s">
        <v>292</v>
      </c>
      <c r="V86" s="1">
        <v>45473</v>
      </c>
      <c r="W86" s="1">
        <v>45473</v>
      </c>
      <c r="X86" t="s">
        <v>77</v>
      </c>
      <c r="Y86" t="s">
        <v>78</v>
      </c>
      <c r="Z86" t="s">
        <v>6</v>
      </c>
      <c r="AA86" t="s">
        <v>78</v>
      </c>
      <c r="AB86" s="4">
        <f>L86/0.1</f>
        <v>3588650</v>
      </c>
      <c r="AC86" s="5" t="s">
        <v>2215</v>
      </c>
      <c r="AD86" s="4">
        <f>AB86/12</f>
        <v>299054.16666666669</v>
      </c>
      <c r="AE86" s="4">
        <f t="shared" si="6"/>
        <v>-59810.833333333314</v>
      </c>
    </row>
    <row r="87" spans="1:31" x14ac:dyDescent="0.25">
      <c r="A87" t="s">
        <v>0</v>
      </c>
      <c r="B87" s="3" t="s">
        <v>2219</v>
      </c>
      <c r="C87" t="s">
        <v>288</v>
      </c>
      <c r="D87" t="s">
        <v>69</v>
      </c>
      <c r="E87" t="s">
        <v>104</v>
      </c>
      <c r="F87" s="1">
        <v>45477</v>
      </c>
      <c r="G87" s="1">
        <v>45498</v>
      </c>
      <c r="H87" t="s">
        <v>289</v>
      </c>
      <c r="I87" t="s">
        <v>5</v>
      </c>
      <c r="J87" t="s">
        <v>6</v>
      </c>
      <c r="K87" t="s">
        <v>4</v>
      </c>
      <c r="L87" t="s">
        <v>293</v>
      </c>
      <c r="M87" t="s">
        <v>293</v>
      </c>
      <c r="N87" s="2">
        <v>14357</v>
      </c>
      <c r="O87" t="s">
        <v>291</v>
      </c>
      <c r="P87" t="s">
        <v>9</v>
      </c>
      <c r="Q87" t="s">
        <v>86</v>
      </c>
      <c r="R87" t="e">
        <f>VLOOKUP(Q87,#REF!,2,FALSE)</f>
        <v>#REF!</v>
      </c>
      <c r="S87">
        <v>1511</v>
      </c>
      <c r="T87" t="s">
        <v>2224</v>
      </c>
      <c r="U87" t="s">
        <v>292</v>
      </c>
      <c r="V87" s="1">
        <v>45473</v>
      </c>
      <c r="W87" s="1">
        <v>45473</v>
      </c>
      <c r="X87" t="s">
        <v>77</v>
      </c>
      <c r="Y87" t="s">
        <v>78</v>
      </c>
      <c r="Z87" t="s">
        <v>6</v>
      </c>
      <c r="AA87" t="s">
        <v>78</v>
      </c>
      <c r="AB87" s="4">
        <f>L87/0.03</f>
        <v>478566.66666666669</v>
      </c>
      <c r="AC87" s="6">
        <v>0.04</v>
      </c>
      <c r="AD87" s="4">
        <f>AB87*AC87</f>
        <v>19142.666666666668</v>
      </c>
      <c r="AE87" s="4">
        <f t="shared" si="6"/>
        <v>4785.6666666666679</v>
      </c>
    </row>
    <row r="88" spans="1:31" x14ac:dyDescent="0.25">
      <c r="A88" t="s">
        <v>0</v>
      </c>
      <c r="B88" s="3" t="s">
        <v>2219</v>
      </c>
      <c r="C88" t="s">
        <v>294</v>
      </c>
      <c r="D88" t="s">
        <v>69</v>
      </c>
      <c r="E88" t="s">
        <v>295</v>
      </c>
      <c r="F88" s="1">
        <v>45713</v>
      </c>
      <c r="G88" s="1">
        <v>45713</v>
      </c>
      <c r="H88" t="s">
        <v>266</v>
      </c>
      <c r="I88" t="s">
        <v>5</v>
      </c>
      <c r="J88" t="s">
        <v>6</v>
      </c>
      <c r="K88" t="s">
        <v>4</v>
      </c>
      <c r="L88" t="s">
        <v>296</v>
      </c>
      <c r="M88" t="s">
        <v>296</v>
      </c>
      <c r="N88" s="2">
        <v>19197735</v>
      </c>
      <c r="O88" t="s">
        <v>268</v>
      </c>
      <c r="P88" t="s">
        <v>9</v>
      </c>
      <c r="Q88" t="s">
        <v>75</v>
      </c>
      <c r="R88" t="e">
        <f>VLOOKUP(Q88,#REF!,2,FALSE)</f>
        <v>#REF!</v>
      </c>
      <c r="S88">
        <v>1004</v>
      </c>
      <c r="T88" t="s">
        <v>2225</v>
      </c>
      <c r="U88" t="s">
        <v>297</v>
      </c>
      <c r="V88" s="1">
        <v>45473</v>
      </c>
      <c r="W88" s="1">
        <v>45473</v>
      </c>
      <c r="X88" t="s">
        <v>77</v>
      </c>
      <c r="Y88" t="s">
        <v>124</v>
      </c>
      <c r="Z88" t="s">
        <v>6</v>
      </c>
      <c r="AA88" t="s">
        <v>124</v>
      </c>
      <c r="AB88" s="4">
        <f>L88/0.1</f>
        <v>191977350</v>
      </c>
      <c r="AC88" s="5" t="s">
        <v>2215</v>
      </c>
      <c r="AD88" s="4">
        <f>AB88/12</f>
        <v>15998112.5</v>
      </c>
      <c r="AE88" s="4">
        <f t="shared" si="6"/>
        <v>-3199622.5</v>
      </c>
    </row>
    <row r="89" spans="1:31" x14ac:dyDescent="0.25">
      <c r="A89" t="s">
        <v>0</v>
      </c>
      <c r="B89" s="3" t="s">
        <v>2219</v>
      </c>
      <c r="C89" t="s">
        <v>294</v>
      </c>
      <c r="D89" t="s">
        <v>69</v>
      </c>
      <c r="E89" t="s">
        <v>119</v>
      </c>
      <c r="F89" s="1">
        <v>45747</v>
      </c>
      <c r="G89" s="1">
        <v>45749</v>
      </c>
      <c r="H89" t="s">
        <v>80</v>
      </c>
      <c r="I89" t="s">
        <v>5</v>
      </c>
      <c r="J89" t="s">
        <v>6</v>
      </c>
      <c r="K89" t="s">
        <v>4</v>
      </c>
      <c r="L89" t="s">
        <v>298</v>
      </c>
      <c r="M89" t="s">
        <v>298</v>
      </c>
      <c r="N89" s="2">
        <v>971172</v>
      </c>
      <c r="O89" t="s">
        <v>268</v>
      </c>
      <c r="P89" t="s">
        <v>9</v>
      </c>
      <c r="Q89" t="s">
        <v>82</v>
      </c>
      <c r="R89" t="e">
        <f>VLOOKUP(Q89,#REF!,2,FALSE)</f>
        <v>#REF!</v>
      </c>
      <c r="S89">
        <v>1004</v>
      </c>
      <c r="T89" t="s">
        <v>2225</v>
      </c>
      <c r="U89" t="s">
        <v>297</v>
      </c>
      <c r="V89" s="1">
        <v>45473</v>
      </c>
      <c r="W89" s="1">
        <v>45473</v>
      </c>
      <c r="X89" t="s">
        <v>77</v>
      </c>
      <c r="Y89" t="s">
        <v>124</v>
      </c>
      <c r="Z89" t="s">
        <v>6</v>
      </c>
      <c r="AA89" t="s">
        <v>124</v>
      </c>
      <c r="AB89" s="4">
        <f>L89/0.08</f>
        <v>12139650</v>
      </c>
      <c r="AC89" s="6">
        <v>0.1</v>
      </c>
      <c r="AD89" s="4">
        <f>AB89*AC89</f>
        <v>1213965</v>
      </c>
      <c r="AE89" s="4">
        <f t="shared" si="6"/>
        <v>242793</v>
      </c>
    </row>
    <row r="90" spans="1:31" x14ac:dyDescent="0.25">
      <c r="A90" t="s">
        <v>0</v>
      </c>
      <c r="B90" s="3" t="s">
        <v>2219</v>
      </c>
      <c r="C90" t="s">
        <v>294</v>
      </c>
      <c r="D90" t="s">
        <v>69</v>
      </c>
      <c r="E90" t="s">
        <v>125</v>
      </c>
      <c r="F90" s="1">
        <v>45747</v>
      </c>
      <c r="G90" s="1">
        <v>45749</v>
      </c>
      <c r="H90" t="s">
        <v>128</v>
      </c>
      <c r="I90" t="s">
        <v>5</v>
      </c>
      <c r="J90" t="s">
        <v>6</v>
      </c>
      <c r="K90" t="s">
        <v>4</v>
      </c>
      <c r="L90" t="s">
        <v>299</v>
      </c>
      <c r="M90" t="s">
        <v>299</v>
      </c>
      <c r="N90" s="2">
        <v>806762</v>
      </c>
      <c r="O90" t="s">
        <v>268</v>
      </c>
      <c r="P90" t="s">
        <v>9</v>
      </c>
      <c r="Q90" t="s">
        <v>86</v>
      </c>
      <c r="R90" t="e">
        <f>VLOOKUP(Q90,#REF!,2,FALSE)</f>
        <v>#REF!</v>
      </c>
      <c r="S90">
        <v>1004</v>
      </c>
      <c r="T90" t="s">
        <v>2225</v>
      </c>
      <c r="U90" t="s">
        <v>297</v>
      </c>
      <c r="V90" s="1">
        <v>45473</v>
      </c>
      <c r="W90" s="1">
        <v>45473</v>
      </c>
      <c r="X90" t="s">
        <v>77</v>
      </c>
      <c r="Y90" t="s">
        <v>124</v>
      </c>
      <c r="Z90" t="s">
        <v>6</v>
      </c>
      <c r="AA90" t="s">
        <v>124</v>
      </c>
      <c r="AB90" s="4">
        <f>L90/0.03</f>
        <v>26892066.666666668</v>
      </c>
      <c r="AC90" s="6">
        <v>0.04</v>
      </c>
      <c r="AD90" s="4">
        <f>AB90*AC90</f>
        <v>1075682.6666666667</v>
      </c>
      <c r="AE90" s="4">
        <f t="shared" si="6"/>
        <v>268920.66666666674</v>
      </c>
    </row>
    <row r="91" spans="1:31" x14ac:dyDescent="0.25">
      <c r="A91" t="s">
        <v>0</v>
      </c>
      <c r="B91" s="3" t="s">
        <v>2219</v>
      </c>
      <c r="C91" t="s">
        <v>300</v>
      </c>
      <c r="D91" t="s">
        <v>69</v>
      </c>
      <c r="E91" t="s">
        <v>109</v>
      </c>
      <c r="F91" s="1">
        <v>45714</v>
      </c>
      <c r="G91" s="1">
        <v>45714</v>
      </c>
      <c r="H91" t="s">
        <v>301</v>
      </c>
      <c r="I91" t="s">
        <v>5</v>
      </c>
      <c r="J91" t="s">
        <v>6</v>
      </c>
      <c r="K91" t="s">
        <v>4</v>
      </c>
      <c r="L91" t="s">
        <v>302</v>
      </c>
      <c r="M91" t="s">
        <v>302</v>
      </c>
      <c r="N91" s="2">
        <v>951625</v>
      </c>
      <c r="O91" t="s">
        <v>303</v>
      </c>
      <c r="P91" t="s">
        <v>9</v>
      </c>
      <c r="Q91" t="s">
        <v>75</v>
      </c>
      <c r="R91" t="e">
        <f>VLOOKUP(Q91,#REF!,2,FALSE)</f>
        <v>#REF!</v>
      </c>
      <c r="S91">
        <v>1004</v>
      </c>
      <c r="T91" t="s">
        <v>2225</v>
      </c>
      <c r="U91" t="s">
        <v>304</v>
      </c>
      <c r="V91" s="1">
        <v>45473</v>
      </c>
      <c r="W91" s="1">
        <v>45473</v>
      </c>
      <c r="X91" t="s">
        <v>77</v>
      </c>
      <c r="Y91" t="s">
        <v>78</v>
      </c>
      <c r="Z91" t="s">
        <v>6</v>
      </c>
      <c r="AA91" t="s">
        <v>78</v>
      </c>
      <c r="AB91" s="4">
        <f>L91/0.1</f>
        <v>9516250</v>
      </c>
      <c r="AC91" s="5" t="s">
        <v>2215</v>
      </c>
      <c r="AD91" s="4">
        <f>AB91/12</f>
        <v>793020.83333333337</v>
      </c>
      <c r="AE91" s="4">
        <f t="shared" si="6"/>
        <v>-158604.16666666663</v>
      </c>
    </row>
    <row r="92" spans="1:31" x14ac:dyDescent="0.25">
      <c r="A92" t="s">
        <v>0</v>
      </c>
      <c r="B92" s="3" t="s">
        <v>2219</v>
      </c>
      <c r="C92" t="s">
        <v>300</v>
      </c>
      <c r="D92" t="s">
        <v>69</v>
      </c>
      <c r="E92" t="s">
        <v>203</v>
      </c>
      <c r="F92" s="1">
        <v>45747</v>
      </c>
      <c r="G92" s="1">
        <v>45749</v>
      </c>
      <c r="H92" t="s">
        <v>128</v>
      </c>
      <c r="I92" t="s">
        <v>5</v>
      </c>
      <c r="J92" t="s">
        <v>6</v>
      </c>
      <c r="K92" t="s">
        <v>4</v>
      </c>
      <c r="L92" t="s">
        <v>305</v>
      </c>
      <c r="M92" t="s">
        <v>305</v>
      </c>
      <c r="N92" s="2">
        <v>38064</v>
      </c>
      <c r="O92" t="s">
        <v>303</v>
      </c>
      <c r="P92" t="s">
        <v>9</v>
      </c>
      <c r="Q92" t="s">
        <v>86</v>
      </c>
      <c r="R92" t="e">
        <f>VLOOKUP(Q92,#REF!,2,FALSE)</f>
        <v>#REF!</v>
      </c>
      <c r="S92">
        <v>1004</v>
      </c>
      <c r="T92" t="s">
        <v>2225</v>
      </c>
      <c r="U92" t="s">
        <v>304</v>
      </c>
      <c r="V92" s="1">
        <v>45473</v>
      </c>
      <c r="W92" s="1">
        <v>45473</v>
      </c>
      <c r="X92" t="s">
        <v>77</v>
      </c>
      <c r="Y92" t="s">
        <v>78</v>
      </c>
      <c r="Z92" t="s">
        <v>6</v>
      </c>
      <c r="AA92" t="s">
        <v>78</v>
      </c>
      <c r="AB92" s="4">
        <f>L92/0.03</f>
        <v>1268800</v>
      </c>
      <c r="AC92" s="6">
        <v>0.04</v>
      </c>
      <c r="AD92" s="4">
        <f>AB92*AC92</f>
        <v>50752</v>
      </c>
      <c r="AE92" s="4">
        <f t="shared" si="6"/>
        <v>12688</v>
      </c>
    </row>
    <row r="93" spans="1:31" x14ac:dyDescent="0.25">
      <c r="A93" t="s">
        <v>0</v>
      </c>
      <c r="B93" s="3" t="s">
        <v>2219</v>
      </c>
      <c r="C93" t="s">
        <v>306</v>
      </c>
      <c r="D93" t="s">
        <v>69</v>
      </c>
      <c r="E93" t="s">
        <v>109</v>
      </c>
      <c r="F93" s="1">
        <v>45714</v>
      </c>
      <c r="G93" s="1">
        <v>45714</v>
      </c>
      <c r="H93" t="s">
        <v>301</v>
      </c>
      <c r="I93" t="s">
        <v>5</v>
      </c>
      <c r="J93" t="s">
        <v>6</v>
      </c>
      <c r="K93" t="s">
        <v>4</v>
      </c>
      <c r="L93" t="s">
        <v>307</v>
      </c>
      <c r="M93" t="s">
        <v>307</v>
      </c>
      <c r="N93" s="2">
        <v>9235704</v>
      </c>
      <c r="O93" t="s">
        <v>308</v>
      </c>
      <c r="P93" t="s">
        <v>9</v>
      </c>
      <c r="Q93" t="s">
        <v>75</v>
      </c>
      <c r="R93" t="e">
        <f>VLOOKUP(Q93,#REF!,2,FALSE)</f>
        <v>#REF!</v>
      </c>
      <c r="S93">
        <v>1004</v>
      </c>
      <c r="T93" t="s">
        <v>2225</v>
      </c>
      <c r="U93" t="s">
        <v>309</v>
      </c>
      <c r="V93" s="1">
        <v>45473</v>
      </c>
      <c r="W93" s="1">
        <v>45473</v>
      </c>
      <c r="X93" t="s">
        <v>77</v>
      </c>
      <c r="Y93" t="s">
        <v>124</v>
      </c>
      <c r="Z93" t="s">
        <v>6</v>
      </c>
      <c r="AA93" t="s">
        <v>124</v>
      </c>
      <c r="AB93" s="4">
        <f>L93/0.1</f>
        <v>92357040</v>
      </c>
      <c r="AC93" s="5" t="s">
        <v>2215</v>
      </c>
      <c r="AD93" s="4">
        <f>AB93/12</f>
        <v>7696420</v>
      </c>
      <c r="AE93" s="4">
        <f t="shared" si="6"/>
        <v>-1539284</v>
      </c>
    </row>
    <row r="94" spans="1:31" x14ac:dyDescent="0.25">
      <c r="A94" t="s">
        <v>0</v>
      </c>
      <c r="B94" s="3" t="s">
        <v>2219</v>
      </c>
      <c r="C94" t="s">
        <v>306</v>
      </c>
      <c r="D94" t="s">
        <v>69</v>
      </c>
      <c r="E94" t="s">
        <v>203</v>
      </c>
      <c r="F94" s="1">
        <v>45747</v>
      </c>
      <c r="G94" s="1">
        <v>45749</v>
      </c>
      <c r="H94" t="s">
        <v>80</v>
      </c>
      <c r="I94" t="s">
        <v>5</v>
      </c>
      <c r="J94" t="s">
        <v>6</v>
      </c>
      <c r="K94" t="s">
        <v>4</v>
      </c>
      <c r="L94" t="s">
        <v>310</v>
      </c>
      <c r="M94" t="s">
        <v>310</v>
      </c>
      <c r="N94" s="2">
        <v>113090</v>
      </c>
      <c r="O94" t="s">
        <v>308</v>
      </c>
      <c r="P94" t="s">
        <v>9</v>
      </c>
      <c r="Q94" t="s">
        <v>82</v>
      </c>
      <c r="R94" t="e">
        <f>VLOOKUP(Q94,#REF!,2,FALSE)</f>
        <v>#REF!</v>
      </c>
      <c r="S94">
        <v>1004</v>
      </c>
      <c r="T94" t="s">
        <v>2225</v>
      </c>
      <c r="U94" t="s">
        <v>309</v>
      </c>
      <c r="V94" s="1">
        <v>45473</v>
      </c>
      <c r="W94" s="1">
        <v>45473</v>
      </c>
      <c r="X94" t="s">
        <v>77</v>
      </c>
      <c r="Y94" t="s">
        <v>124</v>
      </c>
      <c r="Z94" t="s">
        <v>6</v>
      </c>
      <c r="AA94" t="s">
        <v>124</v>
      </c>
      <c r="AB94" s="4">
        <f>L94/0.08</f>
        <v>1413625</v>
      </c>
      <c r="AC94" s="6">
        <v>0.1</v>
      </c>
      <c r="AD94" s="4">
        <f>AB94*AC94</f>
        <v>141362.5</v>
      </c>
      <c r="AE94" s="4">
        <f t="shared" si="6"/>
        <v>28272.5</v>
      </c>
    </row>
    <row r="95" spans="1:31" x14ac:dyDescent="0.25">
      <c r="A95" t="s">
        <v>0</v>
      </c>
      <c r="B95" s="3" t="s">
        <v>2219</v>
      </c>
      <c r="C95" t="s">
        <v>306</v>
      </c>
      <c r="D95" t="s">
        <v>69</v>
      </c>
      <c r="E95" t="s">
        <v>208</v>
      </c>
      <c r="F95" s="1">
        <v>45747</v>
      </c>
      <c r="G95" s="1">
        <v>45749</v>
      </c>
      <c r="H95" t="s">
        <v>128</v>
      </c>
      <c r="I95" t="s">
        <v>5</v>
      </c>
      <c r="J95" t="s">
        <v>6</v>
      </c>
      <c r="K95" t="s">
        <v>4</v>
      </c>
      <c r="L95" t="s">
        <v>311</v>
      </c>
      <c r="M95" t="s">
        <v>311</v>
      </c>
      <c r="N95" s="2">
        <v>373946</v>
      </c>
      <c r="O95" s="3" t="s">
        <v>308</v>
      </c>
      <c r="P95" t="s">
        <v>9</v>
      </c>
      <c r="Q95" t="s">
        <v>86</v>
      </c>
      <c r="R95" t="e">
        <f>VLOOKUP(Q95,#REF!,2,FALSE)</f>
        <v>#REF!</v>
      </c>
      <c r="S95">
        <v>1004</v>
      </c>
      <c r="T95" t="s">
        <v>2225</v>
      </c>
      <c r="U95" t="s">
        <v>309</v>
      </c>
      <c r="V95" s="1">
        <v>45473</v>
      </c>
      <c r="W95" s="1">
        <v>45473</v>
      </c>
      <c r="X95" t="s">
        <v>77</v>
      </c>
      <c r="Y95" t="s">
        <v>124</v>
      </c>
      <c r="Z95" t="s">
        <v>6</v>
      </c>
      <c r="AA95" t="s">
        <v>124</v>
      </c>
      <c r="AB95" s="4">
        <f>L95/0.03</f>
        <v>12464866.666666668</v>
      </c>
      <c r="AC95" s="6">
        <v>0.04</v>
      </c>
      <c r="AD95" s="4">
        <f>AB95*AC95</f>
        <v>498594.66666666674</v>
      </c>
      <c r="AE95" s="4">
        <f t="shared" si="6"/>
        <v>124648.66666666674</v>
      </c>
    </row>
    <row r="96" spans="1:31" x14ac:dyDescent="0.25">
      <c r="A96" t="s">
        <v>0</v>
      </c>
      <c r="B96" s="3" t="s">
        <v>2219</v>
      </c>
      <c r="C96" t="s">
        <v>312</v>
      </c>
      <c r="D96" t="s">
        <v>69</v>
      </c>
      <c r="E96" t="s">
        <v>203</v>
      </c>
      <c r="F96" s="1">
        <v>45714</v>
      </c>
      <c r="G96" s="1">
        <v>45714</v>
      </c>
      <c r="H96" t="s">
        <v>222</v>
      </c>
      <c r="I96" t="s">
        <v>5</v>
      </c>
      <c r="J96" t="s">
        <v>6</v>
      </c>
      <c r="K96" t="s">
        <v>4</v>
      </c>
      <c r="L96" t="s">
        <v>313</v>
      </c>
      <c r="M96" t="s">
        <v>313</v>
      </c>
      <c r="N96" s="2">
        <v>3040946</v>
      </c>
      <c r="O96" t="s">
        <v>314</v>
      </c>
      <c r="P96" t="s">
        <v>9</v>
      </c>
      <c r="Q96" t="s">
        <v>75</v>
      </c>
      <c r="R96" t="e">
        <f>VLOOKUP(Q96,#REF!,2,FALSE)</f>
        <v>#REF!</v>
      </c>
      <c r="S96">
        <v>1004</v>
      </c>
      <c r="T96" t="s">
        <v>2225</v>
      </c>
      <c r="U96" t="s">
        <v>315</v>
      </c>
      <c r="V96" s="1">
        <v>45473</v>
      </c>
      <c r="W96" s="1">
        <v>45473</v>
      </c>
      <c r="X96" t="s">
        <v>77</v>
      </c>
      <c r="Y96" t="s">
        <v>78</v>
      </c>
      <c r="Z96" t="s">
        <v>6</v>
      </c>
      <c r="AA96" t="s">
        <v>78</v>
      </c>
      <c r="AB96" s="4">
        <f>L96/0.1</f>
        <v>30409460</v>
      </c>
      <c r="AC96" s="5" t="s">
        <v>2215</v>
      </c>
      <c r="AD96" s="4">
        <f>AB96/12</f>
        <v>2534121.6666666665</v>
      </c>
      <c r="AE96" s="4">
        <f t="shared" si="6"/>
        <v>-506824.33333333349</v>
      </c>
    </row>
    <row r="97" spans="1:31" x14ac:dyDescent="0.25">
      <c r="A97" t="s">
        <v>0</v>
      </c>
      <c r="B97" s="3" t="s">
        <v>2219</v>
      </c>
      <c r="C97" t="s">
        <v>312</v>
      </c>
      <c r="D97" t="s">
        <v>69</v>
      </c>
      <c r="E97" t="s">
        <v>208</v>
      </c>
      <c r="F97" s="1">
        <v>45747</v>
      </c>
      <c r="G97" s="1">
        <v>45749</v>
      </c>
      <c r="H97" t="s">
        <v>80</v>
      </c>
      <c r="I97" t="s">
        <v>5</v>
      </c>
      <c r="J97" t="s">
        <v>6</v>
      </c>
      <c r="K97" t="s">
        <v>4</v>
      </c>
      <c r="L97" t="s">
        <v>316</v>
      </c>
      <c r="M97" t="s">
        <v>316</v>
      </c>
      <c r="N97" s="2">
        <v>57181</v>
      </c>
      <c r="O97" t="s">
        <v>314</v>
      </c>
      <c r="P97" t="s">
        <v>9</v>
      </c>
      <c r="Q97" t="s">
        <v>82</v>
      </c>
      <c r="R97" t="e">
        <f>VLOOKUP(Q97,#REF!,2,FALSE)</f>
        <v>#REF!</v>
      </c>
      <c r="S97">
        <v>1004</v>
      </c>
      <c r="T97" t="s">
        <v>2225</v>
      </c>
      <c r="U97" t="s">
        <v>315</v>
      </c>
      <c r="V97" s="1">
        <v>45473</v>
      </c>
      <c r="W97" s="1">
        <v>45473</v>
      </c>
      <c r="X97" t="s">
        <v>77</v>
      </c>
      <c r="Y97" t="s">
        <v>78</v>
      </c>
      <c r="Z97" t="s">
        <v>6</v>
      </c>
      <c r="AA97" t="s">
        <v>78</v>
      </c>
      <c r="AB97" s="4">
        <f>L97/0.08</f>
        <v>714762.5</v>
      </c>
      <c r="AC97" s="6">
        <v>0.1</v>
      </c>
      <c r="AD97" s="4">
        <f>AB97*AC97</f>
        <v>71476.25</v>
      </c>
      <c r="AE97" s="4">
        <f t="shared" si="6"/>
        <v>14295.25</v>
      </c>
    </row>
    <row r="98" spans="1:31" x14ac:dyDescent="0.25">
      <c r="A98" t="s">
        <v>0</v>
      </c>
      <c r="B98" s="3" t="s">
        <v>2219</v>
      </c>
      <c r="C98" t="s">
        <v>312</v>
      </c>
      <c r="D98" t="s">
        <v>69</v>
      </c>
      <c r="E98" t="s">
        <v>67</v>
      </c>
      <c r="F98" s="1">
        <v>45747</v>
      </c>
      <c r="G98" s="1">
        <v>45749</v>
      </c>
      <c r="H98" t="s">
        <v>128</v>
      </c>
      <c r="I98" t="s">
        <v>5</v>
      </c>
      <c r="J98" t="s">
        <v>6</v>
      </c>
      <c r="K98" t="s">
        <v>4</v>
      </c>
      <c r="L98" t="s">
        <v>317</v>
      </c>
      <c r="M98" t="s">
        <v>317</v>
      </c>
      <c r="N98" s="2">
        <v>123926</v>
      </c>
      <c r="O98" t="s">
        <v>314</v>
      </c>
      <c r="P98" t="s">
        <v>9</v>
      </c>
      <c r="Q98" t="s">
        <v>86</v>
      </c>
      <c r="R98" t="e">
        <f>VLOOKUP(Q98,#REF!,2,FALSE)</f>
        <v>#REF!</v>
      </c>
      <c r="S98">
        <v>1004</v>
      </c>
      <c r="T98" t="s">
        <v>2225</v>
      </c>
      <c r="U98" t="s">
        <v>315</v>
      </c>
      <c r="V98" s="1">
        <v>45473</v>
      </c>
      <c r="W98" s="1">
        <v>45473</v>
      </c>
      <c r="X98" t="s">
        <v>77</v>
      </c>
      <c r="Y98" t="s">
        <v>78</v>
      </c>
      <c r="Z98" t="s">
        <v>6</v>
      </c>
      <c r="AA98" t="s">
        <v>78</v>
      </c>
      <c r="AB98" s="4">
        <f>L98/0.03</f>
        <v>4130866.666666667</v>
      </c>
      <c r="AC98" s="6">
        <v>0.04</v>
      </c>
      <c r="AD98" s="4">
        <f>AB98*AC98</f>
        <v>165234.66666666669</v>
      </c>
      <c r="AE98" s="4">
        <f t="shared" si="6"/>
        <v>41308.666666666686</v>
      </c>
    </row>
    <row r="99" spans="1:31" x14ac:dyDescent="0.25">
      <c r="A99" t="s">
        <v>0</v>
      </c>
      <c r="B99" s="3" t="s">
        <v>2219</v>
      </c>
      <c r="C99" t="s">
        <v>318</v>
      </c>
      <c r="D99" t="s">
        <v>69</v>
      </c>
      <c r="E99" t="s">
        <v>203</v>
      </c>
      <c r="F99" s="1">
        <v>45714</v>
      </c>
      <c r="G99" s="1">
        <v>45714</v>
      </c>
      <c r="H99" t="s">
        <v>319</v>
      </c>
      <c r="I99" t="s">
        <v>5</v>
      </c>
      <c r="J99" t="s">
        <v>6</v>
      </c>
      <c r="K99" t="s">
        <v>4</v>
      </c>
      <c r="L99" t="s">
        <v>320</v>
      </c>
      <c r="M99" t="s">
        <v>320</v>
      </c>
      <c r="N99" s="2">
        <v>315521</v>
      </c>
      <c r="O99" t="s">
        <v>321</v>
      </c>
      <c r="P99" t="s">
        <v>9</v>
      </c>
      <c r="Q99" t="s">
        <v>75</v>
      </c>
      <c r="R99" t="e">
        <f>VLOOKUP(Q99,#REF!,2,FALSE)</f>
        <v>#REF!</v>
      </c>
      <c r="S99">
        <v>1004</v>
      </c>
      <c r="T99" t="s">
        <v>2225</v>
      </c>
      <c r="U99" t="s">
        <v>322</v>
      </c>
      <c r="V99" s="1">
        <v>45473</v>
      </c>
      <c r="W99" s="1">
        <v>45473</v>
      </c>
      <c r="X99" t="s">
        <v>77</v>
      </c>
      <c r="Y99" t="s">
        <v>78</v>
      </c>
      <c r="Z99" t="s">
        <v>6</v>
      </c>
      <c r="AA99" t="s">
        <v>78</v>
      </c>
      <c r="AB99" s="4">
        <f>L99/0.1</f>
        <v>3155210</v>
      </c>
      <c r="AC99" s="5" t="s">
        <v>2215</v>
      </c>
      <c r="AD99" s="4">
        <f>AB99/12</f>
        <v>262934.16666666669</v>
      </c>
      <c r="AE99" s="4">
        <f t="shared" si="6"/>
        <v>-52586.833333333314</v>
      </c>
    </row>
    <row r="100" spans="1:31" x14ac:dyDescent="0.25">
      <c r="A100" t="s">
        <v>0</v>
      </c>
      <c r="B100" s="3" t="s">
        <v>2219</v>
      </c>
      <c r="C100" t="s">
        <v>318</v>
      </c>
      <c r="D100" t="s">
        <v>69</v>
      </c>
      <c r="E100" t="s">
        <v>208</v>
      </c>
      <c r="F100" s="1">
        <v>45747</v>
      </c>
      <c r="G100" s="1">
        <v>45749</v>
      </c>
      <c r="H100" t="s">
        <v>128</v>
      </c>
      <c r="I100" t="s">
        <v>5</v>
      </c>
      <c r="J100" t="s">
        <v>6</v>
      </c>
      <c r="K100" t="s">
        <v>4</v>
      </c>
      <c r="L100" t="s">
        <v>323</v>
      </c>
      <c r="M100" t="s">
        <v>323</v>
      </c>
      <c r="N100" s="2">
        <v>12622</v>
      </c>
      <c r="O100" t="s">
        <v>321</v>
      </c>
      <c r="P100" t="s">
        <v>9</v>
      </c>
      <c r="Q100" t="s">
        <v>86</v>
      </c>
      <c r="R100" t="e">
        <f>VLOOKUP(Q100,#REF!,2,FALSE)</f>
        <v>#REF!</v>
      </c>
      <c r="S100">
        <v>1004</v>
      </c>
      <c r="T100" t="s">
        <v>2225</v>
      </c>
      <c r="U100" t="s">
        <v>322</v>
      </c>
      <c r="V100" s="1">
        <v>45473</v>
      </c>
      <c r="W100" s="1">
        <v>45473</v>
      </c>
      <c r="X100" t="s">
        <v>77</v>
      </c>
      <c r="Y100" t="s">
        <v>78</v>
      </c>
      <c r="Z100" t="s">
        <v>6</v>
      </c>
      <c r="AA100" t="s">
        <v>78</v>
      </c>
      <c r="AB100" s="4">
        <f>L100/0.03</f>
        <v>420733.33333333337</v>
      </c>
      <c r="AC100" s="6">
        <v>0.04</v>
      </c>
      <c r="AD100" s="4">
        <f>AB100*AC100</f>
        <v>16829.333333333336</v>
      </c>
      <c r="AE100" s="4">
        <f t="shared" si="6"/>
        <v>4207.3333333333358</v>
      </c>
    </row>
    <row r="101" spans="1:31" x14ac:dyDescent="0.25">
      <c r="A101" t="s">
        <v>0</v>
      </c>
      <c r="B101" s="3" t="s">
        <v>2219</v>
      </c>
      <c r="C101" t="s">
        <v>324</v>
      </c>
      <c r="D101" t="s">
        <v>69</v>
      </c>
      <c r="E101" t="s">
        <v>43</v>
      </c>
      <c r="F101" s="1">
        <v>45714</v>
      </c>
      <c r="G101" s="1">
        <v>45714</v>
      </c>
      <c r="H101" t="s">
        <v>325</v>
      </c>
      <c r="I101" t="s">
        <v>5</v>
      </c>
      <c r="J101" t="s">
        <v>6</v>
      </c>
      <c r="K101" t="s">
        <v>4</v>
      </c>
      <c r="L101" t="s">
        <v>326</v>
      </c>
      <c r="M101" t="s">
        <v>326</v>
      </c>
      <c r="N101" s="2">
        <v>368358</v>
      </c>
      <c r="O101" t="s">
        <v>327</v>
      </c>
      <c r="P101" t="s">
        <v>9</v>
      </c>
      <c r="Q101" t="s">
        <v>75</v>
      </c>
      <c r="R101" t="e">
        <f>VLOOKUP(Q101,#REF!,2,FALSE)</f>
        <v>#REF!</v>
      </c>
      <c r="S101">
        <v>1015</v>
      </c>
      <c r="T101" t="s">
        <v>2226</v>
      </c>
      <c r="U101" t="s">
        <v>328</v>
      </c>
      <c r="V101" s="1">
        <v>45473</v>
      </c>
      <c r="W101" s="1">
        <v>45473</v>
      </c>
      <c r="X101" t="s">
        <v>77</v>
      </c>
      <c r="Y101" t="s">
        <v>78</v>
      </c>
      <c r="Z101" t="s">
        <v>6</v>
      </c>
      <c r="AA101" t="s">
        <v>78</v>
      </c>
      <c r="AB101" s="4">
        <f>L101/0.1</f>
        <v>3683580</v>
      </c>
      <c r="AC101" s="5" t="s">
        <v>2215</v>
      </c>
      <c r="AD101" s="4">
        <f>AB101/12</f>
        <v>306965</v>
      </c>
      <c r="AE101" s="4">
        <f t="shared" si="6"/>
        <v>-61393</v>
      </c>
    </row>
    <row r="102" spans="1:31" x14ac:dyDescent="0.25">
      <c r="A102" t="s">
        <v>0</v>
      </c>
      <c r="B102" s="3" t="s">
        <v>2219</v>
      </c>
      <c r="C102" t="s">
        <v>324</v>
      </c>
      <c r="D102" t="s">
        <v>69</v>
      </c>
      <c r="E102" t="s">
        <v>104</v>
      </c>
      <c r="F102" s="1">
        <v>45747</v>
      </c>
      <c r="G102" s="1">
        <v>45749</v>
      </c>
      <c r="H102" t="s">
        <v>128</v>
      </c>
      <c r="I102" t="s">
        <v>5</v>
      </c>
      <c r="J102" t="s">
        <v>6</v>
      </c>
      <c r="K102" t="s">
        <v>4</v>
      </c>
      <c r="L102" t="s">
        <v>329</v>
      </c>
      <c r="M102" t="s">
        <v>329</v>
      </c>
      <c r="N102" s="2">
        <v>14734</v>
      </c>
      <c r="O102" t="s">
        <v>327</v>
      </c>
      <c r="P102" t="s">
        <v>9</v>
      </c>
      <c r="Q102" t="s">
        <v>86</v>
      </c>
      <c r="R102" t="e">
        <f>VLOOKUP(Q102,#REF!,2,FALSE)</f>
        <v>#REF!</v>
      </c>
      <c r="S102">
        <v>1015</v>
      </c>
      <c r="T102" t="s">
        <v>2226</v>
      </c>
      <c r="U102" t="s">
        <v>328</v>
      </c>
      <c r="V102" s="1">
        <v>45473</v>
      </c>
      <c r="W102" s="1">
        <v>45473</v>
      </c>
      <c r="X102" t="s">
        <v>77</v>
      </c>
      <c r="Y102" t="s">
        <v>78</v>
      </c>
      <c r="Z102" t="s">
        <v>6</v>
      </c>
      <c r="AA102" t="s">
        <v>78</v>
      </c>
      <c r="AB102" s="4">
        <f>L102/0.03</f>
        <v>491133.33333333337</v>
      </c>
      <c r="AC102" s="6">
        <v>0.04</v>
      </c>
      <c r="AD102" s="4">
        <f>AB102*AC102</f>
        <v>19645.333333333336</v>
      </c>
      <c r="AE102" s="4">
        <f t="shared" si="6"/>
        <v>4911.3333333333358</v>
      </c>
    </row>
    <row r="103" spans="1:31" x14ac:dyDescent="0.25">
      <c r="A103" t="s">
        <v>0</v>
      </c>
      <c r="B103" s="3" t="s">
        <v>2219</v>
      </c>
      <c r="C103" t="s">
        <v>330</v>
      </c>
      <c r="D103" t="s">
        <v>69</v>
      </c>
      <c r="E103" t="s">
        <v>331</v>
      </c>
      <c r="F103" s="1">
        <v>45699</v>
      </c>
      <c r="G103" s="1">
        <v>45699</v>
      </c>
      <c r="H103" t="s">
        <v>332</v>
      </c>
      <c r="I103" t="s">
        <v>5</v>
      </c>
      <c r="J103" t="s">
        <v>6</v>
      </c>
      <c r="K103" t="s">
        <v>4</v>
      </c>
      <c r="L103" t="s">
        <v>333</v>
      </c>
      <c r="M103" t="s">
        <v>333</v>
      </c>
      <c r="N103" s="2">
        <v>2121307</v>
      </c>
      <c r="O103" t="s">
        <v>334</v>
      </c>
      <c r="P103" t="s">
        <v>9</v>
      </c>
      <c r="Q103" t="s">
        <v>75</v>
      </c>
      <c r="R103" t="e">
        <f>VLOOKUP(Q103,#REF!,2,FALSE)</f>
        <v>#REF!</v>
      </c>
      <c r="S103">
        <v>1015</v>
      </c>
      <c r="T103" t="s">
        <v>2226</v>
      </c>
      <c r="U103" t="s">
        <v>335</v>
      </c>
      <c r="V103" s="1">
        <v>45504</v>
      </c>
      <c r="W103" s="1">
        <v>45504</v>
      </c>
      <c r="X103" t="s">
        <v>77</v>
      </c>
      <c r="Y103" t="s">
        <v>263</v>
      </c>
      <c r="Z103" t="s">
        <v>6</v>
      </c>
      <c r="AA103" t="s">
        <v>263</v>
      </c>
      <c r="AB103" s="4">
        <f>L103/0.1</f>
        <v>21213070</v>
      </c>
      <c r="AC103" s="5" t="s">
        <v>2215</v>
      </c>
      <c r="AD103" s="4">
        <f>AB103/12</f>
        <v>1767755.8333333333</v>
      </c>
      <c r="AE103" s="4">
        <f t="shared" si="6"/>
        <v>-353551.16666666674</v>
      </c>
    </row>
    <row r="104" spans="1:31" x14ac:dyDescent="0.25">
      <c r="A104" t="s">
        <v>0</v>
      </c>
      <c r="B104" s="3" t="s">
        <v>2219</v>
      </c>
      <c r="C104" t="s">
        <v>330</v>
      </c>
      <c r="D104" t="s">
        <v>69</v>
      </c>
      <c r="E104" t="s">
        <v>336</v>
      </c>
      <c r="F104" s="1">
        <v>45723</v>
      </c>
      <c r="G104" s="1">
        <v>45724</v>
      </c>
      <c r="H104" t="s">
        <v>337</v>
      </c>
      <c r="I104" t="s">
        <v>5</v>
      </c>
      <c r="J104" t="s">
        <v>6</v>
      </c>
      <c r="K104" t="s">
        <v>4</v>
      </c>
      <c r="L104" t="s">
        <v>338</v>
      </c>
      <c r="M104" t="s">
        <v>338</v>
      </c>
      <c r="N104" s="2">
        <v>12932</v>
      </c>
      <c r="O104" t="s">
        <v>334</v>
      </c>
      <c r="P104" t="s">
        <v>9</v>
      </c>
      <c r="Q104" t="s">
        <v>82</v>
      </c>
      <c r="R104" t="e">
        <f>VLOOKUP(Q104,#REF!,2,FALSE)</f>
        <v>#REF!</v>
      </c>
      <c r="S104">
        <v>1015</v>
      </c>
      <c r="T104" t="s">
        <v>2226</v>
      </c>
      <c r="U104" t="s">
        <v>335</v>
      </c>
      <c r="V104" s="1">
        <v>45504</v>
      </c>
      <c r="W104" s="1">
        <v>45504</v>
      </c>
      <c r="X104" t="s">
        <v>77</v>
      </c>
      <c r="Y104" t="s">
        <v>263</v>
      </c>
      <c r="Z104" t="s">
        <v>6</v>
      </c>
      <c r="AA104" t="s">
        <v>263</v>
      </c>
      <c r="AB104" s="4">
        <f>L104/0.08</f>
        <v>161650</v>
      </c>
      <c r="AC104" s="6">
        <v>0.1</v>
      </c>
      <c r="AD104" s="4">
        <f>AB104*AC104</f>
        <v>16165</v>
      </c>
      <c r="AE104" s="4">
        <f t="shared" si="6"/>
        <v>3233</v>
      </c>
    </row>
    <row r="105" spans="1:31" x14ac:dyDescent="0.25">
      <c r="A105" t="s">
        <v>0</v>
      </c>
      <c r="B105" s="3" t="s">
        <v>2219</v>
      </c>
      <c r="C105" t="s">
        <v>330</v>
      </c>
      <c r="D105" t="s">
        <v>69</v>
      </c>
      <c r="E105" t="s">
        <v>339</v>
      </c>
      <c r="F105" s="1">
        <v>45723</v>
      </c>
      <c r="G105" s="1">
        <v>45724</v>
      </c>
      <c r="H105" t="s">
        <v>337</v>
      </c>
      <c r="I105" t="s">
        <v>5</v>
      </c>
      <c r="J105" t="s">
        <v>6</v>
      </c>
      <c r="K105" t="s">
        <v>4</v>
      </c>
      <c r="L105" t="s">
        <v>340</v>
      </c>
      <c r="M105" t="s">
        <v>340</v>
      </c>
      <c r="N105" s="2">
        <v>85368</v>
      </c>
      <c r="O105" t="s">
        <v>334</v>
      </c>
      <c r="P105" t="s">
        <v>9</v>
      </c>
      <c r="Q105" t="s">
        <v>86</v>
      </c>
      <c r="R105" t="e">
        <f>VLOOKUP(Q105,#REF!,2,FALSE)</f>
        <v>#REF!</v>
      </c>
      <c r="S105">
        <v>1015</v>
      </c>
      <c r="T105" t="s">
        <v>2226</v>
      </c>
      <c r="U105" t="s">
        <v>335</v>
      </c>
      <c r="V105" s="1">
        <v>45504</v>
      </c>
      <c r="W105" s="1">
        <v>45504</v>
      </c>
      <c r="X105" t="s">
        <v>77</v>
      </c>
      <c r="Y105" t="s">
        <v>263</v>
      </c>
      <c r="Z105" t="s">
        <v>6</v>
      </c>
      <c r="AA105" t="s">
        <v>263</v>
      </c>
      <c r="AB105" s="4">
        <f>L105/0.03</f>
        <v>2845600</v>
      </c>
      <c r="AC105" s="6">
        <v>0.04</v>
      </c>
      <c r="AD105" s="4">
        <f>AB105*AC105</f>
        <v>113824</v>
      </c>
      <c r="AE105" s="4">
        <f t="shared" si="6"/>
        <v>28456</v>
      </c>
    </row>
    <row r="106" spans="1:31" x14ac:dyDescent="0.25">
      <c r="A106" t="s">
        <v>0</v>
      </c>
      <c r="B106" s="3" t="s">
        <v>2219</v>
      </c>
      <c r="C106" t="s">
        <v>341</v>
      </c>
      <c r="D106" t="s">
        <v>69</v>
      </c>
      <c r="E106" t="s">
        <v>67</v>
      </c>
      <c r="F106" s="1">
        <v>45510</v>
      </c>
      <c r="G106" s="1">
        <v>45511</v>
      </c>
      <c r="H106" t="s">
        <v>342</v>
      </c>
      <c r="I106" t="s">
        <v>5</v>
      </c>
      <c r="J106" t="s">
        <v>6</v>
      </c>
      <c r="K106" t="s">
        <v>4</v>
      </c>
      <c r="L106" t="s">
        <v>343</v>
      </c>
      <c r="M106" t="s">
        <v>343</v>
      </c>
      <c r="N106" s="2">
        <v>2049748</v>
      </c>
      <c r="O106" t="s">
        <v>344</v>
      </c>
      <c r="P106" t="s">
        <v>9</v>
      </c>
      <c r="Q106" t="s">
        <v>75</v>
      </c>
      <c r="R106" t="e">
        <f>VLOOKUP(Q106,#REF!,2,FALSE)</f>
        <v>#REF!</v>
      </c>
      <c r="S106">
        <v>1511</v>
      </c>
      <c r="T106" t="s">
        <v>2224</v>
      </c>
      <c r="U106" t="s">
        <v>345</v>
      </c>
      <c r="V106" s="1">
        <v>45504</v>
      </c>
      <c r="W106" s="1">
        <v>45504</v>
      </c>
      <c r="X106" t="s">
        <v>77</v>
      </c>
      <c r="Y106" t="s">
        <v>78</v>
      </c>
      <c r="Z106" t="s">
        <v>6</v>
      </c>
      <c r="AA106" t="s">
        <v>78</v>
      </c>
      <c r="AB106" s="4">
        <f>L106/0.1</f>
        <v>20497480</v>
      </c>
      <c r="AC106" s="5" t="s">
        <v>2215</v>
      </c>
      <c r="AD106" s="4">
        <f>AB106/12</f>
        <v>1708123.3333333333</v>
      </c>
      <c r="AE106" s="4">
        <f t="shared" si="6"/>
        <v>-341624.66666666674</v>
      </c>
    </row>
    <row r="107" spans="1:31" x14ac:dyDescent="0.25">
      <c r="A107" t="s">
        <v>0</v>
      </c>
      <c r="B107" s="3" t="s">
        <v>2219</v>
      </c>
      <c r="C107" t="s">
        <v>341</v>
      </c>
      <c r="D107" t="s">
        <v>69</v>
      </c>
      <c r="E107" t="s">
        <v>227</v>
      </c>
      <c r="F107" s="1">
        <v>45510</v>
      </c>
      <c r="G107" s="1">
        <v>45511</v>
      </c>
      <c r="H107" t="s">
        <v>342</v>
      </c>
      <c r="I107" t="s">
        <v>5</v>
      </c>
      <c r="J107" t="s">
        <v>6</v>
      </c>
      <c r="K107" t="s">
        <v>4</v>
      </c>
      <c r="L107" t="s">
        <v>346</v>
      </c>
      <c r="M107" t="s">
        <v>346</v>
      </c>
      <c r="N107" s="2">
        <v>13931</v>
      </c>
      <c r="O107" t="s">
        <v>344</v>
      </c>
      <c r="P107" t="s">
        <v>9</v>
      </c>
      <c r="Q107" t="s">
        <v>82</v>
      </c>
      <c r="R107" t="e">
        <f>VLOOKUP(Q107,#REF!,2,FALSE)</f>
        <v>#REF!</v>
      </c>
      <c r="S107">
        <v>1511</v>
      </c>
      <c r="T107" t="s">
        <v>2224</v>
      </c>
      <c r="U107" t="s">
        <v>345</v>
      </c>
      <c r="V107" s="1">
        <v>45504</v>
      </c>
      <c r="W107" s="1">
        <v>45504</v>
      </c>
      <c r="X107" t="s">
        <v>77</v>
      </c>
      <c r="Y107" t="s">
        <v>78</v>
      </c>
      <c r="Z107" t="s">
        <v>6</v>
      </c>
      <c r="AA107" t="s">
        <v>78</v>
      </c>
      <c r="AB107" s="4">
        <f>L107/0.08</f>
        <v>174137.5</v>
      </c>
      <c r="AC107" s="6">
        <v>0.1</v>
      </c>
      <c r="AD107" s="4">
        <f>AB107*AC107</f>
        <v>17413.75</v>
      </c>
      <c r="AE107" s="4">
        <f t="shared" si="6"/>
        <v>3482.75</v>
      </c>
    </row>
    <row r="108" spans="1:31" x14ac:dyDescent="0.25">
      <c r="A108" t="s">
        <v>0</v>
      </c>
      <c r="B108" s="3" t="s">
        <v>2219</v>
      </c>
      <c r="C108" t="s">
        <v>341</v>
      </c>
      <c r="D108" t="s">
        <v>69</v>
      </c>
      <c r="E108" t="s">
        <v>143</v>
      </c>
      <c r="F108" s="1">
        <v>45510</v>
      </c>
      <c r="G108" s="1">
        <v>45511</v>
      </c>
      <c r="H108" t="s">
        <v>342</v>
      </c>
      <c r="I108" t="s">
        <v>5</v>
      </c>
      <c r="J108" t="s">
        <v>6</v>
      </c>
      <c r="K108" t="s">
        <v>4</v>
      </c>
      <c r="L108" t="s">
        <v>347</v>
      </c>
      <c r="M108" t="s">
        <v>347</v>
      </c>
      <c r="N108" s="2">
        <v>82544</v>
      </c>
      <c r="O108" t="s">
        <v>344</v>
      </c>
      <c r="P108" t="s">
        <v>9</v>
      </c>
      <c r="Q108" t="s">
        <v>86</v>
      </c>
      <c r="R108" t="e">
        <f>VLOOKUP(Q108,#REF!,2,FALSE)</f>
        <v>#REF!</v>
      </c>
      <c r="S108">
        <v>1511</v>
      </c>
      <c r="T108" t="s">
        <v>2224</v>
      </c>
      <c r="U108" t="s">
        <v>345</v>
      </c>
      <c r="V108" s="1">
        <v>45504</v>
      </c>
      <c r="W108" s="1">
        <v>45504</v>
      </c>
      <c r="X108" t="s">
        <v>77</v>
      </c>
      <c r="Y108" t="s">
        <v>78</v>
      </c>
      <c r="Z108" t="s">
        <v>6</v>
      </c>
      <c r="AA108" t="s">
        <v>78</v>
      </c>
      <c r="AB108" s="4">
        <f>L108/0.03</f>
        <v>2751466.666666667</v>
      </c>
      <c r="AC108" s="6">
        <v>0.04</v>
      </c>
      <c r="AD108" s="4">
        <f>AB108*AC108</f>
        <v>110058.66666666669</v>
      </c>
      <c r="AE108" s="4">
        <f t="shared" si="6"/>
        <v>27514.666666666686</v>
      </c>
    </row>
    <row r="109" spans="1:31" x14ac:dyDescent="0.25">
      <c r="A109" t="s">
        <v>0</v>
      </c>
      <c r="B109" s="3" t="s">
        <v>2219</v>
      </c>
      <c r="C109" t="s">
        <v>348</v>
      </c>
      <c r="D109" t="s">
        <v>69</v>
      </c>
      <c r="E109" t="s">
        <v>83</v>
      </c>
      <c r="F109" s="1">
        <v>45556</v>
      </c>
      <c r="G109" s="1">
        <v>45556</v>
      </c>
      <c r="H109" t="s">
        <v>72</v>
      </c>
      <c r="I109" t="s">
        <v>5</v>
      </c>
      <c r="J109" t="s">
        <v>6</v>
      </c>
      <c r="K109" t="s">
        <v>4</v>
      </c>
      <c r="L109" t="s">
        <v>349</v>
      </c>
      <c r="M109" t="s">
        <v>349</v>
      </c>
      <c r="N109" s="2">
        <v>2345737</v>
      </c>
      <c r="O109" t="s">
        <v>350</v>
      </c>
      <c r="P109" t="s">
        <v>9</v>
      </c>
      <c r="Q109" t="s">
        <v>75</v>
      </c>
      <c r="R109" t="e">
        <f>VLOOKUP(Q109,#REF!,2,FALSE)</f>
        <v>#REF!</v>
      </c>
      <c r="S109">
        <v>1511</v>
      </c>
      <c r="T109" t="s">
        <v>2224</v>
      </c>
      <c r="U109" t="s">
        <v>351</v>
      </c>
      <c r="V109" s="1">
        <v>45504</v>
      </c>
      <c r="W109" s="1">
        <v>45504</v>
      </c>
      <c r="X109" t="s">
        <v>77</v>
      </c>
      <c r="Y109" t="s">
        <v>78</v>
      </c>
      <c r="Z109" t="s">
        <v>6</v>
      </c>
      <c r="AA109" t="s">
        <v>78</v>
      </c>
      <c r="AB109" s="4">
        <f>L109/0.1</f>
        <v>23457370</v>
      </c>
      <c r="AC109" s="5" t="s">
        <v>2215</v>
      </c>
      <c r="AD109" s="4">
        <f>AB109/12</f>
        <v>1954780.8333333333</v>
      </c>
      <c r="AE109" s="4">
        <f t="shared" si="6"/>
        <v>-390956.16666666674</v>
      </c>
    </row>
    <row r="110" spans="1:31" x14ac:dyDescent="0.25">
      <c r="A110" t="s">
        <v>0</v>
      </c>
      <c r="B110" s="3" t="s">
        <v>2219</v>
      </c>
      <c r="C110" t="s">
        <v>348</v>
      </c>
      <c r="D110" t="s">
        <v>69</v>
      </c>
      <c r="E110" t="s">
        <v>189</v>
      </c>
      <c r="F110" s="1">
        <v>45747</v>
      </c>
      <c r="G110" s="1">
        <v>45749</v>
      </c>
      <c r="H110" t="s">
        <v>80</v>
      </c>
      <c r="I110" t="s">
        <v>5</v>
      </c>
      <c r="J110" t="s">
        <v>6</v>
      </c>
      <c r="K110" t="s">
        <v>4</v>
      </c>
      <c r="L110" t="s">
        <v>352</v>
      </c>
      <c r="M110" t="s">
        <v>352</v>
      </c>
      <c r="N110" s="2">
        <v>10386</v>
      </c>
      <c r="O110" t="s">
        <v>350</v>
      </c>
      <c r="P110" t="s">
        <v>9</v>
      </c>
      <c r="Q110" t="s">
        <v>82</v>
      </c>
      <c r="R110" t="e">
        <f>VLOOKUP(Q110,#REF!,2,FALSE)</f>
        <v>#REF!</v>
      </c>
      <c r="S110">
        <v>1511</v>
      </c>
      <c r="T110" t="s">
        <v>2224</v>
      </c>
      <c r="U110" t="s">
        <v>351</v>
      </c>
      <c r="V110" s="1">
        <v>45504</v>
      </c>
      <c r="W110" s="1">
        <v>45504</v>
      </c>
      <c r="X110" t="s">
        <v>77</v>
      </c>
      <c r="Y110" t="s">
        <v>78</v>
      </c>
      <c r="Z110" t="s">
        <v>6</v>
      </c>
      <c r="AA110" t="s">
        <v>78</v>
      </c>
      <c r="AB110" s="4">
        <f>L110/0.08</f>
        <v>129825</v>
      </c>
      <c r="AC110" s="6">
        <v>0.1</v>
      </c>
      <c r="AD110" s="4">
        <f>AB110*AC110</f>
        <v>12982.5</v>
      </c>
      <c r="AE110" s="4">
        <f t="shared" si="6"/>
        <v>2596.5</v>
      </c>
    </row>
    <row r="111" spans="1:31" x14ac:dyDescent="0.25">
      <c r="A111" t="s">
        <v>0</v>
      </c>
      <c r="B111" s="3" t="s">
        <v>2219</v>
      </c>
      <c r="C111" t="s">
        <v>348</v>
      </c>
      <c r="D111" t="s">
        <v>69</v>
      </c>
      <c r="E111" t="s">
        <v>191</v>
      </c>
      <c r="F111" s="1">
        <v>45553</v>
      </c>
      <c r="G111" s="1">
        <v>45553</v>
      </c>
      <c r="H111" t="s">
        <v>84</v>
      </c>
      <c r="I111" t="s">
        <v>5</v>
      </c>
      <c r="J111" t="s">
        <v>6</v>
      </c>
      <c r="K111" t="s">
        <v>4</v>
      </c>
      <c r="L111" t="s">
        <v>353</v>
      </c>
      <c r="M111" t="s">
        <v>353</v>
      </c>
      <c r="N111" s="2">
        <v>94239</v>
      </c>
      <c r="O111" t="s">
        <v>350</v>
      </c>
      <c r="P111" t="s">
        <v>9</v>
      </c>
      <c r="Q111" t="s">
        <v>86</v>
      </c>
      <c r="R111" t="e">
        <f>VLOOKUP(Q111,#REF!,2,FALSE)</f>
        <v>#REF!</v>
      </c>
      <c r="S111">
        <v>1511</v>
      </c>
      <c r="T111" t="s">
        <v>2224</v>
      </c>
      <c r="U111" t="s">
        <v>351</v>
      </c>
      <c r="V111" s="1">
        <v>45504</v>
      </c>
      <c r="W111" s="1">
        <v>45504</v>
      </c>
      <c r="X111" t="s">
        <v>77</v>
      </c>
      <c r="Y111" t="s">
        <v>78</v>
      </c>
      <c r="Z111" t="s">
        <v>6</v>
      </c>
      <c r="AA111" t="s">
        <v>78</v>
      </c>
      <c r="AB111" s="4">
        <f>L111/0.03</f>
        <v>3141300</v>
      </c>
      <c r="AC111" s="6">
        <v>0.04</v>
      </c>
      <c r="AD111" s="4">
        <f>AB111*AC111</f>
        <v>125652</v>
      </c>
      <c r="AE111" s="4">
        <f t="shared" si="6"/>
        <v>31413</v>
      </c>
    </row>
    <row r="112" spans="1:31" x14ac:dyDescent="0.25">
      <c r="A112" t="s">
        <v>0</v>
      </c>
      <c r="B112" s="3" t="s">
        <v>2219</v>
      </c>
      <c r="C112" t="s">
        <v>354</v>
      </c>
      <c r="D112" t="s">
        <v>69</v>
      </c>
      <c r="E112" t="s">
        <v>200</v>
      </c>
      <c r="F112" s="1">
        <v>45556</v>
      </c>
      <c r="G112" s="1">
        <v>45556</v>
      </c>
      <c r="H112" t="s">
        <v>72</v>
      </c>
      <c r="I112" t="s">
        <v>5</v>
      </c>
      <c r="J112" t="s">
        <v>6</v>
      </c>
      <c r="K112" t="s">
        <v>4</v>
      </c>
      <c r="L112" t="s">
        <v>355</v>
      </c>
      <c r="M112" t="s">
        <v>355</v>
      </c>
      <c r="N112" s="2">
        <v>2573750</v>
      </c>
      <c r="O112" t="s">
        <v>356</v>
      </c>
      <c r="P112" t="s">
        <v>9</v>
      </c>
      <c r="Q112" t="s">
        <v>75</v>
      </c>
      <c r="R112" t="e">
        <f>VLOOKUP(Q112,#REF!,2,FALSE)</f>
        <v>#REF!</v>
      </c>
      <c r="S112">
        <v>1511</v>
      </c>
      <c r="T112" t="s">
        <v>2224</v>
      </c>
      <c r="U112" t="s">
        <v>357</v>
      </c>
      <c r="V112" s="1">
        <v>45504</v>
      </c>
      <c r="W112" s="1">
        <v>45504</v>
      </c>
      <c r="X112" t="s">
        <v>77</v>
      </c>
      <c r="Y112" t="s">
        <v>78</v>
      </c>
      <c r="Z112" t="s">
        <v>6</v>
      </c>
      <c r="AA112" t="s">
        <v>78</v>
      </c>
      <c r="AB112" s="4">
        <f>L112/0.1</f>
        <v>25737500</v>
      </c>
      <c r="AC112" s="5" t="s">
        <v>2215</v>
      </c>
      <c r="AD112" s="4">
        <f>AB112/12</f>
        <v>2144791.6666666665</v>
      </c>
      <c r="AE112" s="4">
        <f t="shared" si="6"/>
        <v>-428958.33333333349</v>
      </c>
    </row>
    <row r="113" spans="1:31" x14ac:dyDescent="0.25">
      <c r="A113" t="s">
        <v>0</v>
      </c>
      <c r="B113" s="3" t="s">
        <v>2219</v>
      </c>
      <c r="C113" t="s">
        <v>354</v>
      </c>
      <c r="D113" t="s">
        <v>69</v>
      </c>
      <c r="E113" t="s">
        <v>71</v>
      </c>
      <c r="F113" s="1">
        <v>45747</v>
      </c>
      <c r="G113" s="1">
        <v>45749</v>
      </c>
      <c r="H113" t="s">
        <v>80</v>
      </c>
      <c r="I113" t="s">
        <v>5</v>
      </c>
      <c r="J113" t="s">
        <v>6</v>
      </c>
      <c r="K113" t="s">
        <v>4</v>
      </c>
      <c r="L113" t="s">
        <v>286</v>
      </c>
      <c r="M113" t="s">
        <v>286</v>
      </c>
      <c r="N113" s="2">
        <v>12399</v>
      </c>
      <c r="O113" t="s">
        <v>356</v>
      </c>
      <c r="P113" t="s">
        <v>9</v>
      </c>
      <c r="Q113" t="s">
        <v>82</v>
      </c>
      <c r="R113" t="e">
        <f>VLOOKUP(Q113,#REF!,2,FALSE)</f>
        <v>#REF!</v>
      </c>
      <c r="S113">
        <v>1511</v>
      </c>
      <c r="T113" t="s">
        <v>2224</v>
      </c>
      <c r="U113" t="s">
        <v>357</v>
      </c>
      <c r="V113" s="1">
        <v>45504</v>
      </c>
      <c r="W113" s="1">
        <v>45504</v>
      </c>
      <c r="X113" t="s">
        <v>77</v>
      </c>
      <c r="Y113" t="s">
        <v>78</v>
      </c>
      <c r="Z113" t="s">
        <v>6</v>
      </c>
      <c r="AA113" t="s">
        <v>78</v>
      </c>
      <c r="AB113" s="4">
        <f>L113/0.08</f>
        <v>154987.5</v>
      </c>
      <c r="AC113" s="6">
        <v>0.1</v>
      </c>
      <c r="AD113" s="4">
        <f>AB113*AC113</f>
        <v>15498.75</v>
      </c>
      <c r="AE113" s="4">
        <f t="shared" si="6"/>
        <v>3099.75</v>
      </c>
    </row>
    <row r="114" spans="1:31" x14ac:dyDescent="0.25">
      <c r="A114" t="s">
        <v>0</v>
      </c>
      <c r="B114" s="3" t="s">
        <v>2219</v>
      </c>
      <c r="C114" t="s">
        <v>354</v>
      </c>
      <c r="D114" t="s">
        <v>69</v>
      </c>
      <c r="E114" t="s">
        <v>79</v>
      </c>
      <c r="F114" s="1">
        <v>45553</v>
      </c>
      <c r="G114" s="1">
        <v>45553</v>
      </c>
      <c r="H114" t="s">
        <v>84</v>
      </c>
      <c r="I114" t="s">
        <v>5</v>
      </c>
      <c r="J114" t="s">
        <v>6</v>
      </c>
      <c r="K114" t="s">
        <v>4</v>
      </c>
      <c r="L114" t="s">
        <v>358</v>
      </c>
      <c r="M114" t="s">
        <v>358</v>
      </c>
      <c r="N114" s="2">
        <v>103453</v>
      </c>
      <c r="O114" t="s">
        <v>356</v>
      </c>
      <c r="P114" t="s">
        <v>9</v>
      </c>
      <c r="Q114" t="s">
        <v>86</v>
      </c>
      <c r="R114" t="e">
        <f>VLOOKUP(Q114,#REF!,2,FALSE)</f>
        <v>#REF!</v>
      </c>
      <c r="S114">
        <v>1511</v>
      </c>
      <c r="T114" t="s">
        <v>2224</v>
      </c>
      <c r="U114" t="s">
        <v>357</v>
      </c>
      <c r="V114" s="1">
        <v>45504</v>
      </c>
      <c r="W114" s="1">
        <v>45504</v>
      </c>
      <c r="X114" t="s">
        <v>77</v>
      </c>
      <c r="Y114" t="s">
        <v>78</v>
      </c>
      <c r="Z114" t="s">
        <v>6</v>
      </c>
      <c r="AA114" t="s">
        <v>78</v>
      </c>
      <c r="AB114" s="4">
        <f>L114/0.03</f>
        <v>3448433.3333333335</v>
      </c>
      <c r="AC114" s="6">
        <v>0.04</v>
      </c>
      <c r="AD114" s="4">
        <f>AB114*AC114</f>
        <v>137937.33333333334</v>
      </c>
      <c r="AE114" s="4">
        <f t="shared" si="6"/>
        <v>34484.333333333343</v>
      </c>
    </row>
    <row r="115" spans="1:31" x14ac:dyDescent="0.25">
      <c r="A115" t="s">
        <v>0</v>
      </c>
      <c r="B115" s="3" t="s">
        <v>2219</v>
      </c>
      <c r="C115" t="s">
        <v>359</v>
      </c>
      <c r="D115" t="s">
        <v>69</v>
      </c>
      <c r="E115" t="s">
        <v>71</v>
      </c>
      <c r="F115" s="1">
        <v>45714</v>
      </c>
      <c r="G115" s="1">
        <v>45714</v>
      </c>
      <c r="H115" t="s">
        <v>230</v>
      </c>
      <c r="I115" t="s">
        <v>5</v>
      </c>
      <c r="J115" t="s">
        <v>6</v>
      </c>
      <c r="K115" t="s">
        <v>4</v>
      </c>
      <c r="L115" t="s">
        <v>360</v>
      </c>
      <c r="M115" t="s">
        <v>360</v>
      </c>
      <c r="N115" s="2">
        <v>289224</v>
      </c>
      <c r="O115" t="s">
        <v>361</v>
      </c>
      <c r="P115" t="s">
        <v>9</v>
      </c>
      <c r="Q115" t="s">
        <v>75</v>
      </c>
      <c r="R115" t="e">
        <f>VLOOKUP(Q115,#REF!,2,FALSE)</f>
        <v>#REF!</v>
      </c>
      <c r="S115">
        <v>1004</v>
      </c>
      <c r="T115" t="s">
        <v>2225</v>
      </c>
      <c r="U115" t="s">
        <v>362</v>
      </c>
      <c r="V115" s="1">
        <v>45504</v>
      </c>
      <c r="W115" s="1">
        <v>45504</v>
      </c>
      <c r="X115" t="s">
        <v>77</v>
      </c>
      <c r="Y115" t="s">
        <v>78</v>
      </c>
      <c r="Z115" t="s">
        <v>6</v>
      </c>
      <c r="AA115" t="s">
        <v>78</v>
      </c>
      <c r="AB115" s="4">
        <f>L115/0.1</f>
        <v>2892240</v>
      </c>
      <c r="AC115" s="5" t="s">
        <v>2215</v>
      </c>
      <c r="AD115" s="4">
        <f>AB115/12</f>
        <v>241020</v>
      </c>
      <c r="AE115" s="4">
        <f t="shared" si="6"/>
        <v>-48204</v>
      </c>
    </row>
    <row r="116" spans="1:31" x14ac:dyDescent="0.25">
      <c r="A116" t="s">
        <v>0</v>
      </c>
      <c r="B116" s="3" t="s">
        <v>2219</v>
      </c>
      <c r="C116" t="s">
        <v>359</v>
      </c>
      <c r="D116" t="s">
        <v>69</v>
      </c>
      <c r="E116" t="s">
        <v>79</v>
      </c>
      <c r="F116" s="1">
        <v>45747</v>
      </c>
      <c r="G116" s="1">
        <v>45749</v>
      </c>
      <c r="H116" t="s">
        <v>128</v>
      </c>
      <c r="I116" t="s">
        <v>5</v>
      </c>
      <c r="J116" t="s">
        <v>6</v>
      </c>
      <c r="K116" t="s">
        <v>4</v>
      </c>
      <c r="L116" t="s">
        <v>363</v>
      </c>
      <c r="M116" t="s">
        <v>363</v>
      </c>
      <c r="N116" s="2">
        <v>11569</v>
      </c>
      <c r="O116" t="s">
        <v>361</v>
      </c>
      <c r="P116" t="s">
        <v>9</v>
      </c>
      <c r="Q116" t="s">
        <v>86</v>
      </c>
      <c r="R116" t="e">
        <f>VLOOKUP(Q116,#REF!,2,FALSE)</f>
        <v>#REF!</v>
      </c>
      <c r="S116">
        <v>1004</v>
      </c>
      <c r="T116" t="s">
        <v>2225</v>
      </c>
      <c r="U116" t="s">
        <v>362</v>
      </c>
      <c r="V116" s="1">
        <v>45504</v>
      </c>
      <c r="W116" s="1">
        <v>45504</v>
      </c>
      <c r="X116" t="s">
        <v>77</v>
      </c>
      <c r="Y116" t="s">
        <v>78</v>
      </c>
      <c r="Z116" t="s">
        <v>6</v>
      </c>
      <c r="AA116" t="s">
        <v>78</v>
      </c>
      <c r="AB116" s="4">
        <f>L116/0.03</f>
        <v>385633.33333333337</v>
      </c>
      <c r="AC116" s="6">
        <v>0.04</v>
      </c>
      <c r="AD116" s="4">
        <f>AB116*AC116</f>
        <v>15425.333333333336</v>
      </c>
      <c r="AE116" s="4">
        <f t="shared" si="6"/>
        <v>3856.3333333333358</v>
      </c>
    </row>
    <row r="117" spans="1:31" x14ac:dyDescent="0.25">
      <c r="A117" t="s">
        <v>0</v>
      </c>
      <c r="B117" s="3" t="s">
        <v>2219</v>
      </c>
      <c r="C117" t="s">
        <v>364</v>
      </c>
      <c r="D117" t="s">
        <v>69</v>
      </c>
      <c r="E117" t="s">
        <v>208</v>
      </c>
      <c r="F117" s="1">
        <v>45536</v>
      </c>
      <c r="G117" s="1">
        <v>45539</v>
      </c>
      <c r="H117" t="s">
        <v>365</v>
      </c>
      <c r="I117" t="s">
        <v>5</v>
      </c>
      <c r="J117" t="s">
        <v>6</v>
      </c>
      <c r="K117" t="s">
        <v>4</v>
      </c>
      <c r="L117" t="s">
        <v>366</v>
      </c>
      <c r="M117" t="s">
        <v>366</v>
      </c>
      <c r="N117" s="2">
        <v>608450</v>
      </c>
      <c r="O117" t="s">
        <v>367</v>
      </c>
      <c r="P117" t="s">
        <v>9</v>
      </c>
      <c r="Q117" t="s">
        <v>75</v>
      </c>
      <c r="R117" t="e">
        <f>VLOOKUP(Q117,#REF!,2,FALSE)</f>
        <v>#REF!</v>
      </c>
      <c r="S117">
        <v>1408</v>
      </c>
      <c r="T117" t="s">
        <v>2223</v>
      </c>
      <c r="U117" t="s">
        <v>368</v>
      </c>
      <c r="V117" s="1">
        <v>45504</v>
      </c>
      <c r="W117" s="1">
        <v>45504</v>
      </c>
      <c r="X117" t="s">
        <v>77</v>
      </c>
      <c r="Y117" t="s">
        <v>78</v>
      </c>
      <c r="Z117" t="s">
        <v>6</v>
      </c>
      <c r="AA117" t="s">
        <v>78</v>
      </c>
      <c r="AB117" s="4">
        <f>L117/0.1</f>
        <v>6084500</v>
      </c>
      <c r="AC117" s="5" t="s">
        <v>2215</v>
      </c>
      <c r="AD117" s="4">
        <f>AB117/12</f>
        <v>507041.66666666669</v>
      </c>
      <c r="AE117" s="4">
        <f t="shared" si="6"/>
        <v>-101408.33333333331</v>
      </c>
    </row>
    <row r="118" spans="1:31" x14ac:dyDescent="0.25">
      <c r="A118" t="s">
        <v>0</v>
      </c>
      <c r="B118" s="3" t="s">
        <v>2219</v>
      </c>
      <c r="C118" t="s">
        <v>364</v>
      </c>
      <c r="D118" t="s">
        <v>69</v>
      </c>
      <c r="E118" t="s">
        <v>67</v>
      </c>
      <c r="F118" s="1">
        <v>45536</v>
      </c>
      <c r="G118" s="1">
        <v>45539</v>
      </c>
      <c r="H118" t="s">
        <v>369</v>
      </c>
      <c r="I118" t="s">
        <v>5</v>
      </c>
      <c r="J118" t="s">
        <v>6</v>
      </c>
      <c r="K118" t="s">
        <v>4</v>
      </c>
      <c r="L118" t="s">
        <v>370</v>
      </c>
      <c r="M118" t="s">
        <v>370</v>
      </c>
      <c r="N118" s="2">
        <v>24337</v>
      </c>
      <c r="O118" t="s">
        <v>367</v>
      </c>
      <c r="P118" t="s">
        <v>9</v>
      </c>
      <c r="Q118" t="s">
        <v>86</v>
      </c>
      <c r="R118" t="e">
        <f>VLOOKUP(Q118,#REF!,2,FALSE)</f>
        <v>#REF!</v>
      </c>
      <c r="S118">
        <v>1408</v>
      </c>
      <c r="T118" t="s">
        <v>2223</v>
      </c>
      <c r="U118" t="s">
        <v>368</v>
      </c>
      <c r="V118" s="1">
        <v>45504</v>
      </c>
      <c r="W118" s="1">
        <v>45504</v>
      </c>
      <c r="X118" t="s">
        <v>77</v>
      </c>
      <c r="Y118" t="s">
        <v>78</v>
      </c>
      <c r="Z118" t="s">
        <v>6</v>
      </c>
      <c r="AA118" t="s">
        <v>78</v>
      </c>
      <c r="AB118" s="4">
        <f>L118/0.03</f>
        <v>811233.33333333337</v>
      </c>
      <c r="AC118" s="6">
        <v>0.04</v>
      </c>
      <c r="AD118" s="4">
        <f>AB118*AC118</f>
        <v>32449.333333333336</v>
      </c>
      <c r="AE118" s="4">
        <f t="shared" si="6"/>
        <v>8112.3333333333358</v>
      </c>
    </row>
    <row r="119" spans="1:31" x14ac:dyDescent="0.25">
      <c r="A119" t="s">
        <v>0</v>
      </c>
      <c r="B119" s="3" t="s">
        <v>2219</v>
      </c>
      <c r="C119" t="s">
        <v>371</v>
      </c>
      <c r="D119" t="s">
        <v>69</v>
      </c>
      <c r="E119" t="s">
        <v>109</v>
      </c>
      <c r="F119" s="1">
        <v>45714</v>
      </c>
      <c r="G119" s="1">
        <v>45714</v>
      </c>
      <c r="H119" t="s">
        <v>372</v>
      </c>
      <c r="I119" t="s">
        <v>5</v>
      </c>
      <c r="J119" t="s">
        <v>6</v>
      </c>
      <c r="K119" t="s">
        <v>4</v>
      </c>
      <c r="L119" t="s">
        <v>373</v>
      </c>
      <c r="M119" t="s">
        <v>373</v>
      </c>
      <c r="N119" s="2">
        <v>307163</v>
      </c>
      <c r="O119" t="s">
        <v>374</v>
      </c>
      <c r="P119" t="s">
        <v>9</v>
      </c>
      <c r="Q119" t="s">
        <v>75</v>
      </c>
      <c r="R119" t="e">
        <f>VLOOKUP(Q119,#REF!,2,FALSE)</f>
        <v>#REF!</v>
      </c>
      <c r="S119">
        <v>1408</v>
      </c>
      <c r="T119" t="s">
        <v>2223</v>
      </c>
      <c r="U119" t="s">
        <v>375</v>
      </c>
      <c r="V119" s="1">
        <v>45504</v>
      </c>
      <c r="W119" s="1">
        <v>45504</v>
      </c>
      <c r="X119" t="s">
        <v>77</v>
      </c>
      <c r="Y119" t="s">
        <v>78</v>
      </c>
      <c r="Z119" t="s">
        <v>6</v>
      </c>
      <c r="AA119" t="s">
        <v>78</v>
      </c>
      <c r="AB119" s="4">
        <f>L119/0.1</f>
        <v>3071630</v>
      </c>
      <c r="AC119" s="5" t="s">
        <v>2215</v>
      </c>
      <c r="AD119" s="4">
        <f>AB119/12</f>
        <v>255969.16666666666</v>
      </c>
      <c r="AE119" s="4">
        <f t="shared" si="6"/>
        <v>-51193.833333333343</v>
      </c>
    </row>
    <row r="120" spans="1:31" x14ac:dyDescent="0.25">
      <c r="A120" t="s">
        <v>0</v>
      </c>
      <c r="B120" s="3" t="s">
        <v>2219</v>
      </c>
      <c r="C120" t="s">
        <v>371</v>
      </c>
      <c r="D120" t="s">
        <v>69</v>
      </c>
      <c r="E120" t="s">
        <v>203</v>
      </c>
      <c r="F120" s="1">
        <v>45747</v>
      </c>
      <c r="G120" s="1">
        <v>45749</v>
      </c>
      <c r="H120" t="s">
        <v>128</v>
      </c>
      <c r="I120" t="s">
        <v>5</v>
      </c>
      <c r="J120" t="s">
        <v>6</v>
      </c>
      <c r="K120" t="s">
        <v>4</v>
      </c>
      <c r="L120" t="s">
        <v>376</v>
      </c>
      <c r="M120" t="s">
        <v>376</v>
      </c>
      <c r="N120" s="2">
        <v>12286</v>
      </c>
      <c r="O120" t="s">
        <v>374</v>
      </c>
      <c r="P120" t="s">
        <v>9</v>
      </c>
      <c r="Q120" t="s">
        <v>86</v>
      </c>
      <c r="R120" t="e">
        <f>VLOOKUP(Q120,#REF!,2,FALSE)</f>
        <v>#REF!</v>
      </c>
      <c r="S120">
        <v>1408</v>
      </c>
      <c r="T120" t="s">
        <v>2223</v>
      </c>
      <c r="U120" t="s">
        <v>375</v>
      </c>
      <c r="V120" s="1">
        <v>45504</v>
      </c>
      <c r="W120" s="1">
        <v>45504</v>
      </c>
      <c r="X120" t="s">
        <v>77</v>
      </c>
      <c r="Y120" t="s">
        <v>78</v>
      </c>
      <c r="Z120" t="s">
        <v>6</v>
      </c>
      <c r="AA120" t="s">
        <v>78</v>
      </c>
      <c r="AB120" s="4">
        <f>L120/0.03</f>
        <v>409533.33333333337</v>
      </c>
      <c r="AC120" s="6">
        <v>0.04</v>
      </c>
      <c r="AD120" s="4">
        <f>AB120*AC120</f>
        <v>16381.333333333336</v>
      </c>
      <c r="AE120" s="4">
        <f t="shared" si="6"/>
        <v>4095.3333333333358</v>
      </c>
    </row>
    <row r="121" spans="1:31" x14ac:dyDescent="0.25">
      <c r="A121" t="s">
        <v>0</v>
      </c>
      <c r="B121" s="3" t="s">
        <v>2219</v>
      </c>
      <c r="C121" t="s">
        <v>377</v>
      </c>
      <c r="D121" t="s">
        <v>69</v>
      </c>
      <c r="E121" t="s">
        <v>104</v>
      </c>
      <c r="F121" s="1">
        <v>45713</v>
      </c>
      <c r="G121" s="1">
        <v>45713</v>
      </c>
      <c r="H121" t="s">
        <v>378</v>
      </c>
      <c r="I121" t="s">
        <v>5</v>
      </c>
      <c r="J121" t="s">
        <v>6</v>
      </c>
      <c r="K121" t="s">
        <v>4</v>
      </c>
      <c r="L121" t="s">
        <v>379</v>
      </c>
      <c r="M121" t="s">
        <v>379</v>
      </c>
      <c r="N121" s="2">
        <v>1423325</v>
      </c>
      <c r="O121" t="s">
        <v>380</v>
      </c>
      <c r="P121" t="s">
        <v>9</v>
      </c>
      <c r="Q121" t="s">
        <v>75</v>
      </c>
      <c r="R121" t="e">
        <f>VLOOKUP(Q121,#REF!,2,FALSE)</f>
        <v>#REF!</v>
      </c>
      <c r="S121">
        <v>1004</v>
      </c>
      <c r="T121" t="s">
        <v>2225</v>
      </c>
      <c r="U121" t="s">
        <v>381</v>
      </c>
      <c r="V121" s="1">
        <v>45504</v>
      </c>
      <c r="W121" s="1">
        <v>45504</v>
      </c>
      <c r="X121" t="s">
        <v>77</v>
      </c>
      <c r="Y121" t="s">
        <v>78</v>
      </c>
      <c r="Z121" t="s">
        <v>6</v>
      </c>
      <c r="AA121" t="s">
        <v>78</v>
      </c>
      <c r="AB121" s="4">
        <f>L121/0.1</f>
        <v>14233250</v>
      </c>
      <c r="AC121" s="5" t="s">
        <v>2215</v>
      </c>
      <c r="AD121" s="4">
        <f>AB121/12</f>
        <v>1186104.1666666667</v>
      </c>
      <c r="AE121" s="4">
        <f t="shared" si="6"/>
        <v>-237220.83333333326</v>
      </c>
    </row>
    <row r="122" spans="1:31" x14ac:dyDescent="0.25">
      <c r="A122" t="s">
        <v>0</v>
      </c>
      <c r="B122" s="3" t="s">
        <v>2219</v>
      </c>
      <c r="C122" t="s">
        <v>377</v>
      </c>
      <c r="D122" t="s">
        <v>69</v>
      </c>
      <c r="E122" t="s">
        <v>109</v>
      </c>
      <c r="F122" s="1">
        <v>45747</v>
      </c>
      <c r="G122" s="1">
        <v>45749</v>
      </c>
      <c r="H122" t="s">
        <v>128</v>
      </c>
      <c r="I122" t="s">
        <v>5</v>
      </c>
      <c r="J122" t="s">
        <v>6</v>
      </c>
      <c r="K122" t="s">
        <v>4</v>
      </c>
      <c r="L122" t="s">
        <v>382</v>
      </c>
      <c r="M122" t="s">
        <v>382</v>
      </c>
      <c r="N122" s="2">
        <v>56932</v>
      </c>
      <c r="O122" t="s">
        <v>380</v>
      </c>
      <c r="P122" t="s">
        <v>9</v>
      </c>
      <c r="Q122" t="s">
        <v>86</v>
      </c>
      <c r="R122" t="e">
        <f>VLOOKUP(Q122,#REF!,2,FALSE)</f>
        <v>#REF!</v>
      </c>
      <c r="S122">
        <v>1004</v>
      </c>
      <c r="T122" t="s">
        <v>2225</v>
      </c>
      <c r="U122" t="s">
        <v>381</v>
      </c>
      <c r="V122" s="1">
        <v>45504</v>
      </c>
      <c r="W122" s="1">
        <v>45504</v>
      </c>
      <c r="X122" t="s">
        <v>77</v>
      </c>
      <c r="Y122" t="s">
        <v>78</v>
      </c>
      <c r="Z122" t="s">
        <v>6</v>
      </c>
      <c r="AA122" t="s">
        <v>78</v>
      </c>
      <c r="AB122" s="4">
        <f>L122/0.03</f>
        <v>1897733.3333333335</v>
      </c>
      <c r="AC122" s="6">
        <v>0.04</v>
      </c>
      <c r="AD122" s="4">
        <f>AB122*AC122</f>
        <v>75909.333333333343</v>
      </c>
      <c r="AE122" s="4">
        <f t="shared" si="6"/>
        <v>18977.333333333343</v>
      </c>
    </row>
    <row r="123" spans="1:31" x14ac:dyDescent="0.25">
      <c r="A123" t="s">
        <v>0</v>
      </c>
      <c r="B123" s="3" t="s">
        <v>2219</v>
      </c>
      <c r="C123" t="s">
        <v>383</v>
      </c>
      <c r="D123" t="s">
        <v>69</v>
      </c>
      <c r="E123" t="s">
        <v>384</v>
      </c>
      <c r="F123" s="1">
        <v>45556</v>
      </c>
      <c r="G123" s="1">
        <v>45556</v>
      </c>
      <c r="H123" t="s">
        <v>72</v>
      </c>
      <c r="I123" t="s">
        <v>5</v>
      </c>
      <c r="J123" t="s">
        <v>6</v>
      </c>
      <c r="K123" t="s">
        <v>4</v>
      </c>
      <c r="L123" t="s">
        <v>385</v>
      </c>
      <c r="M123" t="s">
        <v>385</v>
      </c>
      <c r="N123" s="2">
        <v>3183</v>
      </c>
      <c r="O123" t="s">
        <v>386</v>
      </c>
      <c r="P123" t="s">
        <v>9</v>
      </c>
      <c r="Q123" t="s">
        <v>75</v>
      </c>
      <c r="R123" t="e">
        <f>VLOOKUP(Q123,#REF!,2,FALSE)</f>
        <v>#REF!</v>
      </c>
      <c r="S123">
        <v>1511</v>
      </c>
      <c r="T123" t="s">
        <v>2224</v>
      </c>
      <c r="U123" t="s">
        <v>387</v>
      </c>
      <c r="V123" s="1">
        <v>45504</v>
      </c>
      <c r="W123" s="1">
        <v>45504</v>
      </c>
      <c r="X123" t="s">
        <v>388</v>
      </c>
      <c r="Y123" t="s">
        <v>389</v>
      </c>
      <c r="Z123" t="s">
        <v>6</v>
      </c>
      <c r="AA123" t="s">
        <v>389</v>
      </c>
      <c r="AB123" s="4">
        <f>L123/0.1</f>
        <v>31830</v>
      </c>
      <c r="AC123" s="5" t="s">
        <v>2215</v>
      </c>
      <c r="AD123" s="4">
        <f>AB123/12</f>
        <v>2652.5</v>
      </c>
      <c r="AE123" s="4">
        <f t="shared" si="6"/>
        <v>-530.5</v>
      </c>
    </row>
    <row r="124" spans="1:31" x14ac:dyDescent="0.25">
      <c r="A124" t="s">
        <v>0</v>
      </c>
      <c r="B124" s="3" t="s">
        <v>2219</v>
      </c>
      <c r="C124" t="s">
        <v>383</v>
      </c>
      <c r="D124" t="s">
        <v>69</v>
      </c>
      <c r="E124" t="s">
        <v>390</v>
      </c>
      <c r="F124" s="1">
        <v>45553</v>
      </c>
      <c r="G124" s="1">
        <v>45553</v>
      </c>
      <c r="H124" t="s">
        <v>84</v>
      </c>
      <c r="I124" t="s">
        <v>5</v>
      </c>
      <c r="J124" t="s">
        <v>6</v>
      </c>
      <c r="K124" t="s">
        <v>4</v>
      </c>
      <c r="L124" t="s">
        <v>391</v>
      </c>
      <c r="M124" t="s">
        <v>391</v>
      </c>
      <c r="N124" s="2">
        <v>127</v>
      </c>
      <c r="O124" t="s">
        <v>386</v>
      </c>
      <c r="P124" t="s">
        <v>9</v>
      </c>
      <c r="Q124" t="s">
        <v>86</v>
      </c>
      <c r="R124" t="e">
        <f>VLOOKUP(Q124,#REF!,2,FALSE)</f>
        <v>#REF!</v>
      </c>
      <c r="S124">
        <v>1511</v>
      </c>
      <c r="T124" t="s">
        <v>2224</v>
      </c>
      <c r="U124" t="s">
        <v>387</v>
      </c>
      <c r="V124" s="1">
        <v>45504</v>
      </c>
      <c r="W124" s="1">
        <v>45504</v>
      </c>
      <c r="X124" t="s">
        <v>388</v>
      </c>
      <c r="Y124" t="s">
        <v>389</v>
      </c>
      <c r="Z124" t="s">
        <v>6</v>
      </c>
      <c r="AA124" t="s">
        <v>389</v>
      </c>
      <c r="AB124" s="4">
        <f>L124/0.03</f>
        <v>4233.3333333333339</v>
      </c>
      <c r="AC124" s="6">
        <v>0.04</v>
      </c>
      <c r="AD124" s="4">
        <f>AB124*AC124</f>
        <v>169.33333333333337</v>
      </c>
      <c r="AE124" s="4">
        <f t="shared" si="6"/>
        <v>42.333333333333371</v>
      </c>
    </row>
    <row r="125" spans="1:31" x14ac:dyDescent="0.25">
      <c r="A125" t="s">
        <v>0</v>
      </c>
      <c r="B125" s="3" t="s">
        <v>2219</v>
      </c>
      <c r="C125" t="s">
        <v>392</v>
      </c>
      <c r="D125" t="s">
        <v>69</v>
      </c>
      <c r="E125" t="s">
        <v>119</v>
      </c>
      <c r="F125" s="1">
        <v>45713</v>
      </c>
      <c r="G125" s="1">
        <v>45713</v>
      </c>
      <c r="H125" t="s">
        <v>378</v>
      </c>
      <c r="I125" t="s">
        <v>5</v>
      </c>
      <c r="J125" t="s">
        <v>6</v>
      </c>
      <c r="K125" t="s">
        <v>4</v>
      </c>
      <c r="L125" t="s">
        <v>393</v>
      </c>
      <c r="M125" t="s">
        <v>393</v>
      </c>
      <c r="N125" s="2">
        <v>20012805</v>
      </c>
      <c r="O125" t="s">
        <v>394</v>
      </c>
      <c r="P125" t="s">
        <v>9</v>
      </c>
      <c r="Q125" t="s">
        <v>75</v>
      </c>
      <c r="R125" t="e">
        <f>VLOOKUP(Q125,#REF!,2,FALSE)</f>
        <v>#REF!</v>
      </c>
      <c r="S125">
        <v>1004</v>
      </c>
      <c r="T125" t="s">
        <v>2225</v>
      </c>
      <c r="U125" t="s">
        <v>395</v>
      </c>
      <c r="V125" s="1">
        <v>45504</v>
      </c>
      <c r="W125" s="1">
        <v>45504</v>
      </c>
      <c r="X125" t="s">
        <v>77</v>
      </c>
      <c r="Y125" t="s">
        <v>396</v>
      </c>
      <c r="Z125" t="s">
        <v>6</v>
      </c>
      <c r="AA125" t="s">
        <v>396</v>
      </c>
      <c r="AB125" s="4">
        <f>L125/0.1</f>
        <v>200128050</v>
      </c>
      <c r="AC125" s="5" t="s">
        <v>2215</v>
      </c>
      <c r="AD125" s="4">
        <f>AB125/12</f>
        <v>16677337.5</v>
      </c>
      <c r="AE125" s="4">
        <f t="shared" si="6"/>
        <v>-3335467.5</v>
      </c>
    </row>
    <row r="126" spans="1:31" x14ac:dyDescent="0.25">
      <c r="A126" t="s">
        <v>0</v>
      </c>
      <c r="B126" s="3" t="s">
        <v>2219</v>
      </c>
      <c r="C126" t="s">
        <v>392</v>
      </c>
      <c r="D126" t="s">
        <v>69</v>
      </c>
      <c r="E126" t="s">
        <v>125</v>
      </c>
      <c r="F126" s="1">
        <v>45747</v>
      </c>
      <c r="G126" s="1">
        <v>45749</v>
      </c>
      <c r="H126" t="s">
        <v>80</v>
      </c>
      <c r="I126" t="s">
        <v>5</v>
      </c>
      <c r="J126" t="s">
        <v>6</v>
      </c>
      <c r="K126" t="s">
        <v>4</v>
      </c>
      <c r="L126" t="s">
        <v>397</v>
      </c>
      <c r="M126" t="s">
        <v>397</v>
      </c>
      <c r="N126" s="2">
        <v>1131520</v>
      </c>
      <c r="O126" t="s">
        <v>394</v>
      </c>
      <c r="P126" t="s">
        <v>9</v>
      </c>
      <c r="Q126" t="s">
        <v>82</v>
      </c>
      <c r="R126" t="e">
        <f>VLOOKUP(Q126,#REF!,2,FALSE)</f>
        <v>#REF!</v>
      </c>
      <c r="S126">
        <v>1004</v>
      </c>
      <c r="T126" t="s">
        <v>2225</v>
      </c>
      <c r="U126" t="s">
        <v>395</v>
      </c>
      <c r="V126" s="1">
        <v>45504</v>
      </c>
      <c r="W126" s="1">
        <v>45504</v>
      </c>
      <c r="X126" t="s">
        <v>77</v>
      </c>
      <c r="Y126" t="s">
        <v>396</v>
      </c>
      <c r="Z126" t="s">
        <v>6</v>
      </c>
      <c r="AA126" t="s">
        <v>396</v>
      </c>
      <c r="AB126" s="4">
        <f>L126/0.08</f>
        <v>14144000</v>
      </c>
      <c r="AC126" s="6">
        <v>0.1</v>
      </c>
      <c r="AD126" s="4">
        <f>AB126*AC126</f>
        <v>1414400</v>
      </c>
      <c r="AE126" s="4">
        <f t="shared" si="6"/>
        <v>282880</v>
      </c>
    </row>
    <row r="127" spans="1:31" x14ac:dyDescent="0.25">
      <c r="A127" t="s">
        <v>0</v>
      </c>
      <c r="B127" s="3" t="s">
        <v>2219</v>
      </c>
      <c r="C127" t="s">
        <v>392</v>
      </c>
      <c r="D127" t="s">
        <v>69</v>
      </c>
      <c r="E127" t="s">
        <v>127</v>
      </c>
      <c r="F127" s="1">
        <v>45747</v>
      </c>
      <c r="G127" s="1">
        <v>45749</v>
      </c>
      <c r="H127" t="s">
        <v>128</v>
      </c>
      <c r="I127" t="s">
        <v>5</v>
      </c>
      <c r="J127" t="s">
        <v>6</v>
      </c>
      <c r="K127" t="s">
        <v>4</v>
      </c>
      <c r="L127" t="s">
        <v>398</v>
      </c>
      <c r="M127" t="s">
        <v>398</v>
      </c>
      <c r="N127" s="2">
        <v>845771</v>
      </c>
      <c r="O127" t="s">
        <v>394</v>
      </c>
      <c r="P127" t="s">
        <v>9</v>
      </c>
      <c r="Q127" t="s">
        <v>86</v>
      </c>
      <c r="R127" t="e">
        <f>VLOOKUP(Q127,#REF!,2,FALSE)</f>
        <v>#REF!</v>
      </c>
      <c r="S127">
        <v>1004</v>
      </c>
      <c r="T127" t="s">
        <v>2225</v>
      </c>
      <c r="U127" t="s">
        <v>395</v>
      </c>
      <c r="V127" s="1">
        <v>45504</v>
      </c>
      <c r="W127" s="1">
        <v>45504</v>
      </c>
      <c r="X127" t="s">
        <v>77</v>
      </c>
      <c r="Y127" t="s">
        <v>396</v>
      </c>
      <c r="Z127" t="s">
        <v>6</v>
      </c>
      <c r="AA127" t="s">
        <v>396</v>
      </c>
      <c r="AB127" s="4">
        <f>L127/0.03</f>
        <v>28192366.666666668</v>
      </c>
      <c r="AC127" s="6">
        <v>0.04</v>
      </c>
      <c r="AD127" s="4">
        <f>AB127*AC127</f>
        <v>1127694.6666666667</v>
      </c>
      <c r="AE127" s="4">
        <f t="shared" si="6"/>
        <v>281923.66666666674</v>
      </c>
    </row>
    <row r="128" spans="1:31" x14ac:dyDescent="0.25">
      <c r="A128" t="s">
        <v>0</v>
      </c>
      <c r="B128" s="3" t="s">
        <v>2219</v>
      </c>
      <c r="C128" t="s">
        <v>399</v>
      </c>
      <c r="D128" t="s">
        <v>69</v>
      </c>
      <c r="E128" t="s">
        <v>109</v>
      </c>
      <c r="F128" s="1">
        <v>45747</v>
      </c>
      <c r="G128" s="1">
        <v>45747</v>
      </c>
      <c r="H128" t="s">
        <v>400</v>
      </c>
      <c r="I128" t="s">
        <v>5</v>
      </c>
      <c r="J128" t="s">
        <v>6</v>
      </c>
      <c r="K128" t="s">
        <v>4</v>
      </c>
      <c r="L128" t="s">
        <v>401</v>
      </c>
      <c r="M128" t="s">
        <v>401</v>
      </c>
      <c r="N128" s="2">
        <v>10067334</v>
      </c>
      <c r="O128" t="s">
        <v>402</v>
      </c>
      <c r="P128" t="s">
        <v>9</v>
      </c>
      <c r="Q128" t="s">
        <v>75</v>
      </c>
      <c r="R128" t="e">
        <f>VLOOKUP(Q128,#REF!,2,FALSE)</f>
        <v>#REF!</v>
      </c>
      <c r="S128">
        <v>1004</v>
      </c>
      <c r="T128" t="s">
        <v>2225</v>
      </c>
      <c r="U128" t="s">
        <v>403</v>
      </c>
      <c r="V128" s="1">
        <v>45504</v>
      </c>
      <c r="W128" s="1">
        <v>45504</v>
      </c>
      <c r="X128" t="s">
        <v>77</v>
      </c>
      <c r="Y128" t="s">
        <v>396</v>
      </c>
      <c r="Z128" t="s">
        <v>6</v>
      </c>
      <c r="AA128" t="s">
        <v>396</v>
      </c>
      <c r="AB128" s="4">
        <f>L128/0.1</f>
        <v>100673340</v>
      </c>
      <c r="AC128" s="5" t="s">
        <v>2215</v>
      </c>
      <c r="AD128" s="4">
        <f>AB128/12</f>
        <v>8389445</v>
      </c>
      <c r="AE128" s="4">
        <f t="shared" si="6"/>
        <v>-1677889</v>
      </c>
    </row>
    <row r="129" spans="1:31" x14ac:dyDescent="0.25">
      <c r="A129" t="s">
        <v>0</v>
      </c>
      <c r="B129" s="3" t="s">
        <v>2219</v>
      </c>
      <c r="C129" t="s">
        <v>399</v>
      </c>
      <c r="D129" t="s">
        <v>69</v>
      </c>
      <c r="E129" t="s">
        <v>203</v>
      </c>
      <c r="F129" s="1">
        <v>45747</v>
      </c>
      <c r="G129" s="1">
        <v>45749</v>
      </c>
      <c r="H129" t="s">
        <v>80</v>
      </c>
      <c r="I129" t="s">
        <v>5</v>
      </c>
      <c r="J129" t="s">
        <v>6</v>
      </c>
      <c r="K129" t="s">
        <v>4</v>
      </c>
      <c r="L129" t="s">
        <v>404</v>
      </c>
      <c r="M129" t="s">
        <v>404</v>
      </c>
      <c r="N129" s="2">
        <v>137092</v>
      </c>
      <c r="O129" t="s">
        <v>402</v>
      </c>
      <c r="P129" t="s">
        <v>9</v>
      </c>
      <c r="Q129" t="s">
        <v>82</v>
      </c>
      <c r="R129" t="e">
        <f>VLOOKUP(Q129,#REF!,2,FALSE)</f>
        <v>#REF!</v>
      </c>
      <c r="S129">
        <v>1004</v>
      </c>
      <c r="T129" t="s">
        <v>2225</v>
      </c>
      <c r="U129" t="s">
        <v>403</v>
      </c>
      <c r="V129" s="1">
        <v>45504</v>
      </c>
      <c r="W129" s="1">
        <v>45504</v>
      </c>
      <c r="X129" t="s">
        <v>77</v>
      </c>
      <c r="Y129" t="s">
        <v>396</v>
      </c>
      <c r="Z129" t="s">
        <v>6</v>
      </c>
      <c r="AA129" t="s">
        <v>396</v>
      </c>
      <c r="AB129" s="4">
        <f>L129/0.08</f>
        <v>1713650</v>
      </c>
      <c r="AC129" s="6">
        <v>0.1</v>
      </c>
      <c r="AD129" s="4">
        <f>AB129*AC129</f>
        <v>171365</v>
      </c>
      <c r="AE129" s="4">
        <f t="shared" si="6"/>
        <v>34273</v>
      </c>
    </row>
    <row r="130" spans="1:31" x14ac:dyDescent="0.25">
      <c r="A130" t="s">
        <v>0</v>
      </c>
      <c r="B130" s="3" t="s">
        <v>2219</v>
      </c>
      <c r="C130" t="s">
        <v>399</v>
      </c>
      <c r="D130" t="s">
        <v>69</v>
      </c>
      <c r="E130" t="s">
        <v>208</v>
      </c>
      <c r="F130" s="1">
        <v>45747</v>
      </c>
      <c r="G130" s="1">
        <v>45749</v>
      </c>
      <c r="H130" t="s">
        <v>128</v>
      </c>
      <c r="I130" t="s">
        <v>5</v>
      </c>
      <c r="J130" t="s">
        <v>6</v>
      </c>
      <c r="K130" t="s">
        <v>4</v>
      </c>
      <c r="L130" t="s">
        <v>405</v>
      </c>
      <c r="M130" t="s">
        <v>405</v>
      </c>
      <c r="N130" s="2">
        <v>408183</v>
      </c>
      <c r="O130" t="s">
        <v>402</v>
      </c>
      <c r="P130" t="s">
        <v>9</v>
      </c>
      <c r="Q130" t="s">
        <v>86</v>
      </c>
      <c r="R130" t="e">
        <f>VLOOKUP(Q130,#REF!,2,FALSE)</f>
        <v>#REF!</v>
      </c>
      <c r="S130">
        <v>1004</v>
      </c>
      <c r="T130" t="s">
        <v>2225</v>
      </c>
      <c r="U130" t="s">
        <v>403</v>
      </c>
      <c r="V130" s="1">
        <v>45504</v>
      </c>
      <c r="W130" s="1">
        <v>45504</v>
      </c>
      <c r="X130" t="s">
        <v>77</v>
      </c>
      <c r="Y130" t="s">
        <v>396</v>
      </c>
      <c r="Z130" t="s">
        <v>6</v>
      </c>
      <c r="AA130" t="s">
        <v>396</v>
      </c>
      <c r="AB130" s="4">
        <f>L130/0.03</f>
        <v>13606100</v>
      </c>
      <c r="AC130" s="6">
        <v>0.04</v>
      </c>
      <c r="AD130" s="4">
        <f>AB130*AC130</f>
        <v>544244</v>
      </c>
      <c r="AE130" s="4">
        <f t="shared" ref="AE130:AE193" si="7">AD130-L130</f>
        <v>136061</v>
      </c>
    </row>
    <row r="131" spans="1:31" x14ac:dyDescent="0.25">
      <c r="A131" t="s">
        <v>0</v>
      </c>
      <c r="B131" s="3" t="s">
        <v>2219</v>
      </c>
      <c r="C131" t="s">
        <v>406</v>
      </c>
      <c r="D131" t="s">
        <v>69</v>
      </c>
      <c r="E131" t="s">
        <v>3</v>
      </c>
      <c r="F131" s="1">
        <v>45713</v>
      </c>
      <c r="G131" s="1">
        <v>45713</v>
      </c>
      <c r="H131" t="s">
        <v>407</v>
      </c>
      <c r="I131" t="s">
        <v>5</v>
      </c>
      <c r="J131" t="s">
        <v>6</v>
      </c>
      <c r="K131" t="s">
        <v>4</v>
      </c>
      <c r="L131" t="s">
        <v>408</v>
      </c>
      <c r="M131" t="s">
        <v>408</v>
      </c>
      <c r="N131" s="2">
        <v>353063</v>
      </c>
      <c r="O131" t="s">
        <v>409</v>
      </c>
      <c r="P131" t="s">
        <v>9</v>
      </c>
      <c r="Q131" t="s">
        <v>75</v>
      </c>
      <c r="R131" t="e">
        <f>VLOOKUP(Q131,#REF!,2,FALSE)</f>
        <v>#REF!</v>
      </c>
      <c r="S131">
        <v>1004</v>
      </c>
      <c r="T131" t="s">
        <v>2225</v>
      </c>
      <c r="U131" t="s">
        <v>410</v>
      </c>
      <c r="V131" s="1">
        <v>45526</v>
      </c>
      <c r="W131" s="1">
        <v>45526</v>
      </c>
      <c r="X131" t="s">
        <v>77</v>
      </c>
      <c r="Y131" t="s">
        <v>396</v>
      </c>
      <c r="Z131" t="s">
        <v>6</v>
      </c>
      <c r="AA131" t="s">
        <v>396</v>
      </c>
      <c r="AB131" s="4">
        <f>L131/0.1</f>
        <v>3530630</v>
      </c>
      <c r="AC131" s="5" t="s">
        <v>2215</v>
      </c>
      <c r="AD131" s="4">
        <f>AB131/12</f>
        <v>294219.16666666669</v>
      </c>
      <c r="AE131" s="4">
        <f t="shared" si="7"/>
        <v>-58843.833333333314</v>
      </c>
    </row>
    <row r="132" spans="1:31" x14ac:dyDescent="0.25">
      <c r="A132" t="s">
        <v>0</v>
      </c>
      <c r="B132" s="3" t="s">
        <v>2219</v>
      </c>
      <c r="C132" t="s">
        <v>406</v>
      </c>
      <c r="D132" t="s">
        <v>69</v>
      </c>
      <c r="E132" t="s">
        <v>22</v>
      </c>
      <c r="F132" s="1">
        <v>45747</v>
      </c>
      <c r="G132" s="1">
        <v>45749</v>
      </c>
      <c r="H132" t="s">
        <v>128</v>
      </c>
      <c r="I132" t="s">
        <v>5</v>
      </c>
      <c r="J132" t="s">
        <v>6</v>
      </c>
      <c r="K132" t="s">
        <v>4</v>
      </c>
      <c r="L132" t="s">
        <v>411</v>
      </c>
      <c r="M132" t="s">
        <v>411</v>
      </c>
      <c r="N132" s="2">
        <v>14123</v>
      </c>
      <c r="O132" t="s">
        <v>409</v>
      </c>
      <c r="P132" t="s">
        <v>9</v>
      </c>
      <c r="Q132" t="s">
        <v>86</v>
      </c>
      <c r="R132" t="e">
        <f>VLOOKUP(Q132,#REF!,2,FALSE)</f>
        <v>#REF!</v>
      </c>
      <c r="S132">
        <v>1004</v>
      </c>
      <c r="T132" t="s">
        <v>2225</v>
      </c>
      <c r="U132" t="s">
        <v>410</v>
      </c>
      <c r="V132" s="1">
        <v>45526</v>
      </c>
      <c r="W132" s="1">
        <v>45526</v>
      </c>
      <c r="X132" t="s">
        <v>77</v>
      </c>
      <c r="Y132" t="s">
        <v>396</v>
      </c>
      <c r="Z132" t="s">
        <v>6</v>
      </c>
      <c r="AA132" t="s">
        <v>396</v>
      </c>
      <c r="AB132" s="4">
        <f>L132/0.03</f>
        <v>470766.66666666669</v>
      </c>
      <c r="AC132" s="6">
        <v>0.04</v>
      </c>
      <c r="AD132" s="4">
        <f>AB132*AC132</f>
        <v>18830.666666666668</v>
      </c>
      <c r="AE132" s="4">
        <f t="shared" si="7"/>
        <v>4707.6666666666679</v>
      </c>
    </row>
    <row r="133" spans="1:31" x14ac:dyDescent="0.25">
      <c r="A133" t="s">
        <v>0</v>
      </c>
      <c r="B133" s="3" t="s">
        <v>2219</v>
      </c>
      <c r="C133" t="s">
        <v>412</v>
      </c>
      <c r="D133" t="s">
        <v>69</v>
      </c>
      <c r="E133" t="s">
        <v>413</v>
      </c>
      <c r="F133" s="1">
        <v>45713</v>
      </c>
      <c r="G133" s="1">
        <v>45713</v>
      </c>
      <c r="H133" t="s">
        <v>414</v>
      </c>
      <c r="I133" t="s">
        <v>5</v>
      </c>
      <c r="J133" t="s">
        <v>6</v>
      </c>
      <c r="K133" t="s">
        <v>4</v>
      </c>
      <c r="L133" t="s">
        <v>415</v>
      </c>
      <c r="M133" t="s">
        <v>415</v>
      </c>
      <c r="N133" s="2">
        <v>322410</v>
      </c>
      <c r="O133" t="s">
        <v>416</v>
      </c>
      <c r="P133" t="s">
        <v>9</v>
      </c>
      <c r="Q133" t="s">
        <v>75</v>
      </c>
      <c r="R133" t="e">
        <f>VLOOKUP(Q133,#REF!,2,FALSE)</f>
        <v>#REF!</v>
      </c>
      <c r="S133">
        <v>1004</v>
      </c>
      <c r="T133" t="s">
        <v>2225</v>
      </c>
      <c r="U133" t="s">
        <v>417</v>
      </c>
      <c r="V133" s="1">
        <v>45534</v>
      </c>
      <c r="W133" s="1">
        <v>45534</v>
      </c>
      <c r="X133" t="s">
        <v>77</v>
      </c>
      <c r="Y133" t="s">
        <v>78</v>
      </c>
      <c r="Z133" t="s">
        <v>6</v>
      </c>
      <c r="AA133" t="s">
        <v>78</v>
      </c>
      <c r="AB133" s="4">
        <f>L133/0.1</f>
        <v>3224100</v>
      </c>
      <c r="AC133" s="5" t="s">
        <v>2215</v>
      </c>
      <c r="AD133" s="4">
        <f>AB133/12</f>
        <v>268675</v>
      </c>
      <c r="AE133" s="4">
        <f t="shared" si="7"/>
        <v>-53735</v>
      </c>
    </row>
    <row r="134" spans="1:31" x14ac:dyDescent="0.25">
      <c r="A134" t="s">
        <v>0</v>
      </c>
      <c r="B134" s="3" t="s">
        <v>2219</v>
      </c>
      <c r="C134" t="s">
        <v>412</v>
      </c>
      <c r="D134" t="s">
        <v>69</v>
      </c>
      <c r="E134" t="s">
        <v>418</v>
      </c>
      <c r="F134" s="1">
        <v>45747</v>
      </c>
      <c r="G134" s="1">
        <v>45749</v>
      </c>
      <c r="H134" t="s">
        <v>128</v>
      </c>
      <c r="I134" t="s">
        <v>5</v>
      </c>
      <c r="J134" t="s">
        <v>6</v>
      </c>
      <c r="K134" t="s">
        <v>4</v>
      </c>
      <c r="L134" t="s">
        <v>419</v>
      </c>
      <c r="M134" t="s">
        <v>419</v>
      </c>
      <c r="N134" s="2">
        <v>12896</v>
      </c>
      <c r="O134" t="s">
        <v>416</v>
      </c>
      <c r="P134" t="s">
        <v>9</v>
      </c>
      <c r="Q134" t="s">
        <v>86</v>
      </c>
      <c r="R134" t="e">
        <f>VLOOKUP(Q134,#REF!,2,FALSE)</f>
        <v>#REF!</v>
      </c>
      <c r="S134">
        <v>1004</v>
      </c>
      <c r="T134" t="s">
        <v>2225</v>
      </c>
      <c r="U134" t="s">
        <v>417</v>
      </c>
      <c r="V134" s="1">
        <v>45534</v>
      </c>
      <c r="W134" s="1">
        <v>45534</v>
      </c>
      <c r="X134" t="s">
        <v>77</v>
      </c>
      <c r="Y134" t="s">
        <v>78</v>
      </c>
      <c r="Z134" t="s">
        <v>6</v>
      </c>
      <c r="AA134" t="s">
        <v>78</v>
      </c>
      <c r="AB134" s="4">
        <f>L134/0.03</f>
        <v>429866.66666666669</v>
      </c>
      <c r="AC134" s="6">
        <v>0.04</v>
      </c>
      <c r="AD134" s="4">
        <f>AB134*AC134</f>
        <v>17194.666666666668</v>
      </c>
      <c r="AE134" s="4">
        <f t="shared" si="7"/>
        <v>4298.6666666666679</v>
      </c>
    </row>
    <row r="135" spans="1:31" x14ac:dyDescent="0.25">
      <c r="A135" t="s">
        <v>0</v>
      </c>
      <c r="B135" s="3" t="s">
        <v>2219</v>
      </c>
      <c r="C135" t="s">
        <v>420</v>
      </c>
      <c r="D135" t="s">
        <v>69</v>
      </c>
      <c r="E135" t="s">
        <v>109</v>
      </c>
      <c r="F135" s="1">
        <v>45714</v>
      </c>
      <c r="G135" s="1">
        <v>45714</v>
      </c>
      <c r="H135" t="s">
        <v>372</v>
      </c>
      <c r="I135" t="s">
        <v>5</v>
      </c>
      <c r="J135" t="s">
        <v>6</v>
      </c>
      <c r="K135" t="s">
        <v>4</v>
      </c>
      <c r="L135" t="s">
        <v>421</v>
      </c>
      <c r="M135" t="s">
        <v>421</v>
      </c>
      <c r="N135" s="2">
        <v>693618</v>
      </c>
      <c r="O135" t="s">
        <v>422</v>
      </c>
      <c r="P135" t="s">
        <v>9</v>
      </c>
      <c r="Q135" t="s">
        <v>75</v>
      </c>
      <c r="R135" t="e">
        <f>VLOOKUP(Q135,#REF!,2,FALSE)</f>
        <v>#REF!</v>
      </c>
      <c r="S135">
        <v>1004</v>
      </c>
      <c r="T135" t="s">
        <v>2225</v>
      </c>
      <c r="U135" t="s">
        <v>423</v>
      </c>
      <c r="V135" s="1">
        <v>45534</v>
      </c>
      <c r="W135" s="1">
        <v>45534</v>
      </c>
      <c r="X135" t="s">
        <v>77</v>
      </c>
      <c r="Y135" t="s">
        <v>424</v>
      </c>
      <c r="Z135" t="s">
        <v>6</v>
      </c>
      <c r="AA135" t="s">
        <v>424</v>
      </c>
      <c r="AB135" s="4">
        <f>L135/0.1</f>
        <v>6936180</v>
      </c>
      <c r="AC135" s="5" t="s">
        <v>2215</v>
      </c>
      <c r="AD135" s="4">
        <f>AB135/12</f>
        <v>578015</v>
      </c>
      <c r="AE135" s="4">
        <f t="shared" si="7"/>
        <v>-115603</v>
      </c>
    </row>
    <row r="136" spans="1:31" x14ac:dyDescent="0.25">
      <c r="A136" t="s">
        <v>0</v>
      </c>
      <c r="B136" s="3" t="s">
        <v>2219</v>
      </c>
      <c r="C136" t="s">
        <v>420</v>
      </c>
      <c r="D136" t="s">
        <v>69</v>
      </c>
      <c r="E136" t="s">
        <v>203</v>
      </c>
      <c r="F136" s="1">
        <v>45747</v>
      </c>
      <c r="G136" s="1">
        <v>45749</v>
      </c>
      <c r="H136" t="s">
        <v>128</v>
      </c>
      <c r="I136" t="s">
        <v>5</v>
      </c>
      <c r="J136" t="s">
        <v>6</v>
      </c>
      <c r="K136" t="s">
        <v>4</v>
      </c>
      <c r="L136" t="s">
        <v>425</v>
      </c>
      <c r="M136" t="s">
        <v>425</v>
      </c>
      <c r="N136" s="2">
        <v>27745</v>
      </c>
      <c r="O136" t="s">
        <v>422</v>
      </c>
      <c r="P136" t="s">
        <v>9</v>
      </c>
      <c r="Q136" t="s">
        <v>86</v>
      </c>
      <c r="R136" t="e">
        <f>VLOOKUP(Q136,#REF!,2,FALSE)</f>
        <v>#REF!</v>
      </c>
      <c r="S136">
        <v>1004</v>
      </c>
      <c r="T136" t="s">
        <v>2225</v>
      </c>
      <c r="U136" t="s">
        <v>423</v>
      </c>
      <c r="V136" s="1">
        <v>45534</v>
      </c>
      <c r="W136" s="1">
        <v>45534</v>
      </c>
      <c r="X136" t="s">
        <v>77</v>
      </c>
      <c r="Y136" t="s">
        <v>424</v>
      </c>
      <c r="Z136" t="s">
        <v>6</v>
      </c>
      <c r="AA136" t="s">
        <v>424</v>
      </c>
      <c r="AB136" s="4">
        <f>L136/0.03</f>
        <v>924833.33333333337</v>
      </c>
      <c r="AC136" s="6">
        <v>0.04</v>
      </c>
      <c r="AD136" s="4">
        <f>AB136*AC136</f>
        <v>36993.333333333336</v>
      </c>
      <c r="AE136" s="4">
        <f t="shared" si="7"/>
        <v>9248.3333333333358</v>
      </c>
    </row>
    <row r="137" spans="1:31" x14ac:dyDescent="0.25">
      <c r="A137" t="s">
        <v>0</v>
      </c>
      <c r="B137" s="3" t="s">
        <v>2219</v>
      </c>
      <c r="C137" t="s">
        <v>426</v>
      </c>
      <c r="D137" t="s">
        <v>69</v>
      </c>
      <c r="E137" t="s">
        <v>203</v>
      </c>
      <c r="F137" s="1">
        <v>45713</v>
      </c>
      <c r="G137" s="1">
        <v>45713</v>
      </c>
      <c r="H137" t="s">
        <v>407</v>
      </c>
      <c r="I137" t="s">
        <v>5</v>
      </c>
      <c r="J137" t="s">
        <v>6</v>
      </c>
      <c r="K137" t="s">
        <v>4</v>
      </c>
      <c r="L137" t="s">
        <v>427</v>
      </c>
      <c r="M137" t="s">
        <v>427</v>
      </c>
      <c r="N137" s="2">
        <v>1463268</v>
      </c>
      <c r="O137" t="s">
        <v>428</v>
      </c>
      <c r="P137" t="s">
        <v>9</v>
      </c>
      <c r="Q137" t="s">
        <v>75</v>
      </c>
      <c r="R137" t="e">
        <f>VLOOKUP(Q137,#REF!,2,FALSE)</f>
        <v>#REF!</v>
      </c>
      <c r="S137">
        <v>1004</v>
      </c>
      <c r="T137" t="s">
        <v>2225</v>
      </c>
      <c r="U137" t="s">
        <v>429</v>
      </c>
      <c r="V137" s="1">
        <v>45534</v>
      </c>
      <c r="W137" s="1">
        <v>45534</v>
      </c>
      <c r="X137" t="s">
        <v>77</v>
      </c>
      <c r="Y137" t="s">
        <v>78</v>
      </c>
      <c r="Z137" t="s">
        <v>6</v>
      </c>
      <c r="AA137" t="s">
        <v>78</v>
      </c>
      <c r="AB137" s="4">
        <f>L137/0.1</f>
        <v>14632680</v>
      </c>
      <c r="AC137" s="5" t="s">
        <v>2215</v>
      </c>
      <c r="AD137" s="4">
        <f>AB137/12</f>
        <v>1219390</v>
      </c>
      <c r="AE137" s="4">
        <f t="shared" si="7"/>
        <v>-243878</v>
      </c>
    </row>
    <row r="138" spans="1:31" x14ac:dyDescent="0.25">
      <c r="A138" t="s">
        <v>0</v>
      </c>
      <c r="B138" s="3" t="s">
        <v>2219</v>
      </c>
      <c r="C138" t="s">
        <v>426</v>
      </c>
      <c r="D138" t="s">
        <v>69</v>
      </c>
      <c r="E138" t="s">
        <v>208</v>
      </c>
      <c r="F138" s="1">
        <v>45747</v>
      </c>
      <c r="G138" s="1">
        <v>45749</v>
      </c>
      <c r="H138" t="s">
        <v>128</v>
      </c>
      <c r="I138" t="s">
        <v>5</v>
      </c>
      <c r="J138" t="s">
        <v>6</v>
      </c>
      <c r="K138" t="s">
        <v>4</v>
      </c>
      <c r="L138" t="s">
        <v>430</v>
      </c>
      <c r="M138" t="s">
        <v>430</v>
      </c>
      <c r="N138" s="2">
        <v>58533</v>
      </c>
      <c r="O138" t="s">
        <v>428</v>
      </c>
      <c r="P138" t="s">
        <v>9</v>
      </c>
      <c r="Q138" t="s">
        <v>86</v>
      </c>
      <c r="R138" t="e">
        <f>VLOOKUP(Q138,#REF!,2,FALSE)</f>
        <v>#REF!</v>
      </c>
      <c r="S138">
        <v>1004</v>
      </c>
      <c r="T138" t="s">
        <v>2225</v>
      </c>
      <c r="U138" t="s">
        <v>429</v>
      </c>
      <c r="V138" s="1">
        <v>45534</v>
      </c>
      <c r="W138" s="1">
        <v>45534</v>
      </c>
      <c r="X138" t="s">
        <v>77</v>
      </c>
      <c r="Y138" t="s">
        <v>78</v>
      </c>
      <c r="Z138" t="s">
        <v>6</v>
      </c>
      <c r="AA138" t="s">
        <v>78</v>
      </c>
      <c r="AB138" s="4">
        <f>L138/0.03</f>
        <v>1951100</v>
      </c>
      <c r="AC138" s="6">
        <v>0.04</v>
      </c>
      <c r="AD138" s="4">
        <f>AB138*AC138</f>
        <v>78044</v>
      </c>
      <c r="AE138" s="4">
        <f t="shared" si="7"/>
        <v>19511</v>
      </c>
    </row>
    <row r="139" spans="1:31" x14ac:dyDescent="0.25">
      <c r="A139" t="s">
        <v>0</v>
      </c>
      <c r="B139" s="3" t="s">
        <v>2219</v>
      </c>
      <c r="C139" t="s">
        <v>431</v>
      </c>
      <c r="D139" t="s">
        <v>69</v>
      </c>
      <c r="E139" t="s">
        <v>432</v>
      </c>
      <c r="F139" s="1">
        <v>45699</v>
      </c>
      <c r="G139" s="1">
        <v>45699</v>
      </c>
      <c r="H139" t="s">
        <v>332</v>
      </c>
      <c r="I139" t="s">
        <v>5</v>
      </c>
      <c r="J139" t="s">
        <v>6</v>
      </c>
      <c r="K139" t="s">
        <v>4</v>
      </c>
      <c r="L139" t="s">
        <v>433</v>
      </c>
      <c r="M139" t="s">
        <v>433</v>
      </c>
      <c r="N139" s="2">
        <v>2210518</v>
      </c>
      <c r="O139" t="s">
        <v>434</v>
      </c>
      <c r="P139" t="s">
        <v>9</v>
      </c>
      <c r="Q139" t="s">
        <v>75</v>
      </c>
      <c r="R139" t="e">
        <f>VLOOKUP(Q139,#REF!,2,FALSE)</f>
        <v>#REF!</v>
      </c>
      <c r="S139">
        <v>1015</v>
      </c>
      <c r="T139" t="s">
        <v>2226</v>
      </c>
      <c r="U139" t="s">
        <v>435</v>
      </c>
      <c r="V139" s="1">
        <v>45535</v>
      </c>
      <c r="W139" s="1">
        <v>45535</v>
      </c>
      <c r="X139" t="s">
        <v>77</v>
      </c>
      <c r="Y139" t="s">
        <v>263</v>
      </c>
      <c r="Z139" t="s">
        <v>6</v>
      </c>
      <c r="AA139" t="s">
        <v>263</v>
      </c>
      <c r="AB139" s="4">
        <f>L139/0.1</f>
        <v>22105180</v>
      </c>
      <c r="AC139" s="5" t="s">
        <v>2215</v>
      </c>
      <c r="AD139" s="4">
        <f>AB139/12</f>
        <v>1842098.3333333333</v>
      </c>
      <c r="AE139" s="4">
        <f t="shared" si="7"/>
        <v>-368419.66666666674</v>
      </c>
    </row>
    <row r="140" spans="1:31" x14ac:dyDescent="0.25">
      <c r="A140" t="s">
        <v>0</v>
      </c>
      <c r="B140" s="3" t="s">
        <v>2219</v>
      </c>
      <c r="C140" t="s">
        <v>431</v>
      </c>
      <c r="D140" t="s">
        <v>69</v>
      </c>
      <c r="E140" t="s">
        <v>436</v>
      </c>
      <c r="F140" s="1">
        <v>45723</v>
      </c>
      <c r="G140" s="1">
        <v>45724</v>
      </c>
      <c r="H140" t="s">
        <v>337</v>
      </c>
      <c r="I140" t="s">
        <v>5</v>
      </c>
      <c r="J140" t="s">
        <v>6</v>
      </c>
      <c r="K140" t="s">
        <v>4</v>
      </c>
      <c r="L140" t="s">
        <v>338</v>
      </c>
      <c r="M140" t="s">
        <v>338</v>
      </c>
      <c r="N140" s="2">
        <v>12932</v>
      </c>
      <c r="O140" t="s">
        <v>434</v>
      </c>
      <c r="P140" t="s">
        <v>9</v>
      </c>
      <c r="Q140" t="s">
        <v>82</v>
      </c>
      <c r="R140" t="e">
        <f>VLOOKUP(Q140,#REF!,2,FALSE)</f>
        <v>#REF!</v>
      </c>
      <c r="S140">
        <v>1015</v>
      </c>
      <c r="T140" t="s">
        <v>2226</v>
      </c>
      <c r="U140" t="s">
        <v>435</v>
      </c>
      <c r="V140" s="1">
        <v>45535</v>
      </c>
      <c r="W140" s="1">
        <v>45535</v>
      </c>
      <c r="X140" t="s">
        <v>77</v>
      </c>
      <c r="Y140" t="s">
        <v>263</v>
      </c>
      <c r="Z140" t="s">
        <v>6</v>
      </c>
      <c r="AA140" t="s">
        <v>263</v>
      </c>
      <c r="AB140" s="4">
        <f>L140/0.08</f>
        <v>161650</v>
      </c>
      <c r="AC140" s="6">
        <v>0.1</v>
      </c>
      <c r="AD140" s="4">
        <f>AB140*AC140</f>
        <v>16165</v>
      </c>
      <c r="AE140" s="4">
        <f t="shared" si="7"/>
        <v>3233</v>
      </c>
    </row>
    <row r="141" spans="1:31" x14ac:dyDescent="0.25">
      <c r="A141" t="s">
        <v>0</v>
      </c>
      <c r="B141" s="3" t="s">
        <v>2219</v>
      </c>
      <c r="C141" t="s">
        <v>431</v>
      </c>
      <c r="D141" t="s">
        <v>69</v>
      </c>
      <c r="E141" t="s">
        <v>437</v>
      </c>
      <c r="F141" s="1">
        <v>45723</v>
      </c>
      <c r="G141" s="1">
        <v>45724</v>
      </c>
      <c r="H141" t="s">
        <v>337</v>
      </c>
      <c r="I141" t="s">
        <v>5</v>
      </c>
      <c r="J141" t="s">
        <v>6</v>
      </c>
      <c r="K141" t="s">
        <v>4</v>
      </c>
      <c r="L141" t="s">
        <v>438</v>
      </c>
      <c r="M141" t="s">
        <v>438</v>
      </c>
      <c r="N141" s="2">
        <v>88935</v>
      </c>
      <c r="O141" t="s">
        <v>434</v>
      </c>
      <c r="P141" t="s">
        <v>9</v>
      </c>
      <c r="Q141" t="s">
        <v>86</v>
      </c>
      <c r="R141" t="e">
        <f>VLOOKUP(Q141,#REF!,2,FALSE)</f>
        <v>#REF!</v>
      </c>
      <c r="S141">
        <v>1015</v>
      </c>
      <c r="T141" t="s">
        <v>2226</v>
      </c>
      <c r="U141" t="s">
        <v>435</v>
      </c>
      <c r="V141" s="1">
        <v>45535</v>
      </c>
      <c r="W141" s="1">
        <v>45535</v>
      </c>
      <c r="X141" t="s">
        <v>77</v>
      </c>
      <c r="Y141" t="s">
        <v>263</v>
      </c>
      <c r="Z141" t="s">
        <v>6</v>
      </c>
      <c r="AA141" t="s">
        <v>263</v>
      </c>
      <c r="AB141" s="4">
        <f>L141/0.03</f>
        <v>2964500</v>
      </c>
      <c r="AC141" s="6">
        <v>0.04</v>
      </c>
      <c r="AD141" s="4">
        <f>AB141*AC141</f>
        <v>118580</v>
      </c>
      <c r="AE141" s="4">
        <f t="shared" si="7"/>
        <v>29645</v>
      </c>
    </row>
    <row r="142" spans="1:31" x14ac:dyDescent="0.25">
      <c r="A142" t="s">
        <v>0</v>
      </c>
      <c r="B142" s="3" t="s">
        <v>2219</v>
      </c>
      <c r="C142" t="s">
        <v>439</v>
      </c>
      <c r="D142" t="s">
        <v>69</v>
      </c>
      <c r="E142" t="s">
        <v>67</v>
      </c>
      <c r="F142" s="1">
        <v>45540</v>
      </c>
      <c r="G142" s="1">
        <v>45544</v>
      </c>
      <c r="H142" t="s">
        <v>440</v>
      </c>
      <c r="I142" t="s">
        <v>5</v>
      </c>
      <c r="J142" t="s">
        <v>6</v>
      </c>
      <c r="K142" t="s">
        <v>4</v>
      </c>
      <c r="L142" t="s">
        <v>441</v>
      </c>
      <c r="M142" t="s">
        <v>441</v>
      </c>
      <c r="N142" s="2">
        <v>2087910</v>
      </c>
      <c r="O142" t="s">
        <v>442</v>
      </c>
      <c r="P142" t="s">
        <v>9</v>
      </c>
      <c r="Q142" t="s">
        <v>75</v>
      </c>
      <c r="R142" t="e">
        <f>VLOOKUP(Q142,#REF!,2,FALSE)</f>
        <v>#REF!</v>
      </c>
      <c r="S142">
        <v>1511</v>
      </c>
      <c r="T142" t="s">
        <v>2224</v>
      </c>
      <c r="U142" t="s">
        <v>443</v>
      </c>
      <c r="V142" s="1">
        <v>45535</v>
      </c>
      <c r="W142" s="1">
        <v>45535</v>
      </c>
      <c r="X142" t="s">
        <v>77</v>
      </c>
      <c r="Y142" t="s">
        <v>78</v>
      </c>
      <c r="Z142" t="s">
        <v>6</v>
      </c>
      <c r="AA142" t="s">
        <v>78</v>
      </c>
      <c r="AB142" s="4">
        <f>L142/0.1</f>
        <v>20879100</v>
      </c>
      <c r="AC142" s="5" t="s">
        <v>2215</v>
      </c>
      <c r="AD142" s="4">
        <f>AB142/12</f>
        <v>1739925</v>
      </c>
      <c r="AE142" s="4">
        <f t="shared" si="7"/>
        <v>-347985</v>
      </c>
    </row>
    <row r="143" spans="1:31" x14ac:dyDescent="0.25">
      <c r="A143" t="s">
        <v>0</v>
      </c>
      <c r="B143" s="3" t="s">
        <v>2219</v>
      </c>
      <c r="C143" t="s">
        <v>439</v>
      </c>
      <c r="D143" t="s">
        <v>69</v>
      </c>
      <c r="E143" t="s">
        <v>227</v>
      </c>
      <c r="F143" s="1">
        <v>45540</v>
      </c>
      <c r="G143" s="1">
        <v>45544</v>
      </c>
      <c r="H143" t="s">
        <v>440</v>
      </c>
      <c r="I143" t="s">
        <v>5</v>
      </c>
      <c r="J143" t="s">
        <v>6</v>
      </c>
      <c r="K143" t="s">
        <v>4</v>
      </c>
      <c r="L143" t="s">
        <v>444</v>
      </c>
      <c r="M143" t="s">
        <v>444</v>
      </c>
      <c r="N143" s="2">
        <v>30474</v>
      </c>
      <c r="O143" t="s">
        <v>442</v>
      </c>
      <c r="P143" t="s">
        <v>9</v>
      </c>
      <c r="Q143" t="s">
        <v>82</v>
      </c>
      <c r="R143" t="e">
        <f>VLOOKUP(Q143,#REF!,2,FALSE)</f>
        <v>#REF!</v>
      </c>
      <c r="S143">
        <v>1511</v>
      </c>
      <c r="T143" t="s">
        <v>2224</v>
      </c>
      <c r="U143" t="s">
        <v>443</v>
      </c>
      <c r="V143" s="1">
        <v>45535</v>
      </c>
      <c r="W143" s="1">
        <v>45535</v>
      </c>
      <c r="X143" t="s">
        <v>77</v>
      </c>
      <c r="Y143" t="s">
        <v>78</v>
      </c>
      <c r="Z143" t="s">
        <v>6</v>
      </c>
      <c r="AA143" t="s">
        <v>78</v>
      </c>
      <c r="AB143" s="4">
        <f>L143/0.08</f>
        <v>380925</v>
      </c>
      <c r="AC143" s="6">
        <v>0.1</v>
      </c>
      <c r="AD143" s="4">
        <f>AB143*AC143</f>
        <v>38092.5</v>
      </c>
      <c r="AE143" s="4">
        <f t="shared" si="7"/>
        <v>7618.5</v>
      </c>
    </row>
    <row r="144" spans="1:31" x14ac:dyDescent="0.25">
      <c r="A144" t="s">
        <v>0</v>
      </c>
      <c r="B144" s="3" t="s">
        <v>2219</v>
      </c>
      <c r="C144" t="s">
        <v>439</v>
      </c>
      <c r="D144" t="s">
        <v>69</v>
      </c>
      <c r="E144" t="s">
        <v>143</v>
      </c>
      <c r="F144" s="1">
        <v>45540</v>
      </c>
      <c r="G144" s="1">
        <v>45544</v>
      </c>
      <c r="H144" t="s">
        <v>440</v>
      </c>
      <c r="I144" t="s">
        <v>5</v>
      </c>
      <c r="J144" t="s">
        <v>6</v>
      </c>
      <c r="K144" t="s">
        <v>4</v>
      </c>
      <c r="L144" t="s">
        <v>445</v>
      </c>
      <c r="M144" t="s">
        <v>445</v>
      </c>
      <c r="N144" s="2">
        <v>84734</v>
      </c>
      <c r="O144" t="s">
        <v>442</v>
      </c>
      <c r="P144" t="s">
        <v>9</v>
      </c>
      <c r="Q144" t="s">
        <v>86</v>
      </c>
      <c r="R144" t="e">
        <f>VLOOKUP(Q144,#REF!,2,FALSE)</f>
        <v>#REF!</v>
      </c>
      <c r="S144">
        <v>1511</v>
      </c>
      <c r="T144" t="s">
        <v>2224</v>
      </c>
      <c r="U144" t="s">
        <v>443</v>
      </c>
      <c r="V144" s="1">
        <v>45535</v>
      </c>
      <c r="W144" s="1">
        <v>45535</v>
      </c>
      <c r="X144" t="s">
        <v>77</v>
      </c>
      <c r="Y144" t="s">
        <v>78</v>
      </c>
      <c r="Z144" t="s">
        <v>6</v>
      </c>
      <c r="AA144" t="s">
        <v>78</v>
      </c>
      <c r="AB144" s="4">
        <f>L144/0.03</f>
        <v>2824466.666666667</v>
      </c>
      <c r="AC144" s="6">
        <v>0.04</v>
      </c>
      <c r="AD144" s="4">
        <f>AB144*AC144</f>
        <v>112978.66666666669</v>
      </c>
      <c r="AE144" s="4">
        <f t="shared" si="7"/>
        <v>28244.666666666686</v>
      </c>
    </row>
    <row r="145" spans="1:31" x14ac:dyDescent="0.25">
      <c r="A145" t="s">
        <v>0</v>
      </c>
      <c r="B145" s="3" t="s">
        <v>2219</v>
      </c>
      <c r="C145" t="s">
        <v>446</v>
      </c>
      <c r="D145" t="s">
        <v>69</v>
      </c>
      <c r="E145" t="s">
        <v>43</v>
      </c>
      <c r="F145" s="1">
        <v>45540</v>
      </c>
      <c r="G145" s="1">
        <v>45544</v>
      </c>
      <c r="H145" t="s">
        <v>447</v>
      </c>
      <c r="I145" t="s">
        <v>5</v>
      </c>
      <c r="J145" t="s">
        <v>6</v>
      </c>
      <c r="K145" t="s">
        <v>4</v>
      </c>
      <c r="L145" t="s">
        <v>448</v>
      </c>
      <c r="M145" t="s">
        <v>448</v>
      </c>
      <c r="N145" s="2">
        <v>341879</v>
      </c>
      <c r="O145" t="s">
        <v>449</v>
      </c>
      <c r="P145" t="s">
        <v>9</v>
      </c>
      <c r="Q145" t="s">
        <v>75</v>
      </c>
      <c r="R145" t="e">
        <f>VLOOKUP(Q145,#REF!,2,FALSE)</f>
        <v>#REF!</v>
      </c>
      <c r="S145">
        <v>1511</v>
      </c>
      <c r="T145" t="s">
        <v>2224</v>
      </c>
      <c r="U145" t="s">
        <v>450</v>
      </c>
      <c r="V145" s="1">
        <v>45535</v>
      </c>
      <c r="W145" s="1">
        <v>45535</v>
      </c>
      <c r="X145" t="s">
        <v>77</v>
      </c>
      <c r="Y145" t="s">
        <v>78</v>
      </c>
      <c r="Z145" t="s">
        <v>6</v>
      </c>
      <c r="AA145" t="s">
        <v>78</v>
      </c>
      <c r="AB145" s="4">
        <f>L145/0.1</f>
        <v>3418790</v>
      </c>
      <c r="AC145" s="5" t="s">
        <v>2215</v>
      </c>
      <c r="AD145" s="4">
        <f>AB145/12</f>
        <v>284899.16666666669</v>
      </c>
      <c r="AE145" s="4">
        <f t="shared" si="7"/>
        <v>-56979.833333333314</v>
      </c>
    </row>
    <row r="146" spans="1:31" x14ac:dyDescent="0.25">
      <c r="A146" t="s">
        <v>0</v>
      </c>
      <c r="B146" s="3" t="s">
        <v>2219</v>
      </c>
      <c r="C146" t="s">
        <v>446</v>
      </c>
      <c r="D146" t="s">
        <v>69</v>
      </c>
      <c r="E146" t="s">
        <v>104</v>
      </c>
      <c r="F146" s="1">
        <v>45540</v>
      </c>
      <c r="G146" s="1">
        <v>45544</v>
      </c>
      <c r="H146" t="s">
        <v>447</v>
      </c>
      <c r="I146" t="s">
        <v>5</v>
      </c>
      <c r="J146" t="s">
        <v>6</v>
      </c>
      <c r="K146" t="s">
        <v>4</v>
      </c>
      <c r="L146" t="s">
        <v>451</v>
      </c>
      <c r="M146" t="s">
        <v>451</v>
      </c>
      <c r="N146" s="2">
        <v>13678</v>
      </c>
      <c r="O146" t="s">
        <v>449</v>
      </c>
      <c r="P146" t="s">
        <v>9</v>
      </c>
      <c r="Q146" t="s">
        <v>86</v>
      </c>
      <c r="R146" t="e">
        <f>VLOOKUP(Q146,#REF!,2,FALSE)</f>
        <v>#REF!</v>
      </c>
      <c r="S146">
        <v>1511</v>
      </c>
      <c r="T146" t="s">
        <v>2224</v>
      </c>
      <c r="U146" t="s">
        <v>450</v>
      </c>
      <c r="V146" s="1">
        <v>45535</v>
      </c>
      <c r="W146" s="1">
        <v>45535</v>
      </c>
      <c r="X146" t="s">
        <v>77</v>
      </c>
      <c r="Y146" t="s">
        <v>78</v>
      </c>
      <c r="Z146" t="s">
        <v>6</v>
      </c>
      <c r="AA146" t="s">
        <v>78</v>
      </c>
      <c r="AB146" s="4">
        <f>L146/0.03</f>
        <v>455933.33333333337</v>
      </c>
      <c r="AC146" s="6">
        <v>0.04</v>
      </c>
      <c r="AD146" s="4">
        <f>AB146*AC146</f>
        <v>18237.333333333336</v>
      </c>
      <c r="AE146" s="4">
        <f t="shared" si="7"/>
        <v>4559.3333333333358</v>
      </c>
    </row>
    <row r="147" spans="1:31" x14ac:dyDescent="0.25">
      <c r="A147" t="s">
        <v>0</v>
      </c>
      <c r="B147" s="3" t="s">
        <v>2219</v>
      </c>
      <c r="C147" t="s">
        <v>452</v>
      </c>
      <c r="D147" t="s">
        <v>69</v>
      </c>
      <c r="E147" t="s">
        <v>189</v>
      </c>
      <c r="F147" s="1">
        <v>45556</v>
      </c>
      <c r="G147" s="1">
        <v>45556</v>
      </c>
      <c r="H147" t="s">
        <v>453</v>
      </c>
      <c r="I147" t="s">
        <v>5</v>
      </c>
      <c r="J147" t="s">
        <v>6</v>
      </c>
      <c r="K147" t="s">
        <v>4</v>
      </c>
      <c r="L147" t="s">
        <v>454</v>
      </c>
      <c r="M147" t="s">
        <v>454</v>
      </c>
      <c r="N147" s="2">
        <v>2476312</v>
      </c>
      <c r="O147" t="s">
        <v>455</v>
      </c>
      <c r="P147" t="s">
        <v>9</v>
      </c>
      <c r="Q147" t="s">
        <v>75</v>
      </c>
      <c r="R147" t="e">
        <f>VLOOKUP(Q147,#REF!,2,FALSE)</f>
        <v>#REF!</v>
      </c>
      <c r="S147">
        <v>1511</v>
      </c>
      <c r="T147" t="s">
        <v>2224</v>
      </c>
      <c r="U147" t="s">
        <v>456</v>
      </c>
      <c r="V147" s="1">
        <v>45535</v>
      </c>
      <c r="W147" s="1">
        <v>45535</v>
      </c>
      <c r="X147" t="s">
        <v>77</v>
      </c>
      <c r="Y147" t="s">
        <v>78</v>
      </c>
      <c r="Z147" t="s">
        <v>6</v>
      </c>
      <c r="AA147" t="s">
        <v>78</v>
      </c>
      <c r="AB147" s="4">
        <f>L147/0.1</f>
        <v>24763120</v>
      </c>
      <c r="AC147" s="5" t="s">
        <v>2215</v>
      </c>
      <c r="AD147" s="4">
        <f>AB147/12</f>
        <v>2063593.3333333333</v>
      </c>
      <c r="AE147" s="4">
        <f t="shared" si="7"/>
        <v>-412718.66666666674</v>
      </c>
    </row>
    <row r="148" spans="1:31" x14ac:dyDescent="0.25">
      <c r="A148" t="s">
        <v>0</v>
      </c>
      <c r="B148" s="3" t="s">
        <v>2219</v>
      </c>
      <c r="C148" t="s">
        <v>452</v>
      </c>
      <c r="D148" t="s">
        <v>69</v>
      </c>
      <c r="E148" t="s">
        <v>191</v>
      </c>
      <c r="F148" s="1">
        <v>45747</v>
      </c>
      <c r="G148" s="1">
        <v>45749</v>
      </c>
      <c r="H148" t="s">
        <v>80</v>
      </c>
      <c r="I148" t="s">
        <v>5</v>
      </c>
      <c r="J148" t="s">
        <v>6</v>
      </c>
      <c r="K148" t="s">
        <v>4</v>
      </c>
      <c r="L148" t="s">
        <v>457</v>
      </c>
      <c r="M148" t="s">
        <v>457</v>
      </c>
      <c r="N148" s="2">
        <v>10387</v>
      </c>
      <c r="O148" t="s">
        <v>455</v>
      </c>
      <c r="P148" t="s">
        <v>9</v>
      </c>
      <c r="Q148" t="s">
        <v>82</v>
      </c>
      <c r="R148" t="e">
        <f>VLOOKUP(Q148,#REF!,2,FALSE)</f>
        <v>#REF!</v>
      </c>
      <c r="S148">
        <v>1511</v>
      </c>
      <c r="T148" t="s">
        <v>2224</v>
      </c>
      <c r="U148" t="s">
        <v>456</v>
      </c>
      <c r="V148" s="1">
        <v>45535</v>
      </c>
      <c r="W148" s="1">
        <v>45535</v>
      </c>
      <c r="X148" t="s">
        <v>77</v>
      </c>
      <c r="Y148" t="s">
        <v>78</v>
      </c>
      <c r="Z148" t="s">
        <v>6</v>
      </c>
      <c r="AA148" t="s">
        <v>78</v>
      </c>
      <c r="AB148" s="4">
        <f>L148/0.08</f>
        <v>129837.5</v>
      </c>
      <c r="AC148" s="6">
        <v>0.1</v>
      </c>
      <c r="AD148" s="4">
        <f>AB148*AC148</f>
        <v>12983.75</v>
      </c>
      <c r="AE148" s="4">
        <f t="shared" si="7"/>
        <v>2596.75</v>
      </c>
    </row>
    <row r="149" spans="1:31" x14ac:dyDescent="0.25">
      <c r="A149" t="s">
        <v>0</v>
      </c>
      <c r="B149" s="3" t="s">
        <v>2219</v>
      </c>
      <c r="C149" t="s">
        <v>452</v>
      </c>
      <c r="D149" t="s">
        <v>69</v>
      </c>
      <c r="E149" t="s">
        <v>458</v>
      </c>
      <c r="F149" s="1">
        <v>45553</v>
      </c>
      <c r="G149" s="1">
        <v>45553</v>
      </c>
      <c r="H149" t="s">
        <v>459</v>
      </c>
      <c r="I149" t="s">
        <v>5</v>
      </c>
      <c r="J149" t="s">
        <v>6</v>
      </c>
      <c r="K149" t="s">
        <v>4</v>
      </c>
      <c r="L149" t="s">
        <v>460</v>
      </c>
      <c r="M149" t="s">
        <v>460</v>
      </c>
      <c r="N149" s="2">
        <v>99464</v>
      </c>
      <c r="O149" t="s">
        <v>455</v>
      </c>
      <c r="P149" t="s">
        <v>9</v>
      </c>
      <c r="Q149" t="s">
        <v>86</v>
      </c>
      <c r="R149" t="e">
        <f>VLOOKUP(Q149,#REF!,2,FALSE)</f>
        <v>#REF!</v>
      </c>
      <c r="S149">
        <v>1511</v>
      </c>
      <c r="T149" t="s">
        <v>2224</v>
      </c>
      <c r="U149" t="s">
        <v>456</v>
      </c>
      <c r="V149" s="1">
        <v>45535</v>
      </c>
      <c r="W149" s="1">
        <v>45535</v>
      </c>
      <c r="X149" t="s">
        <v>77</v>
      </c>
      <c r="Y149" t="s">
        <v>78</v>
      </c>
      <c r="Z149" t="s">
        <v>6</v>
      </c>
      <c r="AA149" t="s">
        <v>78</v>
      </c>
      <c r="AB149" s="4">
        <f>L149/0.03</f>
        <v>3315466.666666667</v>
      </c>
      <c r="AC149" s="6">
        <v>0.04</v>
      </c>
      <c r="AD149" s="4">
        <f>AB149*AC149</f>
        <v>132618.66666666669</v>
      </c>
      <c r="AE149" s="4">
        <f t="shared" si="7"/>
        <v>33154.666666666686</v>
      </c>
    </row>
    <row r="150" spans="1:31" x14ac:dyDescent="0.25">
      <c r="A150" t="s">
        <v>0</v>
      </c>
      <c r="B150" s="3" t="s">
        <v>2219</v>
      </c>
      <c r="C150" t="s">
        <v>461</v>
      </c>
      <c r="D150" t="s">
        <v>69</v>
      </c>
      <c r="E150" t="s">
        <v>200</v>
      </c>
      <c r="F150" s="1">
        <v>45556</v>
      </c>
      <c r="G150" s="1">
        <v>45556</v>
      </c>
      <c r="H150" t="s">
        <v>453</v>
      </c>
      <c r="I150" t="s">
        <v>5</v>
      </c>
      <c r="J150" t="s">
        <v>6</v>
      </c>
      <c r="K150" t="s">
        <v>4</v>
      </c>
      <c r="L150" t="s">
        <v>462</v>
      </c>
      <c r="M150" t="s">
        <v>462</v>
      </c>
      <c r="N150" s="2">
        <v>2209303</v>
      </c>
      <c r="O150" t="s">
        <v>463</v>
      </c>
      <c r="P150" t="s">
        <v>9</v>
      </c>
      <c r="Q150" t="s">
        <v>75</v>
      </c>
      <c r="R150" t="e">
        <f>VLOOKUP(Q150,#REF!,2,FALSE)</f>
        <v>#REF!</v>
      </c>
      <c r="S150">
        <v>1511</v>
      </c>
      <c r="T150" t="s">
        <v>2224</v>
      </c>
      <c r="U150" t="s">
        <v>464</v>
      </c>
      <c r="V150" s="1">
        <v>45535</v>
      </c>
      <c r="W150" s="1">
        <v>45535</v>
      </c>
      <c r="X150" t="s">
        <v>77</v>
      </c>
      <c r="Y150" t="s">
        <v>78</v>
      </c>
      <c r="Z150" t="s">
        <v>6</v>
      </c>
      <c r="AA150" t="s">
        <v>78</v>
      </c>
      <c r="AB150" s="4">
        <f>L150/0.1</f>
        <v>22093030</v>
      </c>
      <c r="AC150" s="5" t="s">
        <v>2215</v>
      </c>
      <c r="AD150" s="4">
        <f>AB150/12</f>
        <v>1841085.8333333333</v>
      </c>
      <c r="AE150" s="4">
        <f t="shared" si="7"/>
        <v>-368217.16666666674</v>
      </c>
    </row>
    <row r="151" spans="1:31" x14ac:dyDescent="0.25">
      <c r="A151" t="s">
        <v>0</v>
      </c>
      <c r="B151" s="3" t="s">
        <v>2219</v>
      </c>
      <c r="C151" t="s">
        <v>461</v>
      </c>
      <c r="D151" t="s">
        <v>69</v>
      </c>
      <c r="E151" t="s">
        <v>71</v>
      </c>
      <c r="F151" s="1">
        <v>45747</v>
      </c>
      <c r="G151" s="1">
        <v>45749</v>
      </c>
      <c r="H151" t="s">
        <v>80</v>
      </c>
      <c r="I151" t="s">
        <v>5</v>
      </c>
      <c r="J151" t="s">
        <v>6</v>
      </c>
      <c r="K151" t="s">
        <v>4</v>
      </c>
      <c r="L151" t="s">
        <v>286</v>
      </c>
      <c r="M151" t="s">
        <v>286</v>
      </c>
      <c r="N151" s="2">
        <v>12399</v>
      </c>
      <c r="O151" t="s">
        <v>463</v>
      </c>
      <c r="P151" t="s">
        <v>9</v>
      </c>
      <c r="Q151" t="s">
        <v>82</v>
      </c>
      <c r="R151" t="e">
        <f>VLOOKUP(Q151,#REF!,2,FALSE)</f>
        <v>#REF!</v>
      </c>
      <c r="S151">
        <v>1511</v>
      </c>
      <c r="T151" t="s">
        <v>2224</v>
      </c>
      <c r="U151" t="s">
        <v>464</v>
      </c>
      <c r="V151" s="1">
        <v>45535</v>
      </c>
      <c r="W151" s="1">
        <v>45535</v>
      </c>
      <c r="X151" t="s">
        <v>77</v>
      </c>
      <c r="Y151" t="s">
        <v>78</v>
      </c>
      <c r="Z151" t="s">
        <v>6</v>
      </c>
      <c r="AA151" t="s">
        <v>78</v>
      </c>
      <c r="AB151" s="4">
        <f>L151/0.08</f>
        <v>154987.5</v>
      </c>
      <c r="AC151" s="6">
        <v>0.1</v>
      </c>
      <c r="AD151" s="4">
        <f>AB151*AC151</f>
        <v>15498.75</v>
      </c>
      <c r="AE151" s="4">
        <f t="shared" si="7"/>
        <v>3099.75</v>
      </c>
    </row>
    <row r="152" spans="1:31" x14ac:dyDescent="0.25">
      <c r="A152" t="s">
        <v>0</v>
      </c>
      <c r="B152" s="3" t="s">
        <v>2219</v>
      </c>
      <c r="C152" t="s">
        <v>461</v>
      </c>
      <c r="D152" t="s">
        <v>69</v>
      </c>
      <c r="E152" t="s">
        <v>79</v>
      </c>
      <c r="F152" s="1">
        <v>45556</v>
      </c>
      <c r="G152" s="1">
        <v>45556</v>
      </c>
      <c r="H152" t="s">
        <v>465</v>
      </c>
      <c r="I152" t="s">
        <v>5</v>
      </c>
      <c r="J152" t="s">
        <v>6</v>
      </c>
      <c r="K152" t="s">
        <v>4</v>
      </c>
      <c r="L152" t="s">
        <v>466</v>
      </c>
      <c r="M152" t="s">
        <v>466</v>
      </c>
      <c r="N152" s="2">
        <v>88869</v>
      </c>
      <c r="O152" t="s">
        <v>463</v>
      </c>
      <c r="P152" t="s">
        <v>9</v>
      </c>
      <c r="Q152" t="s">
        <v>86</v>
      </c>
      <c r="R152" t="e">
        <f>VLOOKUP(Q152,#REF!,2,FALSE)</f>
        <v>#REF!</v>
      </c>
      <c r="S152">
        <v>1511</v>
      </c>
      <c r="T152" t="s">
        <v>2224</v>
      </c>
      <c r="U152" t="s">
        <v>464</v>
      </c>
      <c r="V152" s="1">
        <v>45535</v>
      </c>
      <c r="W152" s="1">
        <v>45535</v>
      </c>
      <c r="X152" t="s">
        <v>77</v>
      </c>
      <c r="Y152" t="s">
        <v>78</v>
      </c>
      <c r="Z152" t="s">
        <v>6</v>
      </c>
      <c r="AA152" t="s">
        <v>78</v>
      </c>
      <c r="AB152" s="4">
        <f>L152/0.03</f>
        <v>2962300</v>
      </c>
      <c r="AC152" s="6">
        <v>0.04</v>
      </c>
      <c r="AD152" s="4">
        <f>AB152*AC152</f>
        <v>118492</v>
      </c>
      <c r="AE152" s="4">
        <f t="shared" si="7"/>
        <v>29623</v>
      </c>
    </row>
    <row r="153" spans="1:31" x14ac:dyDescent="0.25">
      <c r="A153" t="s">
        <v>0</v>
      </c>
      <c r="B153" s="3" t="s">
        <v>2219</v>
      </c>
      <c r="C153" t="s">
        <v>467</v>
      </c>
      <c r="D153" t="s">
        <v>69</v>
      </c>
      <c r="E153" t="s">
        <v>208</v>
      </c>
      <c r="F153" s="1">
        <v>45565</v>
      </c>
      <c r="G153" s="1">
        <v>45569</v>
      </c>
      <c r="H153" t="s">
        <v>468</v>
      </c>
      <c r="I153" t="s">
        <v>5</v>
      </c>
      <c r="J153" t="s">
        <v>6</v>
      </c>
      <c r="K153" t="s">
        <v>4</v>
      </c>
      <c r="L153" t="s">
        <v>469</v>
      </c>
      <c r="M153" t="s">
        <v>469</v>
      </c>
      <c r="N153" s="2">
        <v>534142</v>
      </c>
      <c r="O153" t="s">
        <v>470</v>
      </c>
      <c r="P153" t="s">
        <v>9</v>
      </c>
      <c r="Q153" t="s">
        <v>75</v>
      </c>
      <c r="R153" t="e">
        <f>VLOOKUP(Q153,#REF!,2,FALSE)</f>
        <v>#REF!</v>
      </c>
      <c r="S153">
        <v>1408</v>
      </c>
      <c r="T153" t="s">
        <v>2223</v>
      </c>
      <c r="U153" t="s">
        <v>471</v>
      </c>
      <c r="V153" s="1">
        <v>45535</v>
      </c>
      <c r="W153" s="1">
        <v>45535</v>
      </c>
      <c r="X153" t="s">
        <v>77</v>
      </c>
      <c r="Y153" t="s">
        <v>78</v>
      </c>
      <c r="Z153" t="s">
        <v>6</v>
      </c>
      <c r="AA153" t="s">
        <v>78</v>
      </c>
      <c r="AB153" s="4">
        <f>L153/0.1</f>
        <v>5341420</v>
      </c>
      <c r="AC153" s="5" t="s">
        <v>2215</v>
      </c>
      <c r="AD153" s="4">
        <f>AB153/12</f>
        <v>445118.33333333331</v>
      </c>
      <c r="AE153" s="4">
        <f t="shared" si="7"/>
        <v>-89023.666666666686</v>
      </c>
    </row>
    <row r="154" spans="1:31" x14ac:dyDescent="0.25">
      <c r="A154" t="s">
        <v>0</v>
      </c>
      <c r="B154" s="3" t="s">
        <v>2219</v>
      </c>
      <c r="C154" t="s">
        <v>467</v>
      </c>
      <c r="D154" t="s">
        <v>69</v>
      </c>
      <c r="E154" t="s">
        <v>67</v>
      </c>
      <c r="F154" s="1">
        <v>45565</v>
      </c>
      <c r="G154" s="1">
        <v>45569</v>
      </c>
      <c r="H154" t="s">
        <v>472</v>
      </c>
      <c r="I154" t="s">
        <v>5</v>
      </c>
      <c r="J154" t="s">
        <v>6</v>
      </c>
      <c r="K154" t="s">
        <v>4</v>
      </c>
      <c r="L154" t="s">
        <v>473</v>
      </c>
      <c r="M154" t="s">
        <v>473</v>
      </c>
      <c r="N154" s="2">
        <v>21365</v>
      </c>
      <c r="O154" t="s">
        <v>470</v>
      </c>
      <c r="P154" t="s">
        <v>9</v>
      </c>
      <c r="Q154" t="s">
        <v>86</v>
      </c>
      <c r="R154" t="e">
        <f>VLOOKUP(Q154,#REF!,2,FALSE)</f>
        <v>#REF!</v>
      </c>
      <c r="S154">
        <v>1408</v>
      </c>
      <c r="T154" t="s">
        <v>2223</v>
      </c>
      <c r="U154" t="s">
        <v>471</v>
      </c>
      <c r="V154" s="1">
        <v>45535</v>
      </c>
      <c r="W154" s="1">
        <v>45535</v>
      </c>
      <c r="X154" t="s">
        <v>77</v>
      </c>
      <c r="Y154" t="s">
        <v>78</v>
      </c>
      <c r="Z154" t="s">
        <v>6</v>
      </c>
      <c r="AA154" t="s">
        <v>78</v>
      </c>
      <c r="AB154" s="4">
        <f>L154/0.03</f>
        <v>712166.66666666674</v>
      </c>
      <c r="AC154" s="6">
        <v>0.04</v>
      </c>
      <c r="AD154" s="4">
        <f>AB154*AC154</f>
        <v>28486.666666666672</v>
      </c>
      <c r="AE154" s="4">
        <f t="shared" si="7"/>
        <v>7121.6666666666715</v>
      </c>
    </row>
    <row r="155" spans="1:31" x14ac:dyDescent="0.25">
      <c r="A155" t="s">
        <v>0</v>
      </c>
      <c r="B155" s="3" t="s">
        <v>2219</v>
      </c>
      <c r="C155" t="s">
        <v>474</v>
      </c>
      <c r="D155" t="s">
        <v>69</v>
      </c>
      <c r="E155" t="s">
        <v>79</v>
      </c>
      <c r="F155" s="1">
        <v>45714</v>
      </c>
      <c r="G155" s="1">
        <v>45714</v>
      </c>
      <c r="H155" t="s">
        <v>475</v>
      </c>
      <c r="I155" t="s">
        <v>5</v>
      </c>
      <c r="J155" t="s">
        <v>6</v>
      </c>
      <c r="K155" t="s">
        <v>4</v>
      </c>
      <c r="L155" t="s">
        <v>476</v>
      </c>
      <c r="M155" t="s">
        <v>476</v>
      </c>
      <c r="N155" s="2">
        <v>1997916</v>
      </c>
      <c r="O155" t="s">
        <v>477</v>
      </c>
      <c r="P155" t="s">
        <v>9</v>
      </c>
      <c r="Q155" t="s">
        <v>75</v>
      </c>
      <c r="R155" t="e">
        <f>VLOOKUP(Q155,#REF!,2,FALSE)</f>
        <v>#REF!</v>
      </c>
      <c r="S155">
        <v>1511</v>
      </c>
      <c r="T155" t="s">
        <v>2224</v>
      </c>
      <c r="U155" t="s">
        <v>478</v>
      </c>
      <c r="V155" s="1">
        <v>45565</v>
      </c>
      <c r="W155" s="1">
        <v>45565</v>
      </c>
      <c r="X155" t="s">
        <v>77</v>
      </c>
      <c r="Y155" t="s">
        <v>78</v>
      </c>
      <c r="Z155" t="s">
        <v>6</v>
      </c>
      <c r="AA155" t="s">
        <v>78</v>
      </c>
      <c r="AB155" s="4">
        <f>L155/0.1</f>
        <v>19979160</v>
      </c>
      <c r="AC155" s="5" t="s">
        <v>2215</v>
      </c>
      <c r="AD155" s="4">
        <f>AB155/12</f>
        <v>1664930</v>
      </c>
      <c r="AE155" s="4">
        <f t="shared" si="7"/>
        <v>-332986</v>
      </c>
    </row>
    <row r="156" spans="1:31" x14ac:dyDescent="0.25">
      <c r="A156" t="s">
        <v>0</v>
      </c>
      <c r="B156" s="3" t="s">
        <v>2219</v>
      </c>
      <c r="C156" t="s">
        <v>474</v>
      </c>
      <c r="D156" t="s">
        <v>69</v>
      </c>
      <c r="E156" t="s">
        <v>83</v>
      </c>
      <c r="F156" s="1">
        <v>45747</v>
      </c>
      <c r="G156" s="1">
        <v>45749</v>
      </c>
      <c r="H156" t="s">
        <v>80</v>
      </c>
      <c r="I156" t="s">
        <v>5</v>
      </c>
      <c r="J156" t="s">
        <v>6</v>
      </c>
      <c r="K156" t="s">
        <v>4</v>
      </c>
      <c r="L156" t="s">
        <v>479</v>
      </c>
      <c r="M156" t="s">
        <v>479</v>
      </c>
      <c r="N156" s="2">
        <v>10231</v>
      </c>
      <c r="O156" t="s">
        <v>477</v>
      </c>
      <c r="P156" t="s">
        <v>9</v>
      </c>
      <c r="Q156" t="s">
        <v>82</v>
      </c>
      <c r="R156" t="e">
        <f>VLOOKUP(Q156,#REF!,2,FALSE)</f>
        <v>#REF!</v>
      </c>
      <c r="S156">
        <v>1511</v>
      </c>
      <c r="T156" t="s">
        <v>2224</v>
      </c>
      <c r="U156" t="s">
        <v>478</v>
      </c>
      <c r="V156" s="1">
        <v>45565</v>
      </c>
      <c r="W156" s="1">
        <v>45565</v>
      </c>
      <c r="X156" t="s">
        <v>77</v>
      </c>
      <c r="Y156" t="s">
        <v>78</v>
      </c>
      <c r="Z156" t="s">
        <v>6</v>
      </c>
      <c r="AA156" t="s">
        <v>78</v>
      </c>
      <c r="AB156" s="4">
        <f>L156/0.08</f>
        <v>127887.5</v>
      </c>
      <c r="AC156" s="6">
        <v>0.1</v>
      </c>
      <c r="AD156" s="4">
        <f>AB156*AC156</f>
        <v>12788.75</v>
      </c>
      <c r="AE156" s="4">
        <f t="shared" si="7"/>
        <v>2557.75</v>
      </c>
    </row>
    <row r="157" spans="1:31" x14ac:dyDescent="0.25">
      <c r="A157" t="s">
        <v>0</v>
      </c>
      <c r="B157" s="3" t="s">
        <v>2219</v>
      </c>
      <c r="C157" t="s">
        <v>474</v>
      </c>
      <c r="D157" t="s">
        <v>69</v>
      </c>
      <c r="E157" t="s">
        <v>189</v>
      </c>
      <c r="F157" s="1">
        <v>45747</v>
      </c>
      <c r="G157" s="1">
        <v>45749</v>
      </c>
      <c r="H157" t="s">
        <v>128</v>
      </c>
      <c r="I157" t="s">
        <v>5</v>
      </c>
      <c r="J157" t="s">
        <v>6</v>
      </c>
      <c r="K157" t="s">
        <v>4</v>
      </c>
      <c r="L157" t="s">
        <v>480</v>
      </c>
      <c r="M157" t="s">
        <v>480</v>
      </c>
      <c r="N157" s="2">
        <v>80318</v>
      </c>
      <c r="O157" t="s">
        <v>477</v>
      </c>
      <c r="P157" t="s">
        <v>9</v>
      </c>
      <c r="Q157" t="s">
        <v>86</v>
      </c>
      <c r="R157" t="e">
        <f>VLOOKUP(Q157,#REF!,2,FALSE)</f>
        <v>#REF!</v>
      </c>
      <c r="S157">
        <v>1511</v>
      </c>
      <c r="T157" t="s">
        <v>2224</v>
      </c>
      <c r="U157" t="s">
        <v>478</v>
      </c>
      <c r="V157" s="1">
        <v>45565</v>
      </c>
      <c r="W157" s="1">
        <v>45565</v>
      </c>
      <c r="X157" t="s">
        <v>77</v>
      </c>
      <c r="Y157" t="s">
        <v>78</v>
      </c>
      <c r="Z157" t="s">
        <v>6</v>
      </c>
      <c r="AA157" t="s">
        <v>78</v>
      </c>
      <c r="AB157" s="4">
        <f>L157/0.03</f>
        <v>2677266.666666667</v>
      </c>
      <c r="AC157" s="6">
        <v>0.04</v>
      </c>
      <c r="AD157" s="4">
        <f>AB157*AC157</f>
        <v>107090.66666666669</v>
      </c>
      <c r="AE157" s="4">
        <f t="shared" si="7"/>
        <v>26772.666666666686</v>
      </c>
    </row>
    <row r="158" spans="1:31" x14ac:dyDescent="0.25">
      <c r="A158" t="s">
        <v>0</v>
      </c>
      <c r="B158" s="3" t="s">
        <v>2219</v>
      </c>
      <c r="C158" t="s">
        <v>481</v>
      </c>
      <c r="D158" t="s">
        <v>69</v>
      </c>
      <c r="E158" t="s">
        <v>200</v>
      </c>
      <c r="F158" s="1">
        <v>45714</v>
      </c>
      <c r="G158" s="1">
        <v>45714</v>
      </c>
      <c r="H158" t="s">
        <v>482</v>
      </c>
      <c r="I158" t="s">
        <v>5</v>
      </c>
      <c r="J158" t="s">
        <v>6</v>
      </c>
      <c r="K158" t="s">
        <v>4</v>
      </c>
      <c r="L158" t="s">
        <v>483</v>
      </c>
      <c r="M158" t="s">
        <v>483</v>
      </c>
      <c r="N158" s="2">
        <v>1974902</v>
      </c>
      <c r="O158" t="s">
        <v>484</v>
      </c>
      <c r="P158" t="s">
        <v>9</v>
      </c>
      <c r="Q158" t="s">
        <v>75</v>
      </c>
      <c r="R158" t="e">
        <f>VLOOKUP(Q158,#REF!,2,FALSE)</f>
        <v>#REF!</v>
      </c>
      <c r="S158">
        <v>1511</v>
      </c>
      <c r="T158" t="s">
        <v>2224</v>
      </c>
      <c r="U158" t="s">
        <v>485</v>
      </c>
      <c r="V158" s="1">
        <v>45565</v>
      </c>
      <c r="W158" s="1">
        <v>45565</v>
      </c>
      <c r="X158" t="s">
        <v>77</v>
      </c>
      <c r="Y158" t="s">
        <v>78</v>
      </c>
      <c r="Z158" t="s">
        <v>6</v>
      </c>
      <c r="AA158" t="s">
        <v>78</v>
      </c>
      <c r="AB158" s="4">
        <f>L158/0.1</f>
        <v>19749020</v>
      </c>
      <c r="AC158" s="5" t="s">
        <v>2215</v>
      </c>
      <c r="AD158" s="4">
        <f>AB158/12</f>
        <v>1645751.6666666667</v>
      </c>
      <c r="AE158" s="4">
        <f t="shared" si="7"/>
        <v>-329150.33333333326</v>
      </c>
    </row>
    <row r="159" spans="1:31" x14ac:dyDescent="0.25">
      <c r="A159" t="s">
        <v>0</v>
      </c>
      <c r="B159" s="3" t="s">
        <v>2219</v>
      </c>
      <c r="C159" t="s">
        <v>481</v>
      </c>
      <c r="D159" t="s">
        <v>69</v>
      </c>
      <c r="E159" t="s">
        <v>71</v>
      </c>
      <c r="F159" s="1">
        <v>45747</v>
      </c>
      <c r="G159" s="1">
        <v>45749</v>
      </c>
      <c r="H159" t="s">
        <v>80</v>
      </c>
      <c r="I159" t="s">
        <v>5</v>
      </c>
      <c r="J159" t="s">
        <v>6</v>
      </c>
      <c r="K159" t="s">
        <v>4</v>
      </c>
      <c r="L159" t="s">
        <v>486</v>
      </c>
      <c r="M159" t="s">
        <v>486</v>
      </c>
      <c r="N159" s="2">
        <v>12149</v>
      </c>
      <c r="O159" t="s">
        <v>484</v>
      </c>
      <c r="P159" t="s">
        <v>9</v>
      </c>
      <c r="Q159" t="s">
        <v>82</v>
      </c>
      <c r="R159" t="e">
        <f>VLOOKUP(Q159,#REF!,2,FALSE)</f>
        <v>#REF!</v>
      </c>
      <c r="S159">
        <v>1511</v>
      </c>
      <c r="T159" t="s">
        <v>2224</v>
      </c>
      <c r="U159" t="s">
        <v>485</v>
      </c>
      <c r="V159" s="1">
        <v>45565</v>
      </c>
      <c r="W159" s="1">
        <v>45565</v>
      </c>
      <c r="X159" t="s">
        <v>77</v>
      </c>
      <c r="Y159" t="s">
        <v>78</v>
      </c>
      <c r="Z159" t="s">
        <v>6</v>
      </c>
      <c r="AA159" t="s">
        <v>78</v>
      </c>
      <c r="AB159" s="4">
        <f>L159/0.08</f>
        <v>151862.5</v>
      </c>
      <c r="AC159" s="6">
        <v>0.1</v>
      </c>
      <c r="AD159" s="4">
        <f>AB159*AC159</f>
        <v>15186.25</v>
      </c>
      <c r="AE159" s="4">
        <f t="shared" si="7"/>
        <v>3037.25</v>
      </c>
    </row>
    <row r="160" spans="1:31" x14ac:dyDescent="0.25">
      <c r="A160" t="s">
        <v>0</v>
      </c>
      <c r="B160" s="3" t="s">
        <v>2219</v>
      </c>
      <c r="C160" t="s">
        <v>481</v>
      </c>
      <c r="D160" t="s">
        <v>69</v>
      </c>
      <c r="E160" t="s">
        <v>79</v>
      </c>
      <c r="F160" s="1">
        <v>45747</v>
      </c>
      <c r="G160" s="1">
        <v>45749</v>
      </c>
      <c r="H160" t="s">
        <v>128</v>
      </c>
      <c r="I160" t="s">
        <v>5</v>
      </c>
      <c r="J160" t="s">
        <v>6</v>
      </c>
      <c r="K160" t="s">
        <v>4</v>
      </c>
      <c r="L160" t="s">
        <v>487</v>
      </c>
      <c r="M160" t="s">
        <v>487</v>
      </c>
      <c r="N160" s="2">
        <v>79488</v>
      </c>
      <c r="O160" t="s">
        <v>484</v>
      </c>
      <c r="P160" t="s">
        <v>9</v>
      </c>
      <c r="Q160" t="s">
        <v>86</v>
      </c>
      <c r="R160" t="e">
        <f>VLOOKUP(Q160,#REF!,2,FALSE)</f>
        <v>#REF!</v>
      </c>
      <c r="S160">
        <v>1511</v>
      </c>
      <c r="T160" t="s">
        <v>2224</v>
      </c>
      <c r="U160" t="s">
        <v>485</v>
      </c>
      <c r="V160" s="1">
        <v>45565</v>
      </c>
      <c r="W160" s="1">
        <v>45565</v>
      </c>
      <c r="X160" t="s">
        <v>77</v>
      </c>
      <c r="Y160" t="s">
        <v>78</v>
      </c>
      <c r="Z160" t="s">
        <v>6</v>
      </c>
      <c r="AA160" t="s">
        <v>78</v>
      </c>
      <c r="AB160" s="4">
        <f>L160/0.03</f>
        <v>2649600</v>
      </c>
      <c r="AC160" s="6">
        <v>0.04</v>
      </c>
      <c r="AD160" s="4">
        <f>AB160*AC160</f>
        <v>105984</v>
      </c>
      <c r="AE160" s="4">
        <f t="shared" si="7"/>
        <v>26496</v>
      </c>
    </row>
    <row r="161" spans="1:31" x14ac:dyDescent="0.25">
      <c r="A161" t="s">
        <v>0</v>
      </c>
      <c r="B161" s="3" t="s">
        <v>2219</v>
      </c>
      <c r="C161" t="s">
        <v>488</v>
      </c>
      <c r="D161" t="s">
        <v>69</v>
      </c>
      <c r="E161" t="s">
        <v>489</v>
      </c>
      <c r="F161" s="1">
        <v>45699</v>
      </c>
      <c r="G161" s="1">
        <v>45699</v>
      </c>
      <c r="H161" t="s">
        <v>332</v>
      </c>
      <c r="I161" t="s">
        <v>5</v>
      </c>
      <c r="J161" t="s">
        <v>6</v>
      </c>
      <c r="K161" t="s">
        <v>4</v>
      </c>
      <c r="L161" t="s">
        <v>490</v>
      </c>
      <c r="M161" t="s">
        <v>490</v>
      </c>
      <c r="N161" s="2">
        <v>1867197</v>
      </c>
      <c r="O161" t="s">
        <v>491</v>
      </c>
      <c r="P161" t="s">
        <v>9</v>
      </c>
      <c r="Q161" t="s">
        <v>75</v>
      </c>
      <c r="R161" t="e">
        <f>VLOOKUP(Q161,#REF!,2,FALSE)</f>
        <v>#REF!</v>
      </c>
      <c r="S161">
        <v>1015</v>
      </c>
      <c r="T161" t="s">
        <v>2226</v>
      </c>
      <c r="U161" t="s">
        <v>492</v>
      </c>
      <c r="V161" s="1">
        <v>45565</v>
      </c>
      <c r="W161" s="1">
        <v>45565</v>
      </c>
      <c r="X161" t="s">
        <v>77</v>
      </c>
      <c r="Y161" t="s">
        <v>263</v>
      </c>
      <c r="Z161" t="s">
        <v>6</v>
      </c>
      <c r="AA161" t="s">
        <v>263</v>
      </c>
      <c r="AB161" s="4">
        <f>L161/0.1</f>
        <v>18671970</v>
      </c>
      <c r="AC161" s="5" t="s">
        <v>2215</v>
      </c>
      <c r="AD161" s="4">
        <f>AB161/12</f>
        <v>1555997.5</v>
      </c>
      <c r="AE161" s="4">
        <f t="shared" si="7"/>
        <v>-311199.5</v>
      </c>
    </row>
    <row r="162" spans="1:31" x14ac:dyDescent="0.25">
      <c r="A162" t="s">
        <v>0</v>
      </c>
      <c r="B162" s="3" t="s">
        <v>2219</v>
      </c>
      <c r="C162" t="s">
        <v>488</v>
      </c>
      <c r="D162" t="s">
        <v>69</v>
      </c>
      <c r="E162" t="s">
        <v>493</v>
      </c>
      <c r="F162" s="1">
        <v>45723</v>
      </c>
      <c r="G162" s="1">
        <v>45724</v>
      </c>
      <c r="H162" t="s">
        <v>337</v>
      </c>
      <c r="I162" t="s">
        <v>5</v>
      </c>
      <c r="J162" t="s">
        <v>6</v>
      </c>
      <c r="K162" t="s">
        <v>4</v>
      </c>
      <c r="L162" t="s">
        <v>338</v>
      </c>
      <c r="M162" t="s">
        <v>338</v>
      </c>
      <c r="N162" s="2">
        <v>12932</v>
      </c>
      <c r="O162" t="s">
        <v>491</v>
      </c>
      <c r="P162" t="s">
        <v>9</v>
      </c>
      <c r="Q162" t="s">
        <v>82</v>
      </c>
      <c r="R162" t="e">
        <f>VLOOKUP(Q162,#REF!,2,FALSE)</f>
        <v>#REF!</v>
      </c>
      <c r="S162">
        <v>1015</v>
      </c>
      <c r="T162" t="s">
        <v>2226</v>
      </c>
      <c r="U162" t="s">
        <v>492</v>
      </c>
      <c r="V162" s="1">
        <v>45565</v>
      </c>
      <c r="W162" s="1">
        <v>45565</v>
      </c>
      <c r="X162" t="s">
        <v>77</v>
      </c>
      <c r="Y162" t="s">
        <v>263</v>
      </c>
      <c r="Z162" t="s">
        <v>6</v>
      </c>
      <c r="AA162" t="s">
        <v>263</v>
      </c>
      <c r="AB162" s="4">
        <f>L162/0.08</f>
        <v>161650</v>
      </c>
      <c r="AC162" s="6">
        <v>0.1</v>
      </c>
      <c r="AD162" s="4">
        <f>AB162*AC162</f>
        <v>16165</v>
      </c>
      <c r="AE162" s="4">
        <f t="shared" si="7"/>
        <v>3233</v>
      </c>
    </row>
    <row r="163" spans="1:31" x14ac:dyDescent="0.25">
      <c r="A163" t="s">
        <v>0</v>
      </c>
      <c r="B163" s="3" t="s">
        <v>2219</v>
      </c>
      <c r="C163" t="s">
        <v>488</v>
      </c>
      <c r="D163" t="s">
        <v>69</v>
      </c>
      <c r="E163" t="s">
        <v>494</v>
      </c>
      <c r="F163" s="1">
        <v>45723</v>
      </c>
      <c r="G163" s="1">
        <v>45724</v>
      </c>
      <c r="H163" t="s">
        <v>337</v>
      </c>
      <c r="I163" t="s">
        <v>5</v>
      </c>
      <c r="J163" t="s">
        <v>6</v>
      </c>
      <c r="K163" t="s">
        <v>4</v>
      </c>
      <c r="L163" t="s">
        <v>495</v>
      </c>
      <c r="M163" t="s">
        <v>495</v>
      </c>
      <c r="N163" s="2">
        <v>75204</v>
      </c>
      <c r="O163" t="s">
        <v>491</v>
      </c>
      <c r="P163" t="s">
        <v>9</v>
      </c>
      <c r="Q163" t="s">
        <v>86</v>
      </c>
      <c r="R163" t="e">
        <f>VLOOKUP(Q163,#REF!,2,FALSE)</f>
        <v>#REF!</v>
      </c>
      <c r="S163">
        <v>1015</v>
      </c>
      <c r="T163" t="s">
        <v>2226</v>
      </c>
      <c r="U163" t="s">
        <v>492</v>
      </c>
      <c r="V163" s="1">
        <v>45565</v>
      </c>
      <c r="W163" s="1">
        <v>45565</v>
      </c>
      <c r="X163" t="s">
        <v>77</v>
      </c>
      <c r="Y163" t="s">
        <v>263</v>
      </c>
      <c r="Z163" t="s">
        <v>6</v>
      </c>
      <c r="AA163" t="s">
        <v>263</v>
      </c>
      <c r="AB163" s="4">
        <f>L163/0.03</f>
        <v>2506800</v>
      </c>
      <c r="AC163" s="6">
        <v>0.04</v>
      </c>
      <c r="AD163" s="4">
        <f>AB163*AC163</f>
        <v>100272</v>
      </c>
      <c r="AE163" s="4">
        <f t="shared" si="7"/>
        <v>25068</v>
      </c>
    </row>
    <row r="164" spans="1:31" x14ac:dyDescent="0.25">
      <c r="A164" t="s">
        <v>0</v>
      </c>
      <c r="B164" s="3" t="s">
        <v>2219</v>
      </c>
      <c r="C164" t="s">
        <v>496</v>
      </c>
      <c r="D164" t="s">
        <v>69</v>
      </c>
      <c r="E164" t="s">
        <v>88</v>
      </c>
      <c r="F164" s="1">
        <v>45714</v>
      </c>
      <c r="G164" s="1">
        <v>45714</v>
      </c>
      <c r="H164" t="s">
        <v>153</v>
      </c>
      <c r="I164" t="s">
        <v>5</v>
      </c>
      <c r="J164" t="s">
        <v>6</v>
      </c>
      <c r="K164" t="s">
        <v>4</v>
      </c>
      <c r="L164" t="s">
        <v>497</v>
      </c>
      <c r="M164" t="s">
        <v>497</v>
      </c>
      <c r="N164" s="2">
        <v>317843</v>
      </c>
      <c r="O164" t="s">
        <v>498</v>
      </c>
      <c r="P164" t="s">
        <v>9</v>
      </c>
      <c r="Q164" t="s">
        <v>75</v>
      </c>
      <c r="R164" t="e">
        <f>VLOOKUP(Q164,#REF!,2,FALSE)</f>
        <v>#REF!</v>
      </c>
      <c r="S164">
        <v>1004</v>
      </c>
      <c r="T164" t="s">
        <v>2225</v>
      </c>
      <c r="U164" t="s">
        <v>499</v>
      </c>
      <c r="V164" s="1">
        <v>45565</v>
      </c>
      <c r="W164" s="1">
        <v>45565</v>
      </c>
      <c r="X164" t="s">
        <v>77</v>
      </c>
      <c r="Y164" t="s">
        <v>78</v>
      </c>
      <c r="Z164" t="s">
        <v>6</v>
      </c>
      <c r="AA164" t="s">
        <v>78</v>
      </c>
      <c r="AB164" s="4">
        <f>L164/0.1</f>
        <v>3178430</v>
      </c>
      <c r="AC164" s="5" t="s">
        <v>2215</v>
      </c>
      <c r="AD164" s="4">
        <f>AB164/12</f>
        <v>264869.16666666669</v>
      </c>
      <c r="AE164" s="4">
        <f t="shared" si="7"/>
        <v>-52973.833333333314</v>
      </c>
    </row>
    <row r="165" spans="1:31" x14ac:dyDescent="0.25">
      <c r="A165" t="s">
        <v>0</v>
      </c>
      <c r="B165" s="3" t="s">
        <v>2219</v>
      </c>
      <c r="C165" t="s">
        <v>496</v>
      </c>
      <c r="D165" t="s">
        <v>69</v>
      </c>
      <c r="E165" t="s">
        <v>92</v>
      </c>
      <c r="F165" s="1">
        <v>45747</v>
      </c>
      <c r="G165" s="1">
        <v>45749</v>
      </c>
      <c r="H165" t="s">
        <v>128</v>
      </c>
      <c r="I165" t="s">
        <v>5</v>
      </c>
      <c r="J165" t="s">
        <v>6</v>
      </c>
      <c r="K165" t="s">
        <v>4</v>
      </c>
      <c r="L165" t="s">
        <v>500</v>
      </c>
      <c r="M165" t="s">
        <v>500</v>
      </c>
      <c r="N165" s="2">
        <v>12714</v>
      </c>
      <c r="O165" t="s">
        <v>498</v>
      </c>
      <c r="P165" t="s">
        <v>9</v>
      </c>
      <c r="Q165" t="s">
        <v>86</v>
      </c>
      <c r="R165" t="e">
        <f>VLOOKUP(Q165,#REF!,2,FALSE)</f>
        <v>#REF!</v>
      </c>
      <c r="S165">
        <v>1004</v>
      </c>
      <c r="T165" t="s">
        <v>2225</v>
      </c>
      <c r="U165" t="s">
        <v>499</v>
      </c>
      <c r="V165" s="1">
        <v>45565</v>
      </c>
      <c r="W165" s="1">
        <v>45565</v>
      </c>
      <c r="X165" t="s">
        <v>77</v>
      </c>
      <c r="Y165" t="s">
        <v>78</v>
      </c>
      <c r="Z165" t="s">
        <v>6</v>
      </c>
      <c r="AA165" t="s">
        <v>78</v>
      </c>
      <c r="AB165" s="4">
        <f>L165/0.03</f>
        <v>423800</v>
      </c>
      <c r="AC165" s="6">
        <v>0.04</v>
      </c>
      <c r="AD165" s="4">
        <f>AB165*AC165</f>
        <v>16952</v>
      </c>
      <c r="AE165" s="4">
        <f t="shared" si="7"/>
        <v>4238</v>
      </c>
    </row>
    <row r="166" spans="1:31" x14ac:dyDescent="0.25">
      <c r="A166" t="s">
        <v>0</v>
      </c>
      <c r="B166" s="3" t="s">
        <v>2219</v>
      </c>
      <c r="C166" t="s">
        <v>501</v>
      </c>
      <c r="D166" t="s">
        <v>69</v>
      </c>
      <c r="E166" t="s">
        <v>43</v>
      </c>
      <c r="F166" s="1">
        <v>45714</v>
      </c>
      <c r="G166" s="1">
        <v>45714</v>
      </c>
      <c r="H166" t="s">
        <v>502</v>
      </c>
      <c r="I166" t="s">
        <v>5</v>
      </c>
      <c r="J166" t="s">
        <v>6</v>
      </c>
      <c r="K166" t="s">
        <v>4</v>
      </c>
      <c r="L166" t="s">
        <v>503</v>
      </c>
      <c r="M166" t="s">
        <v>503</v>
      </c>
      <c r="N166" s="2">
        <v>333273</v>
      </c>
      <c r="O166" t="s">
        <v>504</v>
      </c>
      <c r="P166" t="s">
        <v>9</v>
      </c>
      <c r="Q166" t="s">
        <v>75</v>
      </c>
      <c r="R166" t="e">
        <f>VLOOKUP(Q166,#REF!,2,FALSE)</f>
        <v>#REF!</v>
      </c>
      <c r="S166">
        <v>1001</v>
      </c>
      <c r="T166" t="s">
        <v>2227</v>
      </c>
      <c r="U166" t="s">
        <v>505</v>
      </c>
      <c r="V166" s="1">
        <v>45565</v>
      </c>
      <c r="W166" s="1">
        <v>45565</v>
      </c>
      <c r="X166" t="s">
        <v>77</v>
      </c>
      <c r="Y166" t="s">
        <v>78</v>
      </c>
      <c r="Z166" t="s">
        <v>6</v>
      </c>
      <c r="AA166" t="s">
        <v>78</v>
      </c>
      <c r="AB166" s="4">
        <f>L166/0.1</f>
        <v>3332730</v>
      </c>
      <c r="AC166" s="5" t="s">
        <v>2215</v>
      </c>
      <c r="AD166" s="4">
        <f>AB166/12</f>
        <v>277727.5</v>
      </c>
      <c r="AE166" s="4">
        <f t="shared" si="7"/>
        <v>-55545.5</v>
      </c>
    </row>
    <row r="167" spans="1:31" x14ac:dyDescent="0.25">
      <c r="A167" t="s">
        <v>0</v>
      </c>
      <c r="B167" s="3" t="s">
        <v>2219</v>
      </c>
      <c r="C167" t="s">
        <v>501</v>
      </c>
      <c r="D167" t="s">
        <v>69</v>
      </c>
      <c r="E167" t="s">
        <v>104</v>
      </c>
      <c r="F167" s="1">
        <v>45747</v>
      </c>
      <c r="G167" s="1">
        <v>45749</v>
      </c>
      <c r="H167" t="s">
        <v>128</v>
      </c>
      <c r="I167" t="s">
        <v>5</v>
      </c>
      <c r="J167" t="s">
        <v>6</v>
      </c>
      <c r="K167" t="s">
        <v>4</v>
      </c>
      <c r="L167" t="s">
        <v>506</v>
      </c>
      <c r="M167" t="s">
        <v>506</v>
      </c>
      <c r="N167" s="2">
        <v>13332</v>
      </c>
      <c r="O167" t="s">
        <v>504</v>
      </c>
      <c r="P167" t="s">
        <v>9</v>
      </c>
      <c r="Q167" t="s">
        <v>86</v>
      </c>
      <c r="R167" t="e">
        <f>VLOOKUP(Q167,#REF!,2,FALSE)</f>
        <v>#REF!</v>
      </c>
      <c r="S167">
        <v>1001</v>
      </c>
      <c r="T167" t="s">
        <v>2227</v>
      </c>
      <c r="U167" t="s">
        <v>505</v>
      </c>
      <c r="V167" s="1">
        <v>45565</v>
      </c>
      <c r="W167" s="1">
        <v>45565</v>
      </c>
      <c r="X167" t="s">
        <v>77</v>
      </c>
      <c r="Y167" t="s">
        <v>78</v>
      </c>
      <c r="Z167" t="s">
        <v>6</v>
      </c>
      <c r="AA167" t="s">
        <v>78</v>
      </c>
      <c r="AB167" s="4">
        <f>L167/0.03</f>
        <v>444400</v>
      </c>
      <c r="AC167" s="6">
        <v>0.04</v>
      </c>
      <c r="AD167" s="4">
        <f>AB167*AC167</f>
        <v>17776</v>
      </c>
      <c r="AE167" s="4">
        <f t="shared" si="7"/>
        <v>4444</v>
      </c>
    </row>
    <row r="168" spans="1:31" x14ac:dyDescent="0.25">
      <c r="A168" t="s">
        <v>0</v>
      </c>
      <c r="B168" s="3" t="s">
        <v>2219</v>
      </c>
      <c r="C168" t="s">
        <v>507</v>
      </c>
      <c r="D168" t="s">
        <v>69</v>
      </c>
      <c r="E168" t="s">
        <v>143</v>
      </c>
      <c r="F168" s="1">
        <v>45714</v>
      </c>
      <c r="G168" s="1">
        <v>45714</v>
      </c>
      <c r="H168" t="s">
        <v>222</v>
      </c>
      <c r="I168" t="s">
        <v>5</v>
      </c>
      <c r="J168" t="s">
        <v>6</v>
      </c>
      <c r="K168" t="s">
        <v>4</v>
      </c>
      <c r="L168" t="s">
        <v>508</v>
      </c>
      <c r="M168" t="s">
        <v>508</v>
      </c>
      <c r="N168" s="2">
        <v>3181610</v>
      </c>
      <c r="O168" t="s">
        <v>509</v>
      </c>
      <c r="P168" t="s">
        <v>9</v>
      </c>
      <c r="Q168" t="s">
        <v>75</v>
      </c>
      <c r="R168" t="e">
        <f>VLOOKUP(Q168,#REF!,2,FALSE)</f>
        <v>#REF!</v>
      </c>
      <c r="S168">
        <v>1004</v>
      </c>
      <c r="T168" t="s">
        <v>2225</v>
      </c>
      <c r="U168" t="s">
        <v>510</v>
      </c>
      <c r="V168" s="1">
        <v>45565</v>
      </c>
      <c r="W168" s="1">
        <v>45565</v>
      </c>
      <c r="X168" t="s">
        <v>77</v>
      </c>
      <c r="Y168" t="s">
        <v>78</v>
      </c>
      <c r="Z168" t="s">
        <v>6</v>
      </c>
      <c r="AA168" t="s">
        <v>78</v>
      </c>
      <c r="AB168" s="4">
        <f>L168/0.1</f>
        <v>31816100</v>
      </c>
      <c r="AC168" s="5" t="s">
        <v>2215</v>
      </c>
      <c r="AD168" s="4">
        <f>AB168/12</f>
        <v>2651341.6666666665</v>
      </c>
      <c r="AE168" s="4">
        <f t="shared" si="7"/>
        <v>-530268.33333333349</v>
      </c>
    </row>
    <row r="169" spans="1:31" x14ac:dyDescent="0.25">
      <c r="A169" t="s">
        <v>0</v>
      </c>
      <c r="B169" s="3" t="s">
        <v>2219</v>
      </c>
      <c r="C169" t="s">
        <v>507</v>
      </c>
      <c r="D169" t="s">
        <v>69</v>
      </c>
      <c r="E169" t="s">
        <v>147</v>
      </c>
      <c r="F169" s="1">
        <v>45747</v>
      </c>
      <c r="G169" s="1">
        <v>45749</v>
      </c>
      <c r="H169" t="s">
        <v>80</v>
      </c>
      <c r="I169" t="s">
        <v>5</v>
      </c>
      <c r="J169" t="s">
        <v>6</v>
      </c>
      <c r="K169" t="s">
        <v>4</v>
      </c>
      <c r="L169" t="s">
        <v>511</v>
      </c>
      <c r="M169" t="s">
        <v>511</v>
      </c>
      <c r="N169" s="2">
        <v>56625</v>
      </c>
      <c r="O169" t="s">
        <v>509</v>
      </c>
      <c r="P169" t="s">
        <v>9</v>
      </c>
      <c r="Q169" t="s">
        <v>82</v>
      </c>
      <c r="R169" t="e">
        <f>VLOOKUP(Q169,#REF!,2,FALSE)</f>
        <v>#REF!</v>
      </c>
      <c r="S169">
        <v>1004</v>
      </c>
      <c r="T169" t="s">
        <v>2225</v>
      </c>
      <c r="U169" t="s">
        <v>510</v>
      </c>
      <c r="V169" s="1">
        <v>45565</v>
      </c>
      <c r="W169" s="1">
        <v>45565</v>
      </c>
      <c r="X169" t="s">
        <v>77</v>
      </c>
      <c r="Y169" t="s">
        <v>78</v>
      </c>
      <c r="Z169" t="s">
        <v>6</v>
      </c>
      <c r="AA169" t="s">
        <v>78</v>
      </c>
      <c r="AB169" s="4">
        <f>L169/0.08</f>
        <v>707812.5</v>
      </c>
      <c r="AC169" s="6">
        <v>0.1</v>
      </c>
      <c r="AD169" s="4">
        <f>AB169*AC169</f>
        <v>70781.25</v>
      </c>
      <c r="AE169" s="4">
        <f t="shared" si="7"/>
        <v>14156.25</v>
      </c>
    </row>
    <row r="170" spans="1:31" x14ac:dyDescent="0.25">
      <c r="A170" t="s">
        <v>0</v>
      </c>
      <c r="B170" s="3" t="s">
        <v>2219</v>
      </c>
      <c r="C170" t="s">
        <v>507</v>
      </c>
      <c r="D170" t="s">
        <v>69</v>
      </c>
      <c r="E170" t="s">
        <v>149</v>
      </c>
      <c r="F170" s="1">
        <v>45747</v>
      </c>
      <c r="G170" s="1">
        <v>45749</v>
      </c>
      <c r="H170" t="s">
        <v>128</v>
      </c>
      <c r="I170" t="s">
        <v>5</v>
      </c>
      <c r="J170" t="s">
        <v>6</v>
      </c>
      <c r="K170" t="s">
        <v>4</v>
      </c>
      <c r="L170" t="s">
        <v>512</v>
      </c>
      <c r="M170" t="s">
        <v>512</v>
      </c>
      <c r="N170" s="2">
        <v>129526</v>
      </c>
      <c r="O170" t="s">
        <v>509</v>
      </c>
      <c r="P170" t="s">
        <v>9</v>
      </c>
      <c r="Q170" t="s">
        <v>86</v>
      </c>
      <c r="R170" t="e">
        <f>VLOOKUP(Q170,#REF!,2,FALSE)</f>
        <v>#REF!</v>
      </c>
      <c r="S170">
        <v>1004</v>
      </c>
      <c r="T170" t="s">
        <v>2225</v>
      </c>
      <c r="U170" t="s">
        <v>510</v>
      </c>
      <c r="V170" s="1">
        <v>45565</v>
      </c>
      <c r="W170" s="1">
        <v>45565</v>
      </c>
      <c r="X170" t="s">
        <v>77</v>
      </c>
      <c r="Y170" t="s">
        <v>78</v>
      </c>
      <c r="Z170" t="s">
        <v>6</v>
      </c>
      <c r="AA170" t="s">
        <v>78</v>
      </c>
      <c r="AB170" s="4">
        <f>L170/0.03</f>
        <v>4317533.333333334</v>
      </c>
      <c r="AC170" s="6">
        <v>0.04</v>
      </c>
      <c r="AD170" s="4">
        <f>AB170*AC170</f>
        <v>172701.33333333337</v>
      </c>
      <c r="AE170" s="4">
        <f t="shared" si="7"/>
        <v>43175.333333333372</v>
      </c>
    </row>
    <row r="171" spans="1:31" x14ac:dyDescent="0.25">
      <c r="A171" t="s">
        <v>0</v>
      </c>
      <c r="B171" s="3" t="s">
        <v>2219</v>
      </c>
      <c r="C171" t="s">
        <v>513</v>
      </c>
      <c r="D171" t="s">
        <v>69</v>
      </c>
      <c r="E171" t="s">
        <v>200</v>
      </c>
      <c r="F171" s="1">
        <v>45714</v>
      </c>
      <c r="G171" s="1">
        <v>45714</v>
      </c>
      <c r="H171" t="s">
        <v>230</v>
      </c>
      <c r="I171" t="s">
        <v>5</v>
      </c>
      <c r="J171" t="s">
        <v>6</v>
      </c>
      <c r="K171" t="s">
        <v>4</v>
      </c>
      <c r="L171" t="s">
        <v>514</v>
      </c>
      <c r="M171" t="s">
        <v>514</v>
      </c>
      <c r="N171" s="2">
        <v>248275</v>
      </c>
      <c r="O171" t="s">
        <v>515</v>
      </c>
      <c r="P171" t="s">
        <v>9</v>
      </c>
      <c r="Q171" t="s">
        <v>75</v>
      </c>
      <c r="R171" t="e">
        <f>VLOOKUP(Q171,#REF!,2,FALSE)</f>
        <v>#REF!</v>
      </c>
      <c r="S171">
        <v>1004</v>
      </c>
      <c r="T171" t="s">
        <v>2225</v>
      </c>
      <c r="U171" t="s">
        <v>516</v>
      </c>
      <c r="V171" s="1">
        <v>45565</v>
      </c>
      <c r="W171" s="1">
        <v>45565</v>
      </c>
      <c r="X171" t="s">
        <v>77</v>
      </c>
      <c r="Y171" t="s">
        <v>78</v>
      </c>
      <c r="Z171" t="s">
        <v>6</v>
      </c>
      <c r="AA171" t="s">
        <v>78</v>
      </c>
      <c r="AB171" s="4">
        <f>L171/0.1</f>
        <v>2482750</v>
      </c>
      <c r="AC171" s="5" t="s">
        <v>2215</v>
      </c>
      <c r="AD171" s="4">
        <f>AB171/12</f>
        <v>206895.83333333334</v>
      </c>
      <c r="AE171" s="4">
        <f t="shared" si="7"/>
        <v>-41379.166666666657</v>
      </c>
    </row>
    <row r="172" spans="1:31" x14ac:dyDescent="0.25">
      <c r="A172" t="s">
        <v>0</v>
      </c>
      <c r="B172" s="3" t="s">
        <v>2219</v>
      </c>
      <c r="C172" t="s">
        <v>513</v>
      </c>
      <c r="D172" t="s">
        <v>69</v>
      </c>
      <c r="E172" t="s">
        <v>71</v>
      </c>
      <c r="F172" s="1">
        <v>45747</v>
      </c>
      <c r="G172" s="1">
        <v>45749</v>
      </c>
      <c r="H172" t="s">
        <v>128</v>
      </c>
      <c r="I172" t="s">
        <v>5</v>
      </c>
      <c r="J172" t="s">
        <v>6</v>
      </c>
      <c r="K172" t="s">
        <v>4</v>
      </c>
      <c r="L172" t="s">
        <v>517</v>
      </c>
      <c r="M172" t="s">
        <v>517</v>
      </c>
      <c r="N172" s="2">
        <v>9932</v>
      </c>
      <c r="O172" t="s">
        <v>515</v>
      </c>
      <c r="P172" t="s">
        <v>9</v>
      </c>
      <c r="Q172" t="s">
        <v>86</v>
      </c>
      <c r="R172" t="e">
        <f>VLOOKUP(Q172,#REF!,2,FALSE)</f>
        <v>#REF!</v>
      </c>
      <c r="S172">
        <v>1004</v>
      </c>
      <c r="T172" t="s">
        <v>2225</v>
      </c>
      <c r="U172" t="s">
        <v>516</v>
      </c>
      <c r="V172" s="1">
        <v>45565</v>
      </c>
      <c r="W172" s="1">
        <v>45565</v>
      </c>
      <c r="X172" t="s">
        <v>77</v>
      </c>
      <c r="Y172" t="s">
        <v>78</v>
      </c>
      <c r="Z172" t="s">
        <v>6</v>
      </c>
      <c r="AA172" t="s">
        <v>78</v>
      </c>
      <c r="AB172" s="4">
        <f>L172/0.03</f>
        <v>331066.66666666669</v>
      </c>
      <c r="AC172" s="6">
        <v>0.04</v>
      </c>
      <c r="AD172" s="4">
        <f>AB172*AC172</f>
        <v>13242.666666666668</v>
      </c>
      <c r="AE172" s="4">
        <f t="shared" si="7"/>
        <v>3310.6666666666679</v>
      </c>
    </row>
    <row r="173" spans="1:31" x14ac:dyDescent="0.25">
      <c r="A173" t="s">
        <v>0</v>
      </c>
      <c r="B173" s="3" t="s">
        <v>2219</v>
      </c>
      <c r="C173" t="s">
        <v>518</v>
      </c>
      <c r="D173" t="s">
        <v>69</v>
      </c>
      <c r="E173" t="s">
        <v>109</v>
      </c>
      <c r="F173" s="1">
        <v>45714</v>
      </c>
      <c r="G173" s="1">
        <v>45714</v>
      </c>
      <c r="H173" t="s">
        <v>319</v>
      </c>
      <c r="I173" t="s">
        <v>5</v>
      </c>
      <c r="J173" t="s">
        <v>6</v>
      </c>
      <c r="K173" t="s">
        <v>4</v>
      </c>
      <c r="L173" t="s">
        <v>519</v>
      </c>
      <c r="M173" t="s">
        <v>519</v>
      </c>
      <c r="N173" s="2">
        <v>240715</v>
      </c>
      <c r="O173" t="s">
        <v>520</v>
      </c>
      <c r="P173" t="s">
        <v>9</v>
      </c>
      <c r="Q173" t="s">
        <v>75</v>
      </c>
      <c r="R173" t="e">
        <f>VLOOKUP(Q173,#REF!,2,FALSE)</f>
        <v>#REF!</v>
      </c>
      <c r="S173">
        <v>1001</v>
      </c>
      <c r="T173" t="s">
        <v>2227</v>
      </c>
      <c r="U173" t="s">
        <v>521</v>
      </c>
      <c r="V173" s="1">
        <v>45565</v>
      </c>
      <c r="W173" s="1">
        <v>45565</v>
      </c>
      <c r="X173" t="s">
        <v>77</v>
      </c>
      <c r="Y173" t="s">
        <v>78</v>
      </c>
      <c r="Z173" t="s">
        <v>6</v>
      </c>
      <c r="AA173" t="s">
        <v>78</v>
      </c>
      <c r="AB173" s="4">
        <f>L173/0.1</f>
        <v>2407150</v>
      </c>
      <c r="AC173" s="5" t="s">
        <v>2215</v>
      </c>
      <c r="AD173" s="4">
        <f>AB173/12</f>
        <v>200595.83333333334</v>
      </c>
      <c r="AE173" s="4">
        <f t="shared" si="7"/>
        <v>-40119.166666666657</v>
      </c>
    </row>
    <row r="174" spans="1:31" x14ac:dyDescent="0.25">
      <c r="A174" t="s">
        <v>0</v>
      </c>
      <c r="B174" s="3" t="s">
        <v>2219</v>
      </c>
      <c r="C174" t="s">
        <v>518</v>
      </c>
      <c r="D174" t="s">
        <v>69</v>
      </c>
      <c r="E174" t="s">
        <v>203</v>
      </c>
      <c r="F174" s="1">
        <v>45747</v>
      </c>
      <c r="G174" s="1">
        <v>45749</v>
      </c>
      <c r="H174" t="s">
        <v>128</v>
      </c>
      <c r="I174" t="s">
        <v>5</v>
      </c>
      <c r="J174" t="s">
        <v>6</v>
      </c>
      <c r="K174" t="s">
        <v>4</v>
      </c>
      <c r="L174" t="s">
        <v>522</v>
      </c>
      <c r="M174" t="s">
        <v>522</v>
      </c>
      <c r="N174" s="2">
        <v>9629</v>
      </c>
      <c r="O174" t="s">
        <v>520</v>
      </c>
      <c r="P174" t="s">
        <v>9</v>
      </c>
      <c r="Q174" t="s">
        <v>86</v>
      </c>
      <c r="R174" t="e">
        <f>VLOOKUP(Q174,#REF!,2,FALSE)</f>
        <v>#REF!</v>
      </c>
      <c r="S174">
        <v>1001</v>
      </c>
      <c r="T174" t="s">
        <v>2227</v>
      </c>
      <c r="U174" t="s">
        <v>521</v>
      </c>
      <c r="V174" s="1">
        <v>45565</v>
      </c>
      <c r="W174" s="1">
        <v>45565</v>
      </c>
      <c r="X174" t="s">
        <v>77</v>
      </c>
      <c r="Y174" t="s">
        <v>78</v>
      </c>
      <c r="Z174" t="s">
        <v>6</v>
      </c>
      <c r="AA174" t="s">
        <v>78</v>
      </c>
      <c r="AB174" s="4">
        <f>L174/0.03</f>
        <v>320966.66666666669</v>
      </c>
      <c r="AC174" s="6">
        <v>0.04</v>
      </c>
      <c r="AD174" s="4">
        <f>AB174*AC174</f>
        <v>12838.666666666668</v>
      </c>
      <c r="AE174" s="4">
        <f t="shared" si="7"/>
        <v>3209.6666666666679</v>
      </c>
    </row>
    <row r="175" spans="1:31" x14ac:dyDescent="0.25">
      <c r="A175" t="s">
        <v>0</v>
      </c>
      <c r="B175" s="3" t="s">
        <v>2219</v>
      </c>
      <c r="C175" t="s">
        <v>523</v>
      </c>
      <c r="D175" t="s">
        <v>69</v>
      </c>
      <c r="E175" t="s">
        <v>203</v>
      </c>
      <c r="F175" s="1">
        <v>45713</v>
      </c>
      <c r="G175" s="1">
        <v>45713</v>
      </c>
      <c r="H175" t="s">
        <v>524</v>
      </c>
      <c r="I175" t="s">
        <v>5</v>
      </c>
      <c r="J175" t="s">
        <v>6</v>
      </c>
      <c r="K175" t="s">
        <v>4</v>
      </c>
      <c r="L175" t="s">
        <v>525</v>
      </c>
      <c r="M175" t="s">
        <v>525</v>
      </c>
      <c r="N175" s="2">
        <v>1424399</v>
      </c>
      <c r="O175" t="s">
        <v>526</v>
      </c>
      <c r="P175" t="s">
        <v>9</v>
      </c>
      <c r="Q175" t="s">
        <v>75</v>
      </c>
      <c r="R175" t="e">
        <f>VLOOKUP(Q175,#REF!,2,FALSE)</f>
        <v>#REF!</v>
      </c>
      <c r="S175">
        <v>1004</v>
      </c>
      <c r="T175" t="s">
        <v>2225</v>
      </c>
      <c r="U175" t="s">
        <v>527</v>
      </c>
      <c r="V175" s="1">
        <v>45565</v>
      </c>
      <c r="W175" s="1">
        <v>45565</v>
      </c>
      <c r="X175" t="s">
        <v>77</v>
      </c>
      <c r="Y175" t="s">
        <v>78</v>
      </c>
      <c r="Z175" t="s">
        <v>6</v>
      </c>
      <c r="AA175" t="s">
        <v>78</v>
      </c>
      <c r="AB175" s="4">
        <f>L175/0.1</f>
        <v>14243990</v>
      </c>
      <c r="AC175" s="5" t="s">
        <v>2215</v>
      </c>
      <c r="AD175" s="4">
        <f>AB175/12</f>
        <v>1186999.1666666667</v>
      </c>
      <c r="AE175" s="4">
        <f t="shared" si="7"/>
        <v>-237399.83333333326</v>
      </c>
    </row>
    <row r="176" spans="1:31" x14ac:dyDescent="0.25">
      <c r="A176" t="s">
        <v>0</v>
      </c>
      <c r="B176" s="3" t="s">
        <v>2219</v>
      </c>
      <c r="C176" t="s">
        <v>523</v>
      </c>
      <c r="D176" t="s">
        <v>69</v>
      </c>
      <c r="E176" t="s">
        <v>208</v>
      </c>
      <c r="F176" s="1">
        <v>45747</v>
      </c>
      <c r="G176" s="1">
        <v>45749</v>
      </c>
      <c r="H176" t="s">
        <v>80</v>
      </c>
      <c r="I176" t="s">
        <v>5</v>
      </c>
      <c r="J176" t="s">
        <v>6</v>
      </c>
      <c r="K176" t="s">
        <v>4</v>
      </c>
      <c r="L176" t="s">
        <v>528</v>
      </c>
      <c r="M176" t="s">
        <v>528</v>
      </c>
      <c r="N176" s="2">
        <v>14011</v>
      </c>
      <c r="O176" t="s">
        <v>526</v>
      </c>
      <c r="P176" t="s">
        <v>9</v>
      </c>
      <c r="Q176" t="s">
        <v>82</v>
      </c>
      <c r="R176" t="e">
        <f>VLOOKUP(Q176,#REF!,2,FALSE)</f>
        <v>#REF!</v>
      </c>
      <c r="S176">
        <v>1004</v>
      </c>
      <c r="T176" t="s">
        <v>2225</v>
      </c>
      <c r="U176" t="s">
        <v>527</v>
      </c>
      <c r="V176" s="1">
        <v>45565</v>
      </c>
      <c r="W176" s="1">
        <v>45565</v>
      </c>
      <c r="X176" t="s">
        <v>77</v>
      </c>
      <c r="Y176" t="s">
        <v>78</v>
      </c>
      <c r="Z176" t="s">
        <v>6</v>
      </c>
      <c r="AA176" t="s">
        <v>78</v>
      </c>
      <c r="AB176" s="4">
        <f>L176/0.08</f>
        <v>175137.5</v>
      </c>
      <c r="AC176" s="6">
        <v>0.1</v>
      </c>
      <c r="AD176" s="4">
        <f>AB176*AC176</f>
        <v>17513.75</v>
      </c>
      <c r="AE176" s="4">
        <f t="shared" si="7"/>
        <v>3502.75</v>
      </c>
    </row>
    <row r="177" spans="1:31" x14ac:dyDescent="0.25">
      <c r="A177" t="s">
        <v>0</v>
      </c>
      <c r="B177" s="3" t="s">
        <v>2219</v>
      </c>
      <c r="C177" t="s">
        <v>523</v>
      </c>
      <c r="D177" t="s">
        <v>69</v>
      </c>
      <c r="E177" t="s">
        <v>67</v>
      </c>
      <c r="F177" s="1">
        <v>45747</v>
      </c>
      <c r="G177" s="1">
        <v>45749</v>
      </c>
      <c r="H177" t="s">
        <v>128</v>
      </c>
      <c r="I177" t="s">
        <v>5</v>
      </c>
      <c r="J177" t="s">
        <v>6</v>
      </c>
      <c r="K177" t="s">
        <v>4</v>
      </c>
      <c r="L177" t="s">
        <v>529</v>
      </c>
      <c r="M177" t="s">
        <v>529</v>
      </c>
      <c r="N177" s="2">
        <v>57536</v>
      </c>
      <c r="O177" t="s">
        <v>526</v>
      </c>
      <c r="P177" t="s">
        <v>9</v>
      </c>
      <c r="Q177" t="s">
        <v>86</v>
      </c>
      <c r="R177" t="e">
        <f>VLOOKUP(Q177,#REF!,2,FALSE)</f>
        <v>#REF!</v>
      </c>
      <c r="S177">
        <v>1004</v>
      </c>
      <c r="T177" t="s">
        <v>2225</v>
      </c>
      <c r="U177" t="s">
        <v>527</v>
      </c>
      <c r="V177" s="1">
        <v>45565</v>
      </c>
      <c r="W177" s="1">
        <v>45565</v>
      </c>
      <c r="X177" t="s">
        <v>77</v>
      </c>
      <c r="Y177" t="s">
        <v>78</v>
      </c>
      <c r="Z177" t="s">
        <v>6</v>
      </c>
      <c r="AA177" t="s">
        <v>78</v>
      </c>
      <c r="AB177" s="4">
        <f>L177/0.03</f>
        <v>1917866.6666666667</v>
      </c>
      <c r="AC177" s="6">
        <v>0.04</v>
      </c>
      <c r="AD177" s="4">
        <f>AB177*AC177</f>
        <v>76714.666666666672</v>
      </c>
      <c r="AE177" s="4">
        <f t="shared" si="7"/>
        <v>19178.666666666672</v>
      </c>
    </row>
    <row r="178" spans="1:31" x14ac:dyDescent="0.25">
      <c r="A178" t="s">
        <v>0</v>
      </c>
      <c r="B178" s="3" t="s">
        <v>2219</v>
      </c>
      <c r="C178" t="s">
        <v>530</v>
      </c>
      <c r="D178" t="s">
        <v>69</v>
      </c>
      <c r="E178" t="s">
        <v>43</v>
      </c>
      <c r="F178" s="1">
        <v>45570</v>
      </c>
      <c r="G178" s="1">
        <v>45573</v>
      </c>
      <c r="H178" t="s">
        <v>531</v>
      </c>
      <c r="I178" t="s">
        <v>5</v>
      </c>
      <c r="J178" t="s">
        <v>6</v>
      </c>
      <c r="K178" t="s">
        <v>4</v>
      </c>
      <c r="L178" t="s">
        <v>532</v>
      </c>
      <c r="M178" t="s">
        <v>532</v>
      </c>
      <c r="N178" s="2">
        <v>256011</v>
      </c>
      <c r="O178" t="s">
        <v>533</v>
      </c>
      <c r="P178" t="s">
        <v>9</v>
      </c>
      <c r="Q178" t="s">
        <v>75</v>
      </c>
      <c r="R178" t="e">
        <f>VLOOKUP(Q178,#REF!,2,FALSE)</f>
        <v>#REF!</v>
      </c>
      <c r="S178">
        <v>1511</v>
      </c>
      <c r="T178" t="s">
        <v>2224</v>
      </c>
      <c r="U178" t="s">
        <v>534</v>
      </c>
      <c r="V178" s="1">
        <v>45565</v>
      </c>
      <c r="W178" s="1">
        <v>45565</v>
      </c>
      <c r="X178" t="s">
        <v>77</v>
      </c>
      <c r="Y178" t="s">
        <v>78</v>
      </c>
      <c r="Z178" t="s">
        <v>6</v>
      </c>
      <c r="AA178" t="s">
        <v>78</v>
      </c>
      <c r="AB178" s="4">
        <f>L178/0.1</f>
        <v>2560110</v>
      </c>
      <c r="AC178" s="5" t="s">
        <v>2215</v>
      </c>
      <c r="AD178" s="4">
        <f>AB178/12</f>
        <v>213342.5</v>
      </c>
      <c r="AE178" s="4">
        <f t="shared" si="7"/>
        <v>-42668.5</v>
      </c>
    </row>
    <row r="179" spans="1:31" x14ac:dyDescent="0.25">
      <c r="A179" t="s">
        <v>0</v>
      </c>
      <c r="B179" s="3" t="s">
        <v>2219</v>
      </c>
      <c r="C179" t="s">
        <v>530</v>
      </c>
      <c r="D179" t="s">
        <v>69</v>
      </c>
      <c r="E179" t="s">
        <v>104</v>
      </c>
      <c r="F179" s="1">
        <v>45570</v>
      </c>
      <c r="G179" s="1">
        <v>45573</v>
      </c>
      <c r="H179" t="s">
        <v>531</v>
      </c>
      <c r="I179" t="s">
        <v>5</v>
      </c>
      <c r="J179" t="s">
        <v>6</v>
      </c>
      <c r="K179" t="s">
        <v>4</v>
      </c>
      <c r="L179" t="s">
        <v>535</v>
      </c>
      <c r="M179" t="s">
        <v>535</v>
      </c>
      <c r="N179" s="2">
        <v>10243</v>
      </c>
      <c r="O179" t="s">
        <v>533</v>
      </c>
      <c r="P179" t="s">
        <v>9</v>
      </c>
      <c r="Q179" t="s">
        <v>86</v>
      </c>
      <c r="R179" t="e">
        <f>VLOOKUP(Q179,#REF!,2,FALSE)</f>
        <v>#REF!</v>
      </c>
      <c r="S179">
        <v>1511</v>
      </c>
      <c r="T179" t="s">
        <v>2224</v>
      </c>
      <c r="U179" t="s">
        <v>534</v>
      </c>
      <c r="V179" s="1">
        <v>45565</v>
      </c>
      <c r="W179" s="1">
        <v>45565</v>
      </c>
      <c r="X179" t="s">
        <v>77</v>
      </c>
      <c r="Y179" t="s">
        <v>78</v>
      </c>
      <c r="Z179" t="s">
        <v>6</v>
      </c>
      <c r="AA179" t="s">
        <v>78</v>
      </c>
      <c r="AB179" s="4">
        <f>L179/0.03</f>
        <v>341433.33333333337</v>
      </c>
      <c r="AC179" s="6">
        <v>0.04</v>
      </c>
      <c r="AD179" s="4">
        <f>AB179*AC179</f>
        <v>13657.333333333336</v>
      </c>
      <c r="AE179" s="4">
        <f t="shared" si="7"/>
        <v>3414.3333333333358</v>
      </c>
    </row>
    <row r="180" spans="1:31" x14ac:dyDescent="0.25">
      <c r="A180" t="s">
        <v>0</v>
      </c>
      <c r="B180" s="3" t="s">
        <v>2219</v>
      </c>
      <c r="C180" t="s">
        <v>536</v>
      </c>
      <c r="D180" t="s">
        <v>69</v>
      </c>
      <c r="E180" t="s">
        <v>203</v>
      </c>
      <c r="F180" s="1">
        <v>45570</v>
      </c>
      <c r="G180" s="1">
        <v>45573</v>
      </c>
      <c r="H180" t="s">
        <v>531</v>
      </c>
      <c r="I180" t="s">
        <v>5</v>
      </c>
      <c r="J180" t="s">
        <v>6</v>
      </c>
      <c r="K180" t="s">
        <v>4</v>
      </c>
      <c r="L180" t="s">
        <v>537</v>
      </c>
      <c r="M180" t="s">
        <v>537</v>
      </c>
      <c r="N180" s="2">
        <v>15647</v>
      </c>
      <c r="O180" t="s">
        <v>538</v>
      </c>
      <c r="P180" t="s">
        <v>9</v>
      </c>
      <c r="Q180" t="s">
        <v>75</v>
      </c>
      <c r="R180" t="e">
        <f>VLOOKUP(Q180,#REF!,2,FALSE)</f>
        <v>#REF!</v>
      </c>
      <c r="S180">
        <v>1511</v>
      </c>
      <c r="T180" t="s">
        <v>2224</v>
      </c>
      <c r="U180" t="s">
        <v>539</v>
      </c>
      <c r="V180" s="1">
        <v>45565</v>
      </c>
      <c r="W180" s="1">
        <v>45565</v>
      </c>
      <c r="X180" t="s">
        <v>77</v>
      </c>
      <c r="Y180" t="s">
        <v>389</v>
      </c>
      <c r="Z180" t="s">
        <v>6</v>
      </c>
      <c r="AA180" t="s">
        <v>389</v>
      </c>
      <c r="AB180" s="4">
        <f>L180/0.1</f>
        <v>156470</v>
      </c>
      <c r="AC180" s="5" t="s">
        <v>2215</v>
      </c>
      <c r="AD180" s="4">
        <f>AB180/12</f>
        <v>13039.166666666666</v>
      </c>
      <c r="AE180" s="4">
        <f t="shared" si="7"/>
        <v>-2607.8333333333339</v>
      </c>
    </row>
    <row r="181" spans="1:31" x14ac:dyDescent="0.25">
      <c r="A181" t="s">
        <v>0</v>
      </c>
      <c r="B181" s="3" t="s">
        <v>2219</v>
      </c>
      <c r="C181" t="s">
        <v>536</v>
      </c>
      <c r="D181" t="s">
        <v>69</v>
      </c>
      <c r="E181" t="s">
        <v>208</v>
      </c>
      <c r="F181" s="1">
        <v>45570</v>
      </c>
      <c r="G181" s="1">
        <v>45573</v>
      </c>
      <c r="H181" t="s">
        <v>531</v>
      </c>
      <c r="I181" t="s">
        <v>5</v>
      </c>
      <c r="J181" t="s">
        <v>6</v>
      </c>
      <c r="K181" t="s">
        <v>4</v>
      </c>
      <c r="L181" t="s">
        <v>540</v>
      </c>
      <c r="M181" t="s">
        <v>540</v>
      </c>
      <c r="N181" s="2">
        <v>626</v>
      </c>
      <c r="O181" t="s">
        <v>538</v>
      </c>
      <c r="P181" t="s">
        <v>9</v>
      </c>
      <c r="Q181" t="s">
        <v>86</v>
      </c>
      <c r="R181" t="e">
        <f>VLOOKUP(Q181,#REF!,2,FALSE)</f>
        <v>#REF!</v>
      </c>
      <c r="S181">
        <v>1511</v>
      </c>
      <c r="T181" t="s">
        <v>2224</v>
      </c>
      <c r="U181" t="s">
        <v>539</v>
      </c>
      <c r="V181" s="1">
        <v>45565</v>
      </c>
      <c r="W181" s="1">
        <v>45565</v>
      </c>
      <c r="X181" t="s">
        <v>77</v>
      </c>
      <c r="Y181" t="s">
        <v>389</v>
      </c>
      <c r="Z181" t="s">
        <v>6</v>
      </c>
      <c r="AA181" t="s">
        <v>389</v>
      </c>
      <c r="AB181" s="4">
        <f>L181/0.03</f>
        <v>20866.666666666668</v>
      </c>
      <c r="AC181" s="6">
        <v>0.04</v>
      </c>
      <c r="AD181" s="4">
        <f>AB181*AC181</f>
        <v>834.66666666666674</v>
      </c>
      <c r="AE181" s="4">
        <f t="shared" si="7"/>
        <v>208.66666666666674</v>
      </c>
    </row>
    <row r="182" spans="1:31" x14ac:dyDescent="0.25">
      <c r="A182" t="s">
        <v>0</v>
      </c>
      <c r="B182" s="3" t="s">
        <v>2219</v>
      </c>
      <c r="C182" t="s">
        <v>541</v>
      </c>
      <c r="D182" t="s">
        <v>69</v>
      </c>
      <c r="E182" t="s">
        <v>542</v>
      </c>
      <c r="F182" s="1">
        <v>45699</v>
      </c>
      <c r="G182" s="1">
        <v>45699</v>
      </c>
      <c r="H182" t="s">
        <v>332</v>
      </c>
      <c r="I182" t="s">
        <v>5</v>
      </c>
      <c r="J182" t="s">
        <v>6</v>
      </c>
      <c r="K182" t="s">
        <v>4</v>
      </c>
      <c r="L182" t="s">
        <v>543</v>
      </c>
      <c r="M182" t="s">
        <v>543</v>
      </c>
      <c r="N182" s="2">
        <v>2057567</v>
      </c>
      <c r="O182" t="s">
        <v>544</v>
      </c>
      <c r="P182" t="s">
        <v>9</v>
      </c>
      <c r="Q182" t="s">
        <v>75</v>
      </c>
      <c r="R182" t="e">
        <f>VLOOKUP(Q182,#REF!,2,FALSE)</f>
        <v>#REF!</v>
      </c>
      <c r="S182">
        <v>1015</v>
      </c>
      <c r="T182" t="s">
        <v>2226</v>
      </c>
      <c r="U182" t="s">
        <v>545</v>
      </c>
      <c r="V182" s="1">
        <v>45595</v>
      </c>
      <c r="W182" s="1">
        <v>45595</v>
      </c>
      <c r="X182" t="s">
        <v>77</v>
      </c>
      <c r="Y182" t="s">
        <v>78</v>
      </c>
      <c r="Z182" t="s">
        <v>6</v>
      </c>
      <c r="AA182" t="s">
        <v>78</v>
      </c>
      <c r="AB182" s="4">
        <f>L182/0.1</f>
        <v>20575670</v>
      </c>
      <c r="AC182" s="5" t="s">
        <v>2215</v>
      </c>
      <c r="AD182" s="4">
        <f>AB182/12</f>
        <v>1714639.1666666667</v>
      </c>
      <c r="AE182" s="4">
        <f t="shared" si="7"/>
        <v>-342927.83333333326</v>
      </c>
    </row>
    <row r="183" spans="1:31" x14ac:dyDescent="0.25">
      <c r="A183" t="s">
        <v>0</v>
      </c>
      <c r="B183" s="3" t="s">
        <v>2219</v>
      </c>
      <c r="C183" t="s">
        <v>541</v>
      </c>
      <c r="D183" t="s">
        <v>69</v>
      </c>
      <c r="E183" t="s">
        <v>546</v>
      </c>
      <c r="F183" s="1">
        <v>45723</v>
      </c>
      <c r="G183" s="1">
        <v>45724</v>
      </c>
      <c r="H183" t="s">
        <v>337</v>
      </c>
      <c r="I183" t="s">
        <v>5</v>
      </c>
      <c r="J183" t="s">
        <v>6</v>
      </c>
      <c r="K183" t="s">
        <v>4</v>
      </c>
      <c r="L183" t="s">
        <v>547</v>
      </c>
      <c r="M183" t="s">
        <v>547</v>
      </c>
      <c r="N183" s="2">
        <v>12947</v>
      </c>
      <c r="O183" t="s">
        <v>544</v>
      </c>
      <c r="P183" t="s">
        <v>9</v>
      </c>
      <c r="Q183" t="s">
        <v>82</v>
      </c>
      <c r="R183" t="e">
        <f>VLOOKUP(Q183,#REF!,2,FALSE)</f>
        <v>#REF!</v>
      </c>
      <c r="S183">
        <v>1015</v>
      </c>
      <c r="T183" t="s">
        <v>2226</v>
      </c>
      <c r="U183" t="s">
        <v>545</v>
      </c>
      <c r="V183" s="1">
        <v>45595</v>
      </c>
      <c r="W183" s="1">
        <v>45595</v>
      </c>
      <c r="X183" t="s">
        <v>77</v>
      </c>
      <c r="Y183" t="s">
        <v>78</v>
      </c>
      <c r="Z183" t="s">
        <v>6</v>
      </c>
      <c r="AA183" t="s">
        <v>78</v>
      </c>
      <c r="AB183" s="4">
        <f>L183/0.08</f>
        <v>161837.5</v>
      </c>
      <c r="AC183" s="6">
        <v>0.1</v>
      </c>
      <c r="AD183" s="4">
        <f>AB183*AC183</f>
        <v>16183.75</v>
      </c>
      <c r="AE183" s="4">
        <f t="shared" si="7"/>
        <v>3236.75</v>
      </c>
    </row>
    <row r="184" spans="1:31" x14ac:dyDescent="0.25">
      <c r="A184" t="s">
        <v>0</v>
      </c>
      <c r="B184" s="3" t="s">
        <v>2219</v>
      </c>
      <c r="C184" t="s">
        <v>541</v>
      </c>
      <c r="D184" t="s">
        <v>69</v>
      </c>
      <c r="E184" t="s">
        <v>548</v>
      </c>
      <c r="F184" s="1">
        <v>45723</v>
      </c>
      <c r="G184" s="1">
        <v>45724</v>
      </c>
      <c r="H184" t="s">
        <v>337</v>
      </c>
      <c r="I184" t="s">
        <v>5</v>
      </c>
      <c r="J184" t="s">
        <v>6</v>
      </c>
      <c r="K184" t="s">
        <v>4</v>
      </c>
      <c r="L184" t="s">
        <v>549</v>
      </c>
      <c r="M184" t="s">
        <v>549</v>
      </c>
      <c r="N184" s="2">
        <v>82142</v>
      </c>
      <c r="O184" t="s">
        <v>544</v>
      </c>
      <c r="P184" t="s">
        <v>9</v>
      </c>
      <c r="Q184" t="s">
        <v>86</v>
      </c>
      <c r="R184" t="e">
        <f>VLOOKUP(Q184,#REF!,2,FALSE)</f>
        <v>#REF!</v>
      </c>
      <c r="S184">
        <v>1015</v>
      </c>
      <c r="T184" t="s">
        <v>2226</v>
      </c>
      <c r="U184" t="s">
        <v>545</v>
      </c>
      <c r="V184" s="1">
        <v>45595</v>
      </c>
      <c r="W184" s="1">
        <v>45595</v>
      </c>
      <c r="X184" t="s">
        <v>77</v>
      </c>
      <c r="Y184" t="s">
        <v>78</v>
      </c>
      <c r="Z184" t="s">
        <v>6</v>
      </c>
      <c r="AA184" t="s">
        <v>78</v>
      </c>
      <c r="AB184" s="4">
        <f>L184/0.03</f>
        <v>2738066.666666667</v>
      </c>
      <c r="AC184" s="6">
        <v>0.04</v>
      </c>
      <c r="AD184" s="4">
        <f>AB184*AC184</f>
        <v>109522.66666666669</v>
      </c>
      <c r="AE184" s="4">
        <f t="shared" si="7"/>
        <v>27380.666666666686</v>
      </c>
    </row>
    <row r="185" spans="1:31" x14ac:dyDescent="0.25">
      <c r="A185" t="s">
        <v>0</v>
      </c>
      <c r="B185" s="3" t="s">
        <v>2219</v>
      </c>
      <c r="C185" t="s">
        <v>550</v>
      </c>
      <c r="D185" t="s">
        <v>69</v>
      </c>
      <c r="E185" t="s">
        <v>198</v>
      </c>
      <c r="F185" s="1">
        <v>45699</v>
      </c>
      <c r="G185" s="1">
        <v>45699</v>
      </c>
      <c r="H185" t="s">
        <v>332</v>
      </c>
      <c r="I185" t="s">
        <v>5</v>
      </c>
      <c r="J185" t="s">
        <v>6</v>
      </c>
      <c r="K185" t="s">
        <v>4</v>
      </c>
      <c r="L185" t="s">
        <v>551</v>
      </c>
      <c r="M185" t="s">
        <v>551</v>
      </c>
      <c r="N185" s="2">
        <v>2663</v>
      </c>
      <c r="O185" t="s">
        <v>552</v>
      </c>
      <c r="P185" t="s">
        <v>9</v>
      </c>
      <c r="Q185" t="s">
        <v>75</v>
      </c>
      <c r="R185" t="e">
        <f>VLOOKUP(Q185,#REF!,2,FALSE)</f>
        <v>#REF!</v>
      </c>
      <c r="S185">
        <v>1015</v>
      </c>
      <c r="T185" t="s">
        <v>2226</v>
      </c>
      <c r="U185" t="s">
        <v>553</v>
      </c>
      <c r="V185" s="1">
        <v>45595</v>
      </c>
      <c r="W185" s="1">
        <v>45595</v>
      </c>
      <c r="X185" t="s">
        <v>77</v>
      </c>
      <c r="Y185" t="s">
        <v>263</v>
      </c>
      <c r="Z185" t="s">
        <v>6</v>
      </c>
      <c r="AA185" t="s">
        <v>263</v>
      </c>
      <c r="AB185" s="4">
        <f>L185/0.1</f>
        <v>26630</v>
      </c>
      <c r="AC185" s="5" t="s">
        <v>2215</v>
      </c>
      <c r="AD185" s="4">
        <f>AB185/12</f>
        <v>2219.1666666666665</v>
      </c>
      <c r="AE185" s="4">
        <f t="shared" si="7"/>
        <v>-443.83333333333348</v>
      </c>
    </row>
    <row r="186" spans="1:31" x14ac:dyDescent="0.25">
      <c r="A186" t="s">
        <v>0</v>
      </c>
      <c r="B186" s="3" t="s">
        <v>2219</v>
      </c>
      <c r="C186" t="s">
        <v>550</v>
      </c>
      <c r="D186" t="s">
        <v>69</v>
      </c>
      <c r="E186" t="s">
        <v>200</v>
      </c>
      <c r="F186" s="1">
        <v>45723</v>
      </c>
      <c r="G186" s="1">
        <v>45724</v>
      </c>
      <c r="H186" t="s">
        <v>337</v>
      </c>
      <c r="I186" t="s">
        <v>5</v>
      </c>
      <c r="J186" t="s">
        <v>6</v>
      </c>
      <c r="K186" t="s">
        <v>4</v>
      </c>
      <c r="L186" t="s">
        <v>554</v>
      </c>
      <c r="M186" t="s">
        <v>554</v>
      </c>
      <c r="N186" s="2">
        <v>107</v>
      </c>
      <c r="O186" t="s">
        <v>552</v>
      </c>
      <c r="P186" t="s">
        <v>9</v>
      </c>
      <c r="Q186" t="s">
        <v>86</v>
      </c>
      <c r="R186" t="e">
        <f>VLOOKUP(Q186,#REF!,2,FALSE)</f>
        <v>#REF!</v>
      </c>
      <c r="S186">
        <v>1015</v>
      </c>
      <c r="T186" t="s">
        <v>2226</v>
      </c>
      <c r="U186" t="s">
        <v>553</v>
      </c>
      <c r="V186" s="1">
        <v>45595</v>
      </c>
      <c r="W186" s="1">
        <v>45595</v>
      </c>
      <c r="X186" t="s">
        <v>77</v>
      </c>
      <c r="Y186" t="s">
        <v>263</v>
      </c>
      <c r="Z186" t="s">
        <v>6</v>
      </c>
      <c r="AA186" t="s">
        <v>263</v>
      </c>
      <c r="AB186" s="4">
        <f>L186/0.03</f>
        <v>3566.666666666667</v>
      </c>
      <c r="AC186" s="6">
        <v>0.04</v>
      </c>
      <c r="AD186" s="4">
        <f>AB186*AC186</f>
        <v>142.66666666666669</v>
      </c>
      <c r="AE186" s="4">
        <f t="shared" si="7"/>
        <v>35.666666666666686</v>
      </c>
    </row>
    <row r="187" spans="1:31" x14ac:dyDescent="0.25">
      <c r="A187" t="s">
        <v>0</v>
      </c>
      <c r="B187" s="3" t="s">
        <v>2219</v>
      </c>
      <c r="C187" t="s">
        <v>555</v>
      </c>
      <c r="D187" t="s">
        <v>69</v>
      </c>
      <c r="E187" t="s">
        <v>109</v>
      </c>
      <c r="F187" s="1">
        <v>45714</v>
      </c>
      <c r="G187" s="1">
        <v>45714</v>
      </c>
      <c r="H187" t="s">
        <v>372</v>
      </c>
      <c r="I187" t="s">
        <v>5</v>
      </c>
      <c r="J187" t="s">
        <v>6</v>
      </c>
      <c r="K187" t="s">
        <v>4</v>
      </c>
      <c r="L187" t="s">
        <v>556</v>
      </c>
      <c r="M187" t="s">
        <v>556</v>
      </c>
      <c r="N187" s="2">
        <v>268619</v>
      </c>
      <c r="O187" t="s">
        <v>557</v>
      </c>
      <c r="P187" t="s">
        <v>9</v>
      </c>
      <c r="Q187" t="s">
        <v>75</v>
      </c>
      <c r="R187" t="e">
        <f>VLOOKUP(Q187,#REF!,2,FALSE)</f>
        <v>#REF!</v>
      </c>
      <c r="S187">
        <v>1001</v>
      </c>
      <c r="T187" t="s">
        <v>2227</v>
      </c>
      <c r="U187" t="s">
        <v>558</v>
      </c>
      <c r="V187" s="1">
        <v>45595</v>
      </c>
      <c r="W187" s="1">
        <v>45595</v>
      </c>
      <c r="X187" t="s">
        <v>77</v>
      </c>
      <c r="Y187" t="s">
        <v>78</v>
      </c>
      <c r="Z187" t="s">
        <v>6</v>
      </c>
      <c r="AA187" t="s">
        <v>78</v>
      </c>
      <c r="AB187" s="4">
        <f>L187/0.1</f>
        <v>2686190</v>
      </c>
      <c r="AC187" s="5" t="s">
        <v>2215</v>
      </c>
      <c r="AD187" s="4">
        <f>AB187/12</f>
        <v>223849.16666666666</v>
      </c>
      <c r="AE187" s="4">
        <f t="shared" si="7"/>
        <v>-44769.833333333343</v>
      </c>
    </row>
    <row r="188" spans="1:31" x14ac:dyDescent="0.25">
      <c r="A188" t="s">
        <v>0</v>
      </c>
      <c r="B188" s="3" t="s">
        <v>2219</v>
      </c>
      <c r="C188" t="s">
        <v>555</v>
      </c>
      <c r="D188" t="s">
        <v>69</v>
      </c>
      <c r="E188" t="s">
        <v>203</v>
      </c>
      <c r="F188" s="1">
        <v>45747</v>
      </c>
      <c r="G188" s="1">
        <v>45749</v>
      </c>
      <c r="H188" t="s">
        <v>128</v>
      </c>
      <c r="I188" t="s">
        <v>5</v>
      </c>
      <c r="J188" t="s">
        <v>6</v>
      </c>
      <c r="K188" t="s">
        <v>4</v>
      </c>
      <c r="L188" t="s">
        <v>559</v>
      </c>
      <c r="M188" t="s">
        <v>559</v>
      </c>
      <c r="N188" s="2">
        <v>10745</v>
      </c>
      <c r="O188" t="s">
        <v>557</v>
      </c>
      <c r="P188" t="s">
        <v>9</v>
      </c>
      <c r="Q188" t="s">
        <v>86</v>
      </c>
      <c r="R188" t="e">
        <f>VLOOKUP(Q188,#REF!,2,FALSE)</f>
        <v>#REF!</v>
      </c>
      <c r="S188">
        <v>1001</v>
      </c>
      <c r="T188" t="s">
        <v>2227</v>
      </c>
      <c r="U188" t="s">
        <v>558</v>
      </c>
      <c r="V188" s="1">
        <v>45595</v>
      </c>
      <c r="W188" s="1">
        <v>45595</v>
      </c>
      <c r="X188" t="s">
        <v>77</v>
      </c>
      <c r="Y188" t="s">
        <v>78</v>
      </c>
      <c r="Z188" t="s">
        <v>6</v>
      </c>
      <c r="AA188" t="s">
        <v>78</v>
      </c>
      <c r="AB188" s="4">
        <f>L188/0.03</f>
        <v>358166.66666666669</v>
      </c>
      <c r="AC188" s="6">
        <v>0.04</v>
      </c>
      <c r="AD188" s="4">
        <f>AB188*AC188</f>
        <v>14326.666666666668</v>
      </c>
      <c r="AE188" s="4">
        <f t="shared" si="7"/>
        <v>3581.6666666666679</v>
      </c>
    </row>
    <row r="189" spans="1:31" x14ac:dyDescent="0.25">
      <c r="A189" t="s">
        <v>0</v>
      </c>
      <c r="B189" s="3" t="s">
        <v>2219</v>
      </c>
      <c r="C189" t="s">
        <v>560</v>
      </c>
      <c r="D189" t="s">
        <v>69</v>
      </c>
      <c r="E189" t="s">
        <v>227</v>
      </c>
      <c r="F189" s="1">
        <v>45714</v>
      </c>
      <c r="G189" s="1">
        <v>45714</v>
      </c>
      <c r="H189" t="s">
        <v>561</v>
      </c>
      <c r="I189" t="s">
        <v>5</v>
      </c>
      <c r="J189" t="s">
        <v>6</v>
      </c>
      <c r="K189" t="s">
        <v>4</v>
      </c>
      <c r="L189" t="s">
        <v>562</v>
      </c>
      <c r="M189" t="s">
        <v>562</v>
      </c>
      <c r="N189" s="2">
        <v>2786619</v>
      </c>
      <c r="O189" t="s">
        <v>563</v>
      </c>
      <c r="P189" t="s">
        <v>9</v>
      </c>
      <c r="Q189" t="s">
        <v>75</v>
      </c>
      <c r="R189" t="e">
        <f>VLOOKUP(Q189,#REF!,2,FALSE)</f>
        <v>#REF!</v>
      </c>
      <c r="S189">
        <v>1004</v>
      </c>
      <c r="T189" t="s">
        <v>2225</v>
      </c>
      <c r="U189" t="s">
        <v>564</v>
      </c>
      <c r="V189" s="1">
        <v>45595</v>
      </c>
      <c r="W189" s="1">
        <v>45595</v>
      </c>
      <c r="X189" t="s">
        <v>77</v>
      </c>
      <c r="Y189" t="s">
        <v>78</v>
      </c>
      <c r="Z189" t="s">
        <v>6</v>
      </c>
      <c r="AA189" t="s">
        <v>78</v>
      </c>
      <c r="AB189" s="4">
        <f>L189/0.1</f>
        <v>27866190</v>
      </c>
      <c r="AC189" s="5" t="s">
        <v>2215</v>
      </c>
      <c r="AD189" s="4">
        <f>AB189/12</f>
        <v>2322182.5</v>
      </c>
      <c r="AE189" s="4">
        <f t="shared" si="7"/>
        <v>-464436.5</v>
      </c>
    </row>
    <row r="190" spans="1:31" x14ac:dyDescent="0.25">
      <c r="A190" t="s">
        <v>0</v>
      </c>
      <c r="B190" s="3" t="s">
        <v>2219</v>
      </c>
      <c r="C190" t="s">
        <v>560</v>
      </c>
      <c r="D190" t="s">
        <v>69</v>
      </c>
      <c r="E190" t="s">
        <v>143</v>
      </c>
      <c r="F190" s="1">
        <v>45747</v>
      </c>
      <c r="G190" s="1">
        <v>45749</v>
      </c>
      <c r="H190" t="s">
        <v>80</v>
      </c>
      <c r="I190" t="s">
        <v>5</v>
      </c>
      <c r="J190" t="s">
        <v>6</v>
      </c>
      <c r="K190" t="s">
        <v>4</v>
      </c>
      <c r="L190" t="s">
        <v>565</v>
      </c>
      <c r="M190" t="s">
        <v>565</v>
      </c>
      <c r="N190" s="2">
        <v>56829</v>
      </c>
      <c r="O190" t="s">
        <v>563</v>
      </c>
      <c r="P190" t="s">
        <v>9</v>
      </c>
      <c r="Q190" t="s">
        <v>82</v>
      </c>
      <c r="R190" t="e">
        <f>VLOOKUP(Q190,#REF!,2,FALSE)</f>
        <v>#REF!</v>
      </c>
      <c r="S190">
        <v>1004</v>
      </c>
      <c r="T190" t="s">
        <v>2225</v>
      </c>
      <c r="U190" t="s">
        <v>564</v>
      </c>
      <c r="V190" s="1">
        <v>45595</v>
      </c>
      <c r="W190" s="1">
        <v>45595</v>
      </c>
      <c r="X190" t="s">
        <v>77</v>
      </c>
      <c r="Y190" t="s">
        <v>78</v>
      </c>
      <c r="Z190" t="s">
        <v>6</v>
      </c>
      <c r="AA190" t="s">
        <v>78</v>
      </c>
      <c r="AB190" s="4">
        <f>L190/0.08</f>
        <v>710362.5</v>
      </c>
      <c r="AC190" s="6">
        <v>0.1</v>
      </c>
      <c r="AD190" s="4">
        <f>AB190*AC190</f>
        <v>71036.25</v>
      </c>
      <c r="AE190" s="4">
        <f t="shared" si="7"/>
        <v>14207.25</v>
      </c>
    </row>
    <row r="191" spans="1:31" x14ac:dyDescent="0.25">
      <c r="A191" t="s">
        <v>0</v>
      </c>
      <c r="B191" s="3" t="s">
        <v>2219</v>
      </c>
      <c r="C191" t="s">
        <v>560</v>
      </c>
      <c r="D191" t="s">
        <v>69</v>
      </c>
      <c r="E191" t="s">
        <v>147</v>
      </c>
      <c r="F191" s="1">
        <v>45747</v>
      </c>
      <c r="G191" s="1">
        <v>45749</v>
      </c>
      <c r="H191" t="s">
        <v>128</v>
      </c>
      <c r="I191" t="s">
        <v>5</v>
      </c>
      <c r="J191" t="s">
        <v>6</v>
      </c>
      <c r="K191" t="s">
        <v>4</v>
      </c>
      <c r="L191" t="s">
        <v>566</v>
      </c>
      <c r="M191" t="s">
        <v>566</v>
      </c>
      <c r="N191" s="2">
        <v>113742</v>
      </c>
      <c r="O191" t="s">
        <v>563</v>
      </c>
      <c r="P191" t="s">
        <v>9</v>
      </c>
      <c r="Q191" t="s">
        <v>86</v>
      </c>
      <c r="R191" t="e">
        <f>VLOOKUP(Q191,#REF!,2,FALSE)</f>
        <v>#REF!</v>
      </c>
      <c r="S191">
        <v>1004</v>
      </c>
      <c r="T191" t="s">
        <v>2225</v>
      </c>
      <c r="U191" t="s">
        <v>564</v>
      </c>
      <c r="V191" s="1">
        <v>45595</v>
      </c>
      <c r="W191" s="1">
        <v>45595</v>
      </c>
      <c r="X191" t="s">
        <v>77</v>
      </c>
      <c r="Y191" t="s">
        <v>78</v>
      </c>
      <c r="Z191" t="s">
        <v>6</v>
      </c>
      <c r="AA191" t="s">
        <v>78</v>
      </c>
      <c r="AB191" s="4">
        <f>L191/0.03</f>
        <v>3791400</v>
      </c>
      <c r="AC191" s="6">
        <v>0.04</v>
      </c>
      <c r="AD191" s="4">
        <f>AB191*AC191</f>
        <v>151656</v>
      </c>
      <c r="AE191" s="4">
        <f t="shared" si="7"/>
        <v>37914</v>
      </c>
    </row>
    <row r="192" spans="1:31" x14ac:dyDescent="0.25">
      <c r="A192" t="s">
        <v>0</v>
      </c>
      <c r="B192" s="3" t="s">
        <v>2219</v>
      </c>
      <c r="C192" t="s">
        <v>567</v>
      </c>
      <c r="D192" t="s">
        <v>69</v>
      </c>
      <c r="E192" t="s">
        <v>200</v>
      </c>
      <c r="F192" s="1">
        <v>45714</v>
      </c>
      <c r="G192" s="1">
        <v>45714</v>
      </c>
      <c r="H192" t="s">
        <v>230</v>
      </c>
      <c r="I192" t="s">
        <v>5</v>
      </c>
      <c r="J192" t="s">
        <v>6</v>
      </c>
      <c r="K192" t="s">
        <v>4</v>
      </c>
      <c r="L192" t="s">
        <v>568</v>
      </c>
      <c r="M192" t="s">
        <v>568</v>
      </c>
      <c r="N192" s="2">
        <v>252279</v>
      </c>
      <c r="O192" t="s">
        <v>569</v>
      </c>
      <c r="P192" t="s">
        <v>9</v>
      </c>
      <c r="Q192" t="s">
        <v>75</v>
      </c>
      <c r="R192" t="e">
        <f>VLOOKUP(Q192,#REF!,2,FALSE)</f>
        <v>#REF!</v>
      </c>
      <c r="S192">
        <v>1004</v>
      </c>
      <c r="T192" t="s">
        <v>2225</v>
      </c>
      <c r="U192" t="s">
        <v>570</v>
      </c>
      <c r="V192" s="1">
        <v>45595</v>
      </c>
      <c r="W192" s="1">
        <v>45595</v>
      </c>
      <c r="X192" t="s">
        <v>77</v>
      </c>
      <c r="Y192" t="s">
        <v>78</v>
      </c>
      <c r="Z192" t="s">
        <v>6</v>
      </c>
      <c r="AA192" t="s">
        <v>78</v>
      </c>
      <c r="AB192" s="4">
        <f>L192/0.1</f>
        <v>2522790</v>
      </c>
      <c r="AC192" s="5" t="s">
        <v>2215</v>
      </c>
      <c r="AD192" s="4">
        <f>AB192/12</f>
        <v>210232.5</v>
      </c>
      <c r="AE192" s="4">
        <f t="shared" si="7"/>
        <v>-42046.5</v>
      </c>
    </row>
    <row r="193" spans="1:31" x14ac:dyDescent="0.25">
      <c r="A193" t="s">
        <v>0</v>
      </c>
      <c r="B193" s="3" t="s">
        <v>2219</v>
      </c>
      <c r="C193" t="s">
        <v>567</v>
      </c>
      <c r="D193" t="s">
        <v>69</v>
      </c>
      <c r="E193" t="s">
        <v>71</v>
      </c>
      <c r="F193" s="1">
        <v>45747</v>
      </c>
      <c r="G193" s="1">
        <v>45749</v>
      </c>
      <c r="H193" t="s">
        <v>128</v>
      </c>
      <c r="I193" t="s">
        <v>5</v>
      </c>
      <c r="J193" t="s">
        <v>6</v>
      </c>
      <c r="K193" t="s">
        <v>4</v>
      </c>
      <c r="L193" t="s">
        <v>571</v>
      </c>
      <c r="M193" t="s">
        <v>571</v>
      </c>
      <c r="N193" s="2">
        <v>10093</v>
      </c>
      <c r="O193" t="s">
        <v>569</v>
      </c>
      <c r="P193" t="s">
        <v>9</v>
      </c>
      <c r="Q193" t="s">
        <v>86</v>
      </c>
      <c r="R193" t="e">
        <f>VLOOKUP(Q193,#REF!,2,FALSE)</f>
        <v>#REF!</v>
      </c>
      <c r="S193">
        <v>1004</v>
      </c>
      <c r="T193" t="s">
        <v>2225</v>
      </c>
      <c r="U193" t="s">
        <v>570</v>
      </c>
      <c r="V193" s="1">
        <v>45595</v>
      </c>
      <c r="W193" s="1">
        <v>45595</v>
      </c>
      <c r="X193" t="s">
        <v>77</v>
      </c>
      <c r="Y193" t="s">
        <v>78</v>
      </c>
      <c r="Z193" t="s">
        <v>6</v>
      </c>
      <c r="AA193" t="s">
        <v>78</v>
      </c>
      <c r="AB193" s="4">
        <f>L193/0.03</f>
        <v>336433.33333333337</v>
      </c>
      <c r="AC193" s="6">
        <v>0.04</v>
      </c>
      <c r="AD193" s="4">
        <f>AB193*AC193</f>
        <v>13457.333333333336</v>
      </c>
      <c r="AE193" s="4">
        <f t="shared" si="7"/>
        <v>3364.3333333333358</v>
      </c>
    </row>
    <row r="194" spans="1:31" x14ac:dyDescent="0.25">
      <c r="A194" t="s">
        <v>0</v>
      </c>
      <c r="B194" s="3" t="s">
        <v>2219</v>
      </c>
      <c r="C194" t="s">
        <v>572</v>
      </c>
      <c r="D194" t="s">
        <v>69</v>
      </c>
      <c r="E194" t="s">
        <v>295</v>
      </c>
      <c r="F194" s="1">
        <v>45713</v>
      </c>
      <c r="G194" s="1">
        <v>45713</v>
      </c>
      <c r="H194" t="s">
        <v>573</v>
      </c>
      <c r="I194" t="s">
        <v>5</v>
      </c>
      <c r="J194" t="s">
        <v>6</v>
      </c>
      <c r="K194" t="s">
        <v>4</v>
      </c>
      <c r="L194" t="s">
        <v>574</v>
      </c>
      <c r="M194" t="s">
        <v>574</v>
      </c>
      <c r="N194" s="2">
        <v>20666433</v>
      </c>
      <c r="O194" t="s">
        <v>575</v>
      </c>
      <c r="P194" t="s">
        <v>9</v>
      </c>
      <c r="Q194" t="s">
        <v>75</v>
      </c>
      <c r="R194" t="e">
        <f>VLOOKUP(Q194,#REF!,2,FALSE)</f>
        <v>#REF!</v>
      </c>
      <c r="S194">
        <v>1004</v>
      </c>
      <c r="T194" t="s">
        <v>2225</v>
      </c>
      <c r="U194" t="s">
        <v>576</v>
      </c>
      <c r="V194" s="1">
        <v>45595</v>
      </c>
      <c r="W194" s="1">
        <v>45595</v>
      </c>
      <c r="X194" t="s">
        <v>77</v>
      </c>
      <c r="Y194" t="s">
        <v>396</v>
      </c>
      <c r="Z194" t="s">
        <v>6</v>
      </c>
      <c r="AA194" t="s">
        <v>396</v>
      </c>
      <c r="AB194" s="4">
        <f>L194/0.1</f>
        <v>206664330</v>
      </c>
      <c r="AC194" s="5" t="s">
        <v>2215</v>
      </c>
      <c r="AD194" s="4">
        <f>AB194/12</f>
        <v>17222027.5</v>
      </c>
      <c r="AE194" s="4">
        <f t="shared" ref="AE194:AE257" si="8">AD194-L194</f>
        <v>-3444405.5</v>
      </c>
    </row>
    <row r="195" spans="1:31" x14ac:dyDescent="0.25">
      <c r="A195" t="s">
        <v>0</v>
      </c>
      <c r="B195" s="3" t="s">
        <v>2219</v>
      </c>
      <c r="C195" t="s">
        <v>572</v>
      </c>
      <c r="D195" t="s">
        <v>69</v>
      </c>
      <c r="E195" t="s">
        <v>119</v>
      </c>
      <c r="F195" s="1">
        <v>45747</v>
      </c>
      <c r="G195" s="1">
        <v>45749</v>
      </c>
      <c r="H195" t="s">
        <v>80</v>
      </c>
      <c r="I195" t="s">
        <v>5</v>
      </c>
      <c r="J195" t="s">
        <v>6</v>
      </c>
      <c r="K195" t="s">
        <v>4</v>
      </c>
      <c r="L195" t="s">
        <v>577</v>
      </c>
      <c r="M195" t="s">
        <v>577</v>
      </c>
      <c r="N195" s="2">
        <v>1136528</v>
      </c>
      <c r="O195" t="s">
        <v>575</v>
      </c>
      <c r="P195" t="s">
        <v>9</v>
      </c>
      <c r="Q195" t="s">
        <v>82</v>
      </c>
      <c r="R195" t="e">
        <f>VLOOKUP(Q195,#REF!,2,FALSE)</f>
        <v>#REF!</v>
      </c>
      <c r="S195">
        <v>1004</v>
      </c>
      <c r="T195" t="s">
        <v>2225</v>
      </c>
      <c r="U195" t="s">
        <v>576</v>
      </c>
      <c r="V195" s="1">
        <v>45595</v>
      </c>
      <c r="W195" s="1">
        <v>45595</v>
      </c>
      <c r="X195" t="s">
        <v>77</v>
      </c>
      <c r="Y195" t="s">
        <v>396</v>
      </c>
      <c r="Z195" t="s">
        <v>6</v>
      </c>
      <c r="AA195" t="s">
        <v>396</v>
      </c>
      <c r="AB195" s="4">
        <f>L195/0.08</f>
        <v>14206600</v>
      </c>
      <c r="AC195" s="6">
        <v>0.1</v>
      </c>
      <c r="AD195" s="4">
        <f>AB195*AC195</f>
        <v>1420660</v>
      </c>
      <c r="AE195" s="4">
        <f t="shared" si="8"/>
        <v>284132</v>
      </c>
    </row>
    <row r="196" spans="1:31" x14ac:dyDescent="0.25">
      <c r="A196" t="s">
        <v>0</v>
      </c>
      <c r="B196" s="3" t="s">
        <v>2219</v>
      </c>
      <c r="C196" t="s">
        <v>572</v>
      </c>
      <c r="D196" t="s">
        <v>69</v>
      </c>
      <c r="E196" t="s">
        <v>125</v>
      </c>
      <c r="F196" s="1">
        <v>45747</v>
      </c>
      <c r="G196" s="1">
        <v>45749</v>
      </c>
      <c r="H196" t="s">
        <v>128</v>
      </c>
      <c r="I196" t="s">
        <v>5</v>
      </c>
      <c r="J196" t="s">
        <v>6</v>
      </c>
      <c r="K196" t="s">
        <v>4</v>
      </c>
      <c r="L196" t="s">
        <v>578</v>
      </c>
      <c r="M196" t="s">
        <v>578</v>
      </c>
      <c r="N196" s="2">
        <v>872130</v>
      </c>
      <c r="O196" t="s">
        <v>575</v>
      </c>
      <c r="P196" t="s">
        <v>9</v>
      </c>
      <c r="Q196" t="s">
        <v>86</v>
      </c>
      <c r="R196" t="e">
        <f>VLOOKUP(Q196,#REF!,2,FALSE)</f>
        <v>#REF!</v>
      </c>
      <c r="S196">
        <v>1004</v>
      </c>
      <c r="T196" t="s">
        <v>2225</v>
      </c>
      <c r="U196" t="s">
        <v>576</v>
      </c>
      <c r="V196" s="1">
        <v>45595</v>
      </c>
      <c r="W196" s="1">
        <v>45595</v>
      </c>
      <c r="X196" t="s">
        <v>77</v>
      </c>
      <c r="Y196" t="s">
        <v>396</v>
      </c>
      <c r="Z196" t="s">
        <v>6</v>
      </c>
      <c r="AA196" t="s">
        <v>396</v>
      </c>
      <c r="AB196" s="4">
        <f>L196/0.03</f>
        <v>29071000</v>
      </c>
      <c r="AC196" s="6">
        <v>0.04</v>
      </c>
      <c r="AD196" s="4">
        <f>AB196*AC196</f>
        <v>1162840</v>
      </c>
      <c r="AE196" s="4">
        <f t="shared" si="8"/>
        <v>290710</v>
      </c>
    </row>
    <row r="197" spans="1:31" x14ac:dyDescent="0.25">
      <c r="A197" t="s">
        <v>0</v>
      </c>
      <c r="B197" s="3" t="s">
        <v>2219</v>
      </c>
      <c r="C197" t="s">
        <v>579</v>
      </c>
      <c r="D197" t="s">
        <v>69</v>
      </c>
      <c r="E197" t="s">
        <v>43</v>
      </c>
      <c r="F197" s="1">
        <v>45603</v>
      </c>
      <c r="G197" s="1">
        <v>45609</v>
      </c>
      <c r="H197" t="s">
        <v>580</v>
      </c>
      <c r="I197" t="s">
        <v>5</v>
      </c>
      <c r="J197" t="s">
        <v>6</v>
      </c>
      <c r="K197" t="s">
        <v>4</v>
      </c>
      <c r="L197" t="s">
        <v>581</v>
      </c>
      <c r="M197" t="s">
        <v>581</v>
      </c>
      <c r="N197" s="2">
        <v>333577</v>
      </c>
      <c r="O197" t="s">
        <v>582</v>
      </c>
      <c r="P197" t="s">
        <v>9</v>
      </c>
      <c r="Q197" t="s">
        <v>75</v>
      </c>
      <c r="R197" t="e">
        <f>VLOOKUP(Q197,#REF!,2,FALSE)</f>
        <v>#REF!</v>
      </c>
      <c r="S197">
        <v>1511</v>
      </c>
      <c r="T197" t="s">
        <v>2224</v>
      </c>
      <c r="U197" t="s">
        <v>583</v>
      </c>
      <c r="V197" s="1">
        <v>45596</v>
      </c>
      <c r="W197" s="1">
        <v>45596</v>
      </c>
      <c r="X197" t="s">
        <v>77</v>
      </c>
      <c r="Y197" t="s">
        <v>78</v>
      </c>
      <c r="Z197" t="s">
        <v>6</v>
      </c>
      <c r="AA197" t="s">
        <v>78</v>
      </c>
      <c r="AB197" s="4">
        <f>L197/0.1</f>
        <v>3335770</v>
      </c>
      <c r="AC197" s="5" t="s">
        <v>2215</v>
      </c>
      <c r="AD197" s="4">
        <f>AB197/12</f>
        <v>277980.83333333331</v>
      </c>
      <c r="AE197" s="4">
        <f t="shared" si="8"/>
        <v>-55596.166666666686</v>
      </c>
    </row>
    <row r="198" spans="1:31" x14ac:dyDescent="0.25">
      <c r="A198" t="s">
        <v>0</v>
      </c>
      <c r="B198" s="3" t="s">
        <v>2219</v>
      </c>
      <c r="C198" t="s">
        <v>579</v>
      </c>
      <c r="D198" t="s">
        <v>69</v>
      </c>
      <c r="E198" t="s">
        <v>104</v>
      </c>
      <c r="F198" s="1">
        <v>45603</v>
      </c>
      <c r="G198" s="1">
        <v>45609</v>
      </c>
      <c r="H198" t="s">
        <v>580</v>
      </c>
      <c r="I198" t="s">
        <v>5</v>
      </c>
      <c r="J198" t="s">
        <v>6</v>
      </c>
      <c r="K198" t="s">
        <v>4</v>
      </c>
      <c r="L198" t="s">
        <v>584</v>
      </c>
      <c r="M198" t="s">
        <v>584</v>
      </c>
      <c r="N198" s="2">
        <v>13346</v>
      </c>
      <c r="O198" t="s">
        <v>582</v>
      </c>
      <c r="P198" t="s">
        <v>9</v>
      </c>
      <c r="Q198" t="s">
        <v>86</v>
      </c>
      <c r="R198" t="e">
        <f>VLOOKUP(Q198,#REF!,2,FALSE)</f>
        <v>#REF!</v>
      </c>
      <c r="S198">
        <v>1511</v>
      </c>
      <c r="T198" t="s">
        <v>2224</v>
      </c>
      <c r="U198" t="s">
        <v>583</v>
      </c>
      <c r="V198" s="1">
        <v>45596</v>
      </c>
      <c r="W198" s="1">
        <v>45596</v>
      </c>
      <c r="X198" t="s">
        <v>77</v>
      </c>
      <c r="Y198" t="s">
        <v>78</v>
      </c>
      <c r="Z198" t="s">
        <v>6</v>
      </c>
      <c r="AA198" t="s">
        <v>78</v>
      </c>
      <c r="AB198" s="4">
        <f>L198/0.03</f>
        <v>444866.66666666669</v>
      </c>
      <c r="AC198" s="6">
        <v>0.04</v>
      </c>
      <c r="AD198" s="4">
        <f>AB198*AC198</f>
        <v>17794.666666666668</v>
      </c>
      <c r="AE198" s="4">
        <f t="shared" si="8"/>
        <v>4448.6666666666679</v>
      </c>
    </row>
    <row r="199" spans="1:31" x14ac:dyDescent="0.25">
      <c r="A199" t="s">
        <v>0</v>
      </c>
      <c r="B199" s="3" t="s">
        <v>2219</v>
      </c>
      <c r="C199" t="s">
        <v>585</v>
      </c>
      <c r="D199" t="s">
        <v>69</v>
      </c>
      <c r="E199" t="s">
        <v>67</v>
      </c>
      <c r="F199" s="1">
        <v>45603</v>
      </c>
      <c r="G199" s="1">
        <v>45611</v>
      </c>
      <c r="H199" t="s">
        <v>586</v>
      </c>
      <c r="I199" t="s">
        <v>5</v>
      </c>
      <c r="J199" t="s">
        <v>6</v>
      </c>
      <c r="K199" t="s">
        <v>4</v>
      </c>
      <c r="L199" t="s">
        <v>587</v>
      </c>
      <c r="M199" t="s">
        <v>587</v>
      </c>
      <c r="N199" s="2">
        <v>1824526</v>
      </c>
      <c r="O199" t="s">
        <v>588</v>
      </c>
      <c r="P199" t="s">
        <v>9</v>
      </c>
      <c r="Q199" t="s">
        <v>75</v>
      </c>
      <c r="R199" t="e">
        <f>VLOOKUP(Q199,#REF!,2,FALSE)</f>
        <v>#REF!</v>
      </c>
      <c r="S199">
        <v>1511</v>
      </c>
      <c r="T199" t="s">
        <v>2224</v>
      </c>
      <c r="U199" t="s">
        <v>589</v>
      </c>
      <c r="V199" s="1">
        <v>45596</v>
      </c>
      <c r="W199" s="1">
        <v>45596</v>
      </c>
      <c r="X199" t="s">
        <v>77</v>
      </c>
      <c r="Y199" t="s">
        <v>78</v>
      </c>
      <c r="Z199" t="s">
        <v>6</v>
      </c>
      <c r="AA199" t="s">
        <v>78</v>
      </c>
      <c r="AB199" s="4">
        <f>L199/0.1</f>
        <v>18245260</v>
      </c>
      <c r="AC199" s="5" t="s">
        <v>2215</v>
      </c>
      <c r="AD199" s="4">
        <f>AB199/12</f>
        <v>1520438.3333333333</v>
      </c>
      <c r="AE199" s="4">
        <f t="shared" si="8"/>
        <v>-304087.66666666674</v>
      </c>
    </row>
    <row r="200" spans="1:31" x14ac:dyDescent="0.25">
      <c r="A200" t="s">
        <v>0</v>
      </c>
      <c r="B200" s="3" t="s">
        <v>2219</v>
      </c>
      <c r="C200" t="s">
        <v>585</v>
      </c>
      <c r="D200" t="s">
        <v>69</v>
      </c>
      <c r="E200" t="s">
        <v>227</v>
      </c>
      <c r="F200" s="1">
        <v>45603</v>
      </c>
      <c r="G200" s="1">
        <v>45611</v>
      </c>
      <c r="H200" t="s">
        <v>586</v>
      </c>
      <c r="I200" t="s">
        <v>5</v>
      </c>
      <c r="J200" t="s">
        <v>6</v>
      </c>
      <c r="K200" t="s">
        <v>4</v>
      </c>
      <c r="L200" t="s">
        <v>590</v>
      </c>
      <c r="M200" t="s">
        <v>590</v>
      </c>
      <c r="N200" s="2">
        <v>13887</v>
      </c>
      <c r="O200" t="s">
        <v>588</v>
      </c>
      <c r="P200" t="s">
        <v>9</v>
      </c>
      <c r="Q200" t="s">
        <v>82</v>
      </c>
      <c r="R200" t="e">
        <f>VLOOKUP(Q200,#REF!,2,FALSE)</f>
        <v>#REF!</v>
      </c>
      <c r="S200">
        <v>1511</v>
      </c>
      <c r="T200" t="s">
        <v>2224</v>
      </c>
      <c r="U200" t="s">
        <v>589</v>
      </c>
      <c r="V200" s="1">
        <v>45596</v>
      </c>
      <c r="W200" s="1">
        <v>45596</v>
      </c>
      <c r="X200" t="s">
        <v>77</v>
      </c>
      <c r="Y200" t="s">
        <v>78</v>
      </c>
      <c r="Z200" t="s">
        <v>6</v>
      </c>
      <c r="AA200" t="s">
        <v>78</v>
      </c>
      <c r="AB200" s="4">
        <f>L200/0.08</f>
        <v>173587.5</v>
      </c>
      <c r="AC200" s="6">
        <v>0.1</v>
      </c>
      <c r="AD200" s="4">
        <f>AB200*AC200</f>
        <v>17358.75</v>
      </c>
      <c r="AE200" s="4">
        <f t="shared" si="8"/>
        <v>3471.75</v>
      </c>
    </row>
    <row r="201" spans="1:31" x14ac:dyDescent="0.25">
      <c r="A201" t="s">
        <v>0</v>
      </c>
      <c r="B201" s="3" t="s">
        <v>2219</v>
      </c>
      <c r="C201" t="s">
        <v>585</v>
      </c>
      <c r="D201" t="s">
        <v>69</v>
      </c>
      <c r="E201" t="s">
        <v>143</v>
      </c>
      <c r="F201" s="1">
        <v>45603</v>
      </c>
      <c r="G201" s="1">
        <v>45611</v>
      </c>
      <c r="H201" t="s">
        <v>586</v>
      </c>
      <c r="I201" t="s">
        <v>5</v>
      </c>
      <c r="J201" t="s">
        <v>6</v>
      </c>
      <c r="K201" t="s">
        <v>4</v>
      </c>
      <c r="L201" t="s">
        <v>591</v>
      </c>
      <c r="M201" t="s">
        <v>591</v>
      </c>
      <c r="N201" s="2">
        <v>73541</v>
      </c>
      <c r="O201" t="s">
        <v>588</v>
      </c>
      <c r="P201" t="s">
        <v>9</v>
      </c>
      <c r="Q201" t="s">
        <v>86</v>
      </c>
      <c r="R201" t="e">
        <f>VLOOKUP(Q201,#REF!,2,FALSE)</f>
        <v>#REF!</v>
      </c>
      <c r="S201">
        <v>1511</v>
      </c>
      <c r="T201" t="s">
        <v>2224</v>
      </c>
      <c r="U201" t="s">
        <v>589</v>
      </c>
      <c r="V201" s="1">
        <v>45596</v>
      </c>
      <c r="W201" s="1">
        <v>45596</v>
      </c>
      <c r="X201" t="s">
        <v>77</v>
      </c>
      <c r="Y201" t="s">
        <v>78</v>
      </c>
      <c r="Z201" t="s">
        <v>6</v>
      </c>
      <c r="AA201" t="s">
        <v>78</v>
      </c>
      <c r="AB201" s="4">
        <f>L201/0.03</f>
        <v>2451366.666666667</v>
      </c>
      <c r="AC201" s="6">
        <v>0.04</v>
      </c>
      <c r="AD201" s="4">
        <f>AB201*AC201</f>
        <v>98054.666666666686</v>
      </c>
      <c r="AE201" s="4">
        <f t="shared" si="8"/>
        <v>24513.666666666686</v>
      </c>
    </row>
    <row r="202" spans="1:31" x14ac:dyDescent="0.25">
      <c r="A202" t="s">
        <v>0</v>
      </c>
      <c r="B202" s="3" t="s">
        <v>2219</v>
      </c>
      <c r="C202" t="s">
        <v>592</v>
      </c>
      <c r="D202" t="s">
        <v>69</v>
      </c>
      <c r="E202" t="s">
        <v>200</v>
      </c>
      <c r="F202" s="1">
        <v>45714</v>
      </c>
      <c r="G202" s="1">
        <v>45714</v>
      </c>
      <c r="H202" t="s">
        <v>475</v>
      </c>
      <c r="I202" t="s">
        <v>5</v>
      </c>
      <c r="J202" t="s">
        <v>6</v>
      </c>
      <c r="K202" t="s">
        <v>4</v>
      </c>
      <c r="L202" t="s">
        <v>593</v>
      </c>
      <c r="M202" t="s">
        <v>593</v>
      </c>
      <c r="N202" s="2">
        <v>2075226</v>
      </c>
      <c r="O202" t="s">
        <v>594</v>
      </c>
      <c r="P202" t="s">
        <v>9</v>
      </c>
      <c r="Q202" t="s">
        <v>75</v>
      </c>
      <c r="R202" t="e">
        <f>VLOOKUP(Q202,#REF!,2,FALSE)</f>
        <v>#REF!</v>
      </c>
      <c r="S202">
        <v>1511</v>
      </c>
      <c r="T202" t="s">
        <v>2224</v>
      </c>
      <c r="U202" t="s">
        <v>595</v>
      </c>
      <c r="V202" s="1">
        <v>45596</v>
      </c>
      <c r="W202" s="1">
        <v>45596</v>
      </c>
      <c r="X202" t="s">
        <v>77</v>
      </c>
      <c r="Y202" t="s">
        <v>78</v>
      </c>
      <c r="Z202" t="s">
        <v>6</v>
      </c>
      <c r="AA202" t="s">
        <v>78</v>
      </c>
      <c r="AB202" s="4">
        <f>L202/0.1</f>
        <v>20752260</v>
      </c>
      <c r="AC202" s="5" t="s">
        <v>2215</v>
      </c>
      <c r="AD202" s="4">
        <f>AB202/12</f>
        <v>1729355</v>
      </c>
      <c r="AE202" s="4">
        <f t="shared" si="8"/>
        <v>-345871</v>
      </c>
    </row>
    <row r="203" spans="1:31" x14ac:dyDescent="0.25">
      <c r="A203" t="s">
        <v>0</v>
      </c>
      <c r="B203" s="3" t="s">
        <v>2219</v>
      </c>
      <c r="C203" t="s">
        <v>592</v>
      </c>
      <c r="D203" t="s">
        <v>69</v>
      </c>
      <c r="E203" t="s">
        <v>71</v>
      </c>
      <c r="F203" s="1">
        <v>45747</v>
      </c>
      <c r="G203" s="1">
        <v>45749</v>
      </c>
      <c r="H203" t="s">
        <v>80</v>
      </c>
      <c r="I203" t="s">
        <v>5</v>
      </c>
      <c r="J203" t="s">
        <v>6</v>
      </c>
      <c r="K203" t="s">
        <v>4</v>
      </c>
      <c r="L203" t="s">
        <v>596</v>
      </c>
      <c r="M203" t="s">
        <v>596</v>
      </c>
      <c r="N203" s="2">
        <v>10232</v>
      </c>
      <c r="O203" t="s">
        <v>594</v>
      </c>
      <c r="P203" t="s">
        <v>9</v>
      </c>
      <c r="Q203" t="s">
        <v>82</v>
      </c>
      <c r="R203" t="e">
        <f>VLOOKUP(Q203,#REF!,2,FALSE)</f>
        <v>#REF!</v>
      </c>
      <c r="S203">
        <v>1511</v>
      </c>
      <c r="T203" t="s">
        <v>2224</v>
      </c>
      <c r="U203" t="s">
        <v>595</v>
      </c>
      <c r="V203" s="1">
        <v>45596</v>
      </c>
      <c r="W203" s="1">
        <v>45596</v>
      </c>
      <c r="X203" t="s">
        <v>77</v>
      </c>
      <c r="Y203" t="s">
        <v>78</v>
      </c>
      <c r="Z203" t="s">
        <v>6</v>
      </c>
      <c r="AA203" t="s">
        <v>78</v>
      </c>
      <c r="AB203" s="4">
        <f>L203/0.08</f>
        <v>127900</v>
      </c>
      <c r="AC203" s="6">
        <v>0.1</v>
      </c>
      <c r="AD203" s="4">
        <f>AB203*AC203</f>
        <v>12790</v>
      </c>
      <c r="AE203" s="4">
        <f t="shared" si="8"/>
        <v>2558</v>
      </c>
    </row>
    <row r="204" spans="1:31" x14ac:dyDescent="0.25">
      <c r="A204" t="s">
        <v>0</v>
      </c>
      <c r="B204" s="3" t="s">
        <v>2219</v>
      </c>
      <c r="C204" t="s">
        <v>592</v>
      </c>
      <c r="D204" t="s">
        <v>69</v>
      </c>
      <c r="E204" t="s">
        <v>79</v>
      </c>
      <c r="F204" s="1">
        <v>45747</v>
      </c>
      <c r="G204" s="1">
        <v>45749</v>
      </c>
      <c r="H204" t="s">
        <v>128</v>
      </c>
      <c r="I204" t="s">
        <v>5</v>
      </c>
      <c r="J204" t="s">
        <v>6</v>
      </c>
      <c r="K204" t="s">
        <v>4</v>
      </c>
      <c r="L204" t="s">
        <v>597</v>
      </c>
      <c r="M204" t="s">
        <v>597</v>
      </c>
      <c r="N204" s="2">
        <v>83411</v>
      </c>
      <c r="O204" t="s">
        <v>594</v>
      </c>
      <c r="P204" t="s">
        <v>9</v>
      </c>
      <c r="Q204" t="s">
        <v>86</v>
      </c>
      <c r="R204" t="e">
        <f>VLOOKUP(Q204,#REF!,2,FALSE)</f>
        <v>#REF!</v>
      </c>
      <c r="S204">
        <v>1511</v>
      </c>
      <c r="T204" t="s">
        <v>2224</v>
      </c>
      <c r="U204" t="s">
        <v>595</v>
      </c>
      <c r="V204" s="1">
        <v>45596</v>
      </c>
      <c r="W204" s="1">
        <v>45596</v>
      </c>
      <c r="X204" t="s">
        <v>77</v>
      </c>
      <c r="Y204" t="s">
        <v>78</v>
      </c>
      <c r="Z204" t="s">
        <v>6</v>
      </c>
      <c r="AA204" t="s">
        <v>78</v>
      </c>
      <c r="AB204" s="4">
        <f>L204/0.03</f>
        <v>2780366.666666667</v>
      </c>
      <c r="AC204" s="6">
        <v>0.04</v>
      </c>
      <c r="AD204" s="4">
        <f>AB204*AC204</f>
        <v>111214.66666666669</v>
      </c>
      <c r="AE204" s="4">
        <f t="shared" si="8"/>
        <v>27803.666666666686</v>
      </c>
    </row>
    <row r="205" spans="1:31" x14ac:dyDescent="0.25">
      <c r="A205" t="s">
        <v>0</v>
      </c>
      <c r="B205" s="3" t="s">
        <v>2219</v>
      </c>
      <c r="C205" t="s">
        <v>598</v>
      </c>
      <c r="D205" t="s">
        <v>69</v>
      </c>
      <c r="E205" t="s">
        <v>203</v>
      </c>
      <c r="F205" s="1">
        <v>45603</v>
      </c>
      <c r="G205" s="1">
        <v>45609</v>
      </c>
      <c r="H205" t="s">
        <v>599</v>
      </c>
      <c r="I205" t="s">
        <v>5</v>
      </c>
      <c r="J205" t="s">
        <v>6</v>
      </c>
      <c r="K205" t="s">
        <v>4</v>
      </c>
      <c r="L205" t="s">
        <v>600</v>
      </c>
      <c r="M205" t="s">
        <v>600</v>
      </c>
      <c r="N205" s="2">
        <v>16674</v>
      </c>
      <c r="O205" t="s">
        <v>601</v>
      </c>
      <c r="P205" t="s">
        <v>9</v>
      </c>
      <c r="Q205" t="s">
        <v>75</v>
      </c>
      <c r="R205" t="e">
        <f>VLOOKUP(Q205,#REF!,2,FALSE)</f>
        <v>#REF!</v>
      </c>
      <c r="S205">
        <v>1511</v>
      </c>
      <c r="T205" t="s">
        <v>2224</v>
      </c>
      <c r="U205" t="s">
        <v>602</v>
      </c>
      <c r="V205" s="1">
        <v>45596</v>
      </c>
      <c r="W205" s="1">
        <v>45596</v>
      </c>
      <c r="X205" t="s">
        <v>77</v>
      </c>
      <c r="Y205" t="s">
        <v>389</v>
      </c>
      <c r="Z205" t="s">
        <v>6</v>
      </c>
      <c r="AA205" t="s">
        <v>389</v>
      </c>
      <c r="AB205" s="4">
        <f>L205/0.1</f>
        <v>166740</v>
      </c>
      <c r="AC205" s="5" t="s">
        <v>2215</v>
      </c>
      <c r="AD205" s="4">
        <f>AB205/12</f>
        <v>13895</v>
      </c>
      <c r="AE205" s="4">
        <f t="shared" si="8"/>
        <v>-2779</v>
      </c>
    </row>
    <row r="206" spans="1:31" x14ac:dyDescent="0.25">
      <c r="A206" t="s">
        <v>0</v>
      </c>
      <c r="B206" s="3" t="s">
        <v>2219</v>
      </c>
      <c r="C206" t="s">
        <v>598</v>
      </c>
      <c r="D206" t="s">
        <v>69</v>
      </c>
      <c r="E206" t="s">
        <v>208</v>
      </c>
      <c r="F206" s="1">
        <v>45603</v>
      </c>
      <c r="G206" s="1">
        <v>45609</v>
      </c>
      <c r="H206" t="s">
        <v>599</v>
      </c>
      <c r="I206" t="s">
        <v>5</v>
      </c>
      <c r="J206" t="s">
        <v>6</v>
      </c>
      <c r="K206" t="s">
        <v>4</v>
      </c>
      <c r="L206" t="s">
        <v>603</v>
      </c>
      <c r="M206" t="s">
        <v>603</v>
      </c>
      <c r="N206" s="2">
        <v>667</v>
      </c>
      <c r="O206" t="s">
        <v>601</v>
      </c>
      <c r="P206" t="s">
        <v>9</v>
      </c>
      <c r="Q206" t="s">
        <v>86</v>
      </c>
      <c r="R206" t="e">
        <f>VLOOKUP(Q206,#REF!,2,FALSE)</f>
        <v>#REF!</v>
      </c>
      <c r="S206">
        <v>1511</v>
      </c>
      <c r="T206" t="s">
        <v>2224</v>
      </c>
      <c r="U206" t="s">
        <v>602</v>
      </c>
      <c r="V206" s="1">
        <v>45596</v>
      </c>
      <c r="W206" s="1">
        <v>45596</v>
      </c>
      <c r="X206" t="s">
        <v>77</v>
      </c>
      <c r="Y206" t="s">
        <v>389</v>
      </c>
      <c r="Z206" t="s">
        <v>6</v>
      </c>
      <c r="AA206" t="s">
        <v>389</v>
      </c>
      <c r="AB206" s="4">
        <f>L206/0.03</f>
        <v>22233.333333333336</v>
      </c>
      <c r="AC206" s="6">
        <v>0.04</v>
      </c>
      <c r="AD206" s="4">
        <f>AB206*AC206</f>
        <v>889.33333333333348</v>
      </c>
      <c r="AE206" s="4">
        <f t="shared" si="8"/>
        <v>222.33333333333348</v>
      </c>
    </row>
    <row r="207" spans="1:31" x14ac:dyDescent="0.25">
      <c r="A207" t="s">
        <v>0</v>
      </c>
      <c r="B207" s="3" t="s">
        <v>2219</v>
      </c>
      <c r="C207" t="s">
        <v>604</v>
      </c>
      <c r="D207" t="s">
        <v>69</v>
      </c>
      <c r="E207" t="s">
        <v>3</v>
      </c>
      <c r="F207" s="1">
        <v>45714</v>
      </c>
      <c r="G207" s="1">
        <v>45714</v>
      </c>
      <c r="H207" t="s">
        <v>301</v>
      </c>
      <c r="I207" t="s">
        <v>5</v>
      </c>
      <c r="J207" t="s">
        <v>6</v>
      </c>
      <c r="K207" t="s">
        <v>4</v>
      </c>
      <c r="L207" t="s">
        <v>605</v>
      </c>
      <c r="M207" t="s">
        <v>605</v>
      </c>
      <c r="N207" s="2">
        <v>63463</v>
      </c>
      <c r="O207" t="s">
        <v>606</v>
      </c>
      <c r="P207" t="s">
        <v>9</v>
      </c>
      <c r="Q207" t="s">
        <v>75</v>
      </c>
      <c r="R207" t="e">
        <f>VLOOKUP(Q207,#REF!,2,FALSE)</f>
        <v>#REF!</v>
      </c>
      <c r="S207">
        <v>1004</v>
      </c>
      <c r="T207" t="s">
        <v>2225</v>
      </c>
      <c r="U207" t="s">
        <v>607</v>
      </c>
      <c r="V207" s="1">
        <v>45588</v>
      </c>
      <c r="W207" s="1">
        <v>45588</v>
      </c>
      <c r="X207" t="s">
        <v>77</v>
      </c>
      <c r="Y207" t="s">
        <v>101</v>
      </c>
      <c r="Z207" t="s">
        <v>6</v>
      </c>
      <c r="AA207" t="s">
        <v>101</v>
      </c>
      <c r="AB207" s="4">
        <f>L207/0.1</f>
        <v>634630</v>
      </c>
      <c r="AC207" s="5" t="s">
        <v>2215</v>
      </c>
      <c r="AD207" s="4">
        <f>AB207/12</f>
        <v>52885.833333333336</v>
      </c>
      <c r="AE207" s="4">
        <f t="shared" si="8"/>
        <v>-10577.166666666664</v>
      </c>
    </row>
    <row r="208" spans="1:31" x14ac:dyDescent="0.25">
      <c r="A208" t="s">
        <v>0</v>
      </c>
      <c r="B208" s="3" t="s">
        <v>2219</v>
      </c>
      <c r="C208" t="s">
        <v>604</v>
      </c>
      <c r="D208" t="s">
        <v>69</v>
      </c>
      <c r="E208" t="s">
        <v>22</v>
      </c>
      <c r="F208" s="1">
        <v>45747</v>
      </c>
      <c r="G208" s="1">
        <v>45749</v>
      </c>
      <c r="H208" t="s">
        <v>128</v>
      </c>
      <c r="I208" t="s">
        <v>5</v>
      </c>
      <c r="J208" t="s">
        <v>6</v>
      </c>
      <c r="K208" t="s">
        <v>4</v>
      </c>
      <c r="L208" t="s">
        <v>608</v>
      </c>
      <c r="M208" t="s">
        <v>608</v>
      </c>
      <c r="N208" s="2">
        <v>2539</v>
      </c>
      <c r="O208" t="s">
        <v>606</v>
      </c>
      <c r="P208" t="s">
        <v>9</v>
      </c>
      <c r="Q208" t="s">
        <v>86</v>
      </c>
      <c r="R208" t="e">
        <f>VLOOKUP(Q208,#REF!,2,FALSE)</f>
        <v>#REF!</v>
      </c>
      <c r="S208">
        <v>1004</v>
      </c>
      <c r="T208" t="s">
        <v>2225</v>
      </c>
      <c r="U208" t="s">
        <v>607</v>
      </c>
      <c r="V208" s="1">
        <v>45588</v>
      </c>
      <c r="W208" s="1">
        <v>45588</v>
      </c>
      <c r="X208" t="s">
        <v>77</v>
      </c>
      <c r="Y208" t="s">
        <v>101</v>
      </c>
      <c r="Z208" t="s">
        <v>6</v>
      </c>
      <c r="AA208" t="s">
        <v>101</v>
      </c>
      <c r="AB208" s="4">
        <f>L208/0.03</f>
        <v>84633.333333333343</v>
      </c>
      <c r="AC208" s="6">
        <v>0.04</v>
      </c>
      <c r="AD208" s="4">
        <f>AB208*AC208</f>
        <v>3385.3333333333339</v>
      </c>
      <c r="AE208" s="4">
        <f t="shared" si="8"/>
        <v>846.33333333333394</v>
      </c>
    </row>
    <row r="209" spans="1:31" x14ac:dyDescent="0.25">
      <c r="A209" t="s">
        <v>0</v>
      </c>
      <c r="B209" s="3" t="s">
        <v>2219</v>
      </c>
      <c r="C209" t="s">
        <v>609</v>
      </c>
      <c r="D209" t="s">
        <v>69</v>
      </c>
      <c r="E209" t="s">
        <v>3</v>
      </c>
      <c r="F209" s="1">
        <v>45714</v>
      </c>
      <c r="G209" s="1">
        <v>45714</v>
      </c>
      <c r="H209" t="s">
        <v>301</v>
      </c>
      <c r="I209" t="s">
        <v>5</v>
      </c>
      <c r="J209" t="s">
        <v>6</v>
      </c>
      <c r="K209" t="s">
        <v>4</v>
      </c>
      <c r="L209" t="s">
        <v>610</v>
      </c>
      <c r="M209" t="s">
        <v>610</v>
      </c>
      <c r="N209" s="2">
        <v>111728</v>
      </c>
      <c r="O209" t="s">
        <v>611</v>
      </c>
      <c r="P209" t="s">
        <v>9</v>
      </c>
      <c r="Q209" t="s">
        <v>75</v>
      </c>
      <c r="R209" t="e">
        <f>VLOOKUP(Q209,#REF!,2,FALSE)</f>
        <v>#REF!</v>
      </c>
      <c r="S209">
        <v>1004</v>
      </c>
      <c r="T209" t="s">
        <v>2225</v>
      </c>
      <c r="U209" t="s">
        <v>612</v>
      </c>
      <c r="V209" s="1">
        <v>45619</v>
      </c>
      <c r="W209" s="1">
        <v>45619</v>
      </c>
      <c r="X209" t="s">
        <v>77</v>
      </c>
      <c r="Y209" t="s">
        <v>270</v>
      </c>
      <c r="Z209" t="s">
        <v>6</v>
      </c>
      <c r="AA209" t="s">
        <v>270</v>
      </c>
      <c r="AB209" s="4">
        <f>L209/0.1</f>
        <v>1117280</v>
      </c>
      <c r="AC209" s="5" t="s">
        <v>2215</v>
      </c>
      <c r="AD209" s="4">
        <f>AB209/12</f>
        <v>93106.666666666672</v>
      </c>
      <c r="AE209" s="4">
        <f t="shared" si="8"/>
        <v>-18621.333333333328</v>
      </c>
    </row>
    <row r="210" spans="1:31" x14ac:dyDescent="0.25">
      <c r="A210" t="s">
        <v>0</v>
      </c>
      <c r="B210" s="3" t="s">
        <v>2219</v>
      </c>
      <c r="C210" t="s">
        <v>609</v>
      </c>
      <c r="D210" t="s">
        <v>69</v>
      </c>
      <c r="E210" t="s">
        <v>22</v>
      </c>
      <c r="F210" s="1">
        <v>45747</v>
      </c>
      <c r="G210" s="1">
        <v>45749</v>
      </c>
      <c r="H210" t="s">
        <v>128</v>
      </c>
      <c r="I210" t="s">
        <v>5</v>
      </c>
      <c r="J210" t="s">
        <v>6</v>
      </c>
      <c r="K210" t="s">
        <v>4</v>
      </c>
      <c r="L210" t="s">
        <v>613</v>
      </c>
      <c r="M210" t="s">
        <v>613</v>
      </c>
      <c r="N210" s="2">
        <v>4469</v>
      </c>
      <c r="O210" t="s">
        <v>611</v>
      </c>
      <c r="P210" t="s">
        <v>9</v>
      </c>
      <c r="Q210" t="s">
        <v>86</v>
      </c>
      <c r="R210" t="e">
        <f>VLOOKUP(Q210,#REF!,2,FALSE)</f>
        <v>#REF!</v>
      </c>
      <c r="S210">
        <v>1004</v>
      </c>
      <c r="T210" t="s">
        <v>2225</v>
      </c>
      <c r="U210" t="s">
        <v>612</v>
      </c>
      <c r="V210" s="1">
        <v>45619</v>
      </c>
      <c r="W210" s="1">
        <v>45619</v>
      </c>
      <c r="X210" t="s">
        <v>77</v>
      </c>
      <c r="Y210" t="s">
        <v>270</v>
      </c>
      <c r="Z210" t="s">
        <v>6</v>
      </c>
      <c r="AA210" t="s">
        <v>270</v>
      </c>
      <c r="AB210" s="4">
        <f>L210/0.03</f>
        <v>148966.66666666669</v>
      </c>
      <c r="AC210" s="6">
        <v>0.04</v>
      </c>
      <c r="AD210" s="4">
        <f>AB210*AC210</f>
        <v>5958.6666666666679</v>
      </c>
      <c r="AE210" s="4">
        <f t="shared" si="8"/>
        <v>1489.6666666666679</v>
      </c>
    </row>
    <row r="211" spans="1:31" x14ac:dyDescent="0.25">
      <c r="A211" t="s">
        <v>0</v>
      </c>
      <c r="B211" s="3" t="s">
        <v>2219</v>
      </c>
      <c r="C211" t="s">
        <v>614</v>
      </c>
      <c r="D211" t="s">
        <v>69</v>
      </c>
      <c r="E211" t="s">
        <v>109</v>
      </c>
      <c r="F211" s="1">
        <v>45714</v>
      </c>
      <c r="G211" s="1">
        <v>45714</v>
      </c>
      <c r="H211" t="s">
        <v>502</v>
      </c>
      <c r="I211" t="s">
        <v>5</v>
      </c>
      <c r="J211" t="s">
        <v>6</v>
      </c>
      <c r="K211" t="s">
        <v>4</v>
      </c>
      <c r="L211" t="s">
        <v>615</v>
      </c>
      <c r="M211" t="s">
        <v>615</v>
      </c>
      <c r="N211" s="2">
        <v>338145</v>
      </c>
      <c r="O211" t="s">
        <v>616</v>
      </c>
      <c r="P211" t="s">
        <v>9</v>
      </c>
      <c r="Q211" t="s">
        <v>75</v>
      </c>
      <c r="R211" t="e">
        <f>VLOOKUP(Q211,#REF!,2,FALSE)</f>
        <v>#REF!</v>
      </c>
      <c r="S211">
        <v>1001</v>
      </c>
      <c r="T211" t="s">
        <v>2227</v>
      </c>
      <c r="U211" t="s">
        <v>617</v>
      </c>
      <c r="V211" s="1">
        <v>45625</v>
      </c>
      <c r="W211" s="1">
        <v>45625</v>
      </c>
      <c r="X211" t="s">
        <v>77</v>
      </c>
      <c r="Y211" t="s">
        <v>78</v>
      </c>
      <c r="Z211" t="s">
        <v>6</v>
      </c>
      <c r="AA211" t="s">
        <v>78</v>
      </c>
      <c r="AB211" s="4">
        <f>L211/0.1</f>
        <v>3381450</v>
      </c>
      <c r="AC211" s="5" t="s">
        <v>2215</v>
      </c>
      <c r="AD211" s="4">
        <f>AB211/12</f>
        <v>281787.5</v>
      </c>
      <c r="AE211" s="4">
        <f t="shared" si="8"/>
        <v>-56357.5</v>
      </c>
    </row>
    <row r="212" spans="1:31" x14ac:dyDescent="0.25">
      <c r="A212" t="s">
        <v>0</v>
      </c>
      <c r="B212" s="3" t="s">
        <v>2219</v>
      </c>
      <c r="C212" t="s">
        <v>614</v>
      </c>
      <c r="D212" t="s">
        <v>69</v>
      </c>
      <c r="E212" t="s">
        <v>203</v>
      </c>
      <c r="F212" s="1">
        <v>45747</v>
      </c>
      <c r="G212" s="1">
        <v>45749</v>
      </c>
      <c r="H212" t="s">
        <v>80</v>
      </c>
      <c r="I212" t="s">
        <v>5</v>
      </c>
      <c r="J212" t="s">
        <v>6</v>
      </c>
      <c r="K212" t="s">
        <v>4</v>
      </c>
      <c r="L212" t="s">
        <v>618</v>
      </c>
      <c r="M212" t="s">
        <v>618</v>
      </c>
      <c r="N212" s="2">
        <v>60</v>
      </c>
      <c r="O212" t="s">
        <v>616</v>
      </c>
      <c r="P212" t="s">
        <v>9</v>
      </c>
      <c r="Q212" t="s">
        <v>82</v>
      </c>
      <c r="R212" t="e">
        <f>VLOOKUP(Q212,#REF!,2,FALSE)</f>
        <v>#REF!</v>
      </c>
      <c r="S212">
        <v>1001</v>
      </c>
      <c r="T212" t="s">
        <v>2227</v>
      </c>
      <c r="U212" t="s">
        <v>617</v>
      </c>
      <c r="V212" s="1">
        <v>45625</v>
      </c>
      <c r="W212" s="1">
        <v>45625</v>
      </c>
      <c r="X212" t="s">
        <v>77</v>
      </c>
      <c r="Y212" t="s">
        <v>78</v>
      </c>
      <c r="Z212" t="s">
        <v>6</v>
      </c>
      <c r="AA212" t="s">
        <v>78</v>
      </c>
      <c r="AB212" s="4">
        <f>L212/0.08</f>
        <v>750</v>
      </c>
      <c r="AC212" s="6">
        <v>0.1</v>
      </c>
      <c r="AD212" s="4">
        <f>AB212*AC212</f>
        <v>75</v>
      </c>
      <c r="AE212" s="4">
        <f t="shared" si="8"/>
        <v>15</v>
      </c>
    </row>
    <row r="213" spans="1:31" x14ac:dyDescent="0.25">
      <c r="A213" t="s">
        <v>0</v>
      </c>
      <c r="B213" s="3" t="s">
        <v>2219</v>
      </c>
      <c r="C213" t="s">
        <v>614</v>
      </c>
      <c r="D213" t="s">
        <v>69</v>
      </c>
      <c r="E213" t="s">
        <v>208</v>
      </c>
      <c r="F213" s="1">
        <v>45747</v>
      </c>
      <c r="G213" s="1">
        <v>45749</v>
      </c>
      <c r="H213" t="s">
        <v>128</v>
      </c>
      <c r="I213" t="s">
        <v>5</v>
      </c>
      <c r="J213" t="s">
        <v>6</v>
      </c>
      <c r="K213" t="s">
        <v>4</v>
      </c>
      <c r="L213" t="s">
        <v>619</v>
      </c>
      <c r="M213" t="s">
        <v>619</v>
      </c>
      <c r="N213" s="2">
        <v>13529</v>
      </c>
      <c r="O213" t="s">
        <v>616</v>
      </c>
      <c r="P213" t="s">
        <v>9</v>
      </c>
      <c r="Q213" t="s">
        <v>86</v>
      </c>
      <c r="R213" t="e">
        <f>VLOOKUP(Q213,#REF!,2,FALSE)</f>
        <v>#REF!</v>
      </c>
      <c r="S213">
        <v>1001</v>
      </c>
      <c r="T213" t="s">
        <v>2227</v>
      </c>
      <c r="U213" t="s">
        <v>617</v>
      </c>
      <c r="V213" s="1">
        <v>45625</v>
      </c>
      <c r="W213" s="1">
        <v>45625</v>
      </c>
      <c r="X213" t="s">
        <v>77</v>
      </c>
      <c r="Y213" t="s">
        <v>78</v>
      </c>
      <c r="Z213" t="s">
        <v>6</v>
      </c>
      <c r="AA213" t="s">
        <v>78</v>
      </c>
      <c r="AB213" s="4">
        <f>L213/0.03</f>
        <v>450966.66666666669</v>
      </c>
      <c r="AC213" s="6">
        <v>0.04</v>
      </c>
      <c r="AD213" s="4">
        <f>AB213*AC213</f>
        <v>18038.666666666668</v>
      </c>
      <c r="AE213" s="4">
        <f t="shared" si="8"/>
        <v>4509.6666666666679</v>
      </c>
    </row>
    <row r="214" spans="1:31" x14ac:dyDescent="0.25">
      <c r="A214" t="s">
        <v>0</v>
      </c>
      <c r="B214" s="3" t="s">
        <v>2219</v>
      </c>
      <c r="C214" t="s">
        <v>620</v>
      </c>
      <c r="D214" t="s">
        <v>69</v>
      </c>
      <c r="E214" t="s">
        <v>157</v>
      </c>
      <c r="F214" s="1">
        <v>45714</v>
      </c>
      <c r="G214" s="1">
        <v>45714</v>
      </c>
      <c r="H214" t="s">
        <v>153</v>
      </c>
      <c r="I214" t="s">
        <v>5</v>
      </c>
      <c r="J214" t="s">
        <v>6</v>
      </c>
      <c r="K214" t="s">
        <v>4</v>
      </c>
      <c r="L214" t="s">
        <v>621</v>
      </c>
      <c r="M214" t="s">
        <v>621</v>
      </c>
      <c r="N214" s="2">
        <v>300897</v>
      </c>
      <c r="O214" t="s">
        <v>622</v>
      </c>
      <c r="P214" t="s">
        <v>9</v>
      </c>
      <c r="Q214" t="s">
        <v>75</v>
      </c>
      <c r="R214" t="e">
        <f>VLOOKUP(Q214,#REF!,2,FALSE)</f>
        <v>#REF!</v>
      </c>
      <c r="S214">
        <v>1004</v>
      </c>
      <c r="T214" t="s">
        <v>2225</v>
      </c>
      <c r="U214" t="s">
        <v>623</v>
      </c>
      <c r="V214" s="1">
        <v>45625</v>
      </c>
      <c r="W214" s="1">
        <v>45625</v>
      </c>
      <c r="X214" t="s">
        <v>77</v>
      </c>
      <c r="Y214" t="s">
        <v>78</v>
      </c>
      <c r="Z214" t="s">
        <v>6</v>
      </c>
      <c r="AA214" t="s">
        <v>78</v>
      </c>
      <c r="AB214" s="4">
        <f>L214/0.1</f>
        <v>3008970</v>
      </c>
      <c r="AC214" s="5" t="s">
        <v>2215</v>
      </c>
      <c r="AD214" s="4">
        <f>AB214/12</f>
        <v>250747.5</v>
      </c>
      <c r="AE214" s="4">
        <f t="shared" si="8"/>
        <v>-50149.5</v>
      </c>
    </row>
    <row r="215" spans="1:31" x14ac:dyDescent="0.25">
      <c r="A215" t="s">
        <v>0</v>
      </c>
      <c r="B215" s="3" t="s">
        <v>2219</v>
      </c>
      <c r="C215" t="s">
        <v>620</v>
      </c>
      <c r="D215" t="s">
        <v>69</v>
      </c>
      <c r="E215" t="s">
        <v>88</v>
      </c>
      <c r="F215" s="1">
        <v>45747</v>
      </c>
      <c r="G215" s="1">
        <v>45749</v>
      </c>
      <c r="H215" t="s">
        <v>128</v>
      </c>
      <c r="I215" t="s">
        <v>5</v>
      </c>
      <c r="J215" t="s">
        <v>6</v>
      </c>
      <c r="K215" t="s">
        <v>4</v>
      </c>
      <c r="L215" t="s">
        <v>624</v>
      </c>
      <c r="M215" t="s">
        <v>624</v>
      </c>
      <c r="N215" s="2">
        <v>12035</v>
      </c>
      <c r="O215" t="s">
        <v>622</v>
      </c>
      <c r="P215" t="s">
        <v>9</v>
      </c>
      <c r="Q215" t="s">
        <v>86</v>
      </c>
      <c r="R215" t="e">
        <f>VLOOKUP(Q215,#REF!,2,FALSE)</f>
        <v>#REF!</v>
      </c>
      <c r="S215">
        <v>1004</v>
      </c>
      <c r="T215" t="s">
        <v>2225</v>
      </c>
      <c r="U215" t="s">
        <v>623</v>
      </c>
      <c r="V215" s="1">
        <v>45625</v>
      </c>
      <c r="W215" s="1">
        <v>45625</v>
      </c>
      <c r="X215" t="s">
        <v>77</v>
      </c>
      <c r="Y215" t="s">
        <v>78</v>
      </c>
      <c r="Z215" t="s">
        <v>6</v>
      </c>
      <c r="AA215" t="s">
        <v>78</v>
      </c>
      <c r="AB215" s="4">
        <f>L215/0.03</f>
        <v>401166.66666666669</v>
      </c>
      <c r="AC215" s="6">
        <v>0.04</v>
      </c>
      <c r="AD215" s="4">
        <f>AB215*AC215</f>
        <v>16046.666666666668</v>
      </c>
      <c r="AE215" s="4">
        <f t="shared" si="8"/>
        <v>4011.6666666666679</v>
      </c>
    </row>
    <row r="216" spans="1:31" x14ac:dyDescent="0.25">
      <c r="A216" t="s">
        <v>0</v>
      </c>
      <c r="B216" s="3" t="s">
        <v>2219</v>
      </c>
      <c r="C216" t="s">
        <v>625</v>
      </c>
      <c r="D216" t="s">
        <v>69</v>
      </c>
      <c r="E216" t="s">
        <v>43</v>
      </c>
      <c r="F216" s="1">
        <v>45714</v>
      </c>
      <c r="G216" s="1">
        <v>45714</v>
      </c>
      <c r="H216" t="s">
        <v>319</v>
      </c>
      <c r="I216" t="s">
        <v>5</v>
      </c>
      <c r="J216" t="s">
        <v>6</v>
      </c>
      <c r="K216" t="s">
        <v>4</v>
      </c>
      <c r="L216" t="s">
        <v>626</v>
      </c>
      <c r="M216" t="s">
        <v>626</v>
      </c>
      <c r="N216" s="2">
        <v>242780</v>
      </c>
      <c r="O216" t="s">
        <v>627</v>
      </c>
      <c r="P216" t="s">
        <v>9</v>
      </c>
      <c r="Q216" t="s">
        <v>75</v>
      </c>
      <c r="R216" t="e">
        <f>VLOOKUP(Q216,#REF!,2,FALSE)</f>
        <v>#REF!</v>
      </c>
      <c r="S216">
        <v>1001</v>
      </c>
      <c r="T216" t="s">
        <v>2227</v>
      </c>
      <c r="U216" t="s">
        <v>628</v>
      </c>
      <c r="V216" s="1">
        <v>45625</v>
      </c>
      <c r="W216" s="1">
        <v>45625</v>
      </c>
      <c r="X216" t="s">
        <v>77</v>
      </c>
      <c r="Y216" t="s">
        <v>78</v>
      </c>
      <c r="Z216" t="s">
        <v>6</v>
      </c>
      <c r="AA216" t="s">
        <v>78</v>
      </c>
      <c r="AB216" s="4">
        <f>L216/0.1</f>
        <v>2427800</v>
      </c>
      <c r="AC216" s="5" t="s">
        <v>2215</v>
      </c>
      <c r="AD216" s="4">
        <f>AB216/12</f>
        <v>202316.66666666666</v>
      </c>
      <c r="AE216" s="4">
        <f t="shared" si="8"/>
        <v>-40463.333333333343</v>
      </c>
    </row>
    <row r="217" spans="1:31" x14ac:dyDescent="0.25">
      <c r="A217" t="s">
        <v>0</v>
      </c>
      <c r="B217" s="3" t="s">
        <v>2219</v>
      </c>
      <c r="C217" t="s">
        <v>625</v>
      </c>
      <c r="D217" t="s">
        <v>69</v>
      </c>
      <c r="E217" t="s">
        <v>104</v>
      </c>
      <c r="F217" s="1">
        <v>45747</v>
      </c>
      <c r="G217" s="1">
        <v>45749</v>
      </c>
      <c r="H217" t="s">
        <v>128</v>
      </c>
      <c r="I217" t="s">
        <v>5</v>
      </c>
      <c r="J217" t="s">
        <v>6</v>
      </c>
      <c r="K217" t="s">
        <v>4</v>
      </c>
      <c r="L217" t="s">
        <v>629</v>
      </c>
      <c r="M217" t="s">
        <v>629</v>
      </c>
      <c r="N217" s="2">
        <v>9713</v>
      </c>
      <c r="O217" t="s">
        <v>627</v>
      </c>
      <c r="P217" t="s">
        <v>9</v>
      </c>
      <c r="Q217" t="s">
        <v>86</v>
      </c>
      <c r="R217" t="e">
        <f>VLOOKUP(Q217,#REF!,2,FALSE)</f>
        <v>#REF!</v>
      </c>
      <c r="S217">
        <v>1001</v>
      </c>
      <c r="T217" t="s">
        <v>2227</v>
      </c>
      <c r="U217" t="s">
        <v>628</v>
      </c>
      <c r="V217" s="1">
        <v>45625</v>
      </c>
      <c r="W217" s="1">
        <v>45625</v>
      </c>
      <c r="X217" t="s">
        <v>77</v>
      </c>
      <c r="Y217" t="s">
        <v>78</v>
      </c>
      <c r="Z217" t="s">
        <v>6</v>
      </c>
      <c r="AA217" t="s">
        <v>78</v>
      </c>
      <c r="AB217" s="4">
        <f>L217/0.03</f>
        <v>323766.66666666669</v>
      </c>
      <c r="AC217" s="6">
        <v>0.04</v>
      </c>
      <c r="AD217" s="4">
        <f>AB217*AC217</f>
        <v>12950.666666666668</v>
      </c>
      <c r="AE217" s="4">
        <f t="shared" si="8"/>
        <v>3237.6666666666679</v>
      </c>
    </row>
    <row r="218" spans="1:31" x14ac:dyDescent="0.25">
      <c r="A218" t="s">
        <v>0</v>
      </c>
      <c r="B218" s="3" t="s">
        <v>2219</v>
      </c>
      <c r="C218" t="s">
        <v>630</v>
      </c>
      <c r="D218" t="s">
        <v>69</v>
      </c>
      <c r="E218" t="s">
        <v>109</v>
      </c>
      <c r="F218" s="1">
        <v>45714</v>
      </c>
      <c r="G218" s="1">
        <v>45714</v>
      </c>
      <c r="H218" t="s">
        <v>372</v>
      </c>
      <c r="I218" t="s">
        <v>5</v>
      </c>
      <c r="J218" t="s">
        <v>6</v>
      </c>
      <c r="K218" t="s">
        <v>4</v>
      </c>
      <c r="L218" t="s">
        <v>631</v>
      </c>
      <c r="M218" t="s">
        <v>631</v>
      </c>
      <c r="N218" s="2">
        <v>295438</v>
      </c>
      <c r="O218" t="s">
        <v>632</v>
      </c>
      <c r="P218" t="s">
        <v>9</v>
      </c>
      <c r="Q218" t="s">
        <v>75</v>
      </c>
      <c r="R218" t="e">
        <f>VLOOKUP(Q218,#REF!,2,FALSE)</f>
        <v>#REF!</v>
      </c>
      <c r="S218">
        <v>1001</v>
      </c>
      <c r="T218" t="s">
        <v>2227</v>
      </c>
      <c r="U218" t="s">
        <v>633</v>
      </c>
      <c r="V218" s="1">
        <v>45625</v>
      </c>
      <c r="W218" s="1">
        <v>45625</v>
      </c>
      <c r="X218" t="s">
        <v>77</v>
      </c>
      <c r="Y218" t="s">
        <v>78</v>
      </c>
      <c r="Z218" t="s">
        <v>6</v>
      </c>
      <c r="AA218" t="s">
        <v>78</v>
      </c>
      <c r="AB218" s="4">
        <f>L218/0.1</f>
        <v>2954380</v>
      </c>
      <c r="AC218" s="5" t="s">
        <v>2215</v>
      </c>
      <c r="AD218" s="4">
        <f>AB218/12</f>
        <v>246198.33333333334</v>
      </c>
      <c r="AE218" s="4">
        <f t="shared" si="8"/>
        <v>-49239.666666666657</v>
      </c>
    </row>
    <row r="219" spans="1:31" x14ac:dyDescent="0.25">
      <c r="A219" t="s">
        <v>0</v>
      </c>
      <c r="B219" s="3" t="s">
        <v>2219</v>
      </c>
      <c r="C219" t="s">
        <v>630</v>
      </c>
      <c r="D219" t="s">
        <v>69</v>
      </c>
      <c r="E219" t="s">
        <v>203</v>
      </c>
      <c r="F219" s="1">
        <v>45747</v>
      </c>
      <c r="G219" s="1">
        <v>45749</v>
      </c>
      <c r="H219" t="s">
        <v>128</v>
      </c>
      <c r="I219" t="s">
        <v>5</v>
      </c>
      <c r="J219" t="s">
        <v>6</v>
      </c>
      <c r="K219" t="s">
        <v>4</v>
      </c>
      <c r="L219" t="s">
        <v>634</v>
      </c>
      <c r="M219" t="s">
        <v>634</v>
      </c>
      <c r="N219" s="2">
        <v>11819</v>
      </c>
      <c r="O219" t="s">
        <v>632</v>
      </c>
      <c r="P219" t="s">
        <v>9</v>
      </c>
      <c r="Q219" t="s">
        <v>86</v>
      </c>
      <c r="R219" t="e">
        <f>VLOOKUP(Q219,#REF!,2,FALSE)</f>
        <v>#REF!</v>
      </c>
      <c r="S219">
        <v>1001</v>
      </c>
      <c r="T219" t="s">
        <v>2227</v>
      </c>
      <c r="U219" t="s">
        <v>633</v>
      </c>
      <c r="V219" s="1">
        <v>45625</v>
      </c>
      <c r="W219" s="1">
        <v>45625</v>
      </c>
      <c r="X219" t="s">
        <v>77</v>
      </c>
      <c r="Y219" t="s">
        <v>78</v>
      </c>
      <c r="Z219" t="s">
        <v>6</v>
      </c>
      <c r="AA219" t="s">
        <v>78</v>
      </c>
      <c r="AB219" s="4">
        <f>L219/0.03</f>
        <v>393966.66666666669</v>
      </c>
      <c r="AC219" s="6">
        <v>0.04</v>
      </c>
      <c r="AD219" s="4">
        <f>AB219*AC219</f>
        <v>15758.666666666668</v>
      </c>
      <c r="AE219" s="4">
        <f t="shared" si="8"/>
        <v>3939.6666666666679</v>
      </c>
    </row>
    <row r="220" spans="1:31" x14ac:dyDescent="0.25">
      <c r="A220" t="s">
        <v>0</v>
      </c>
      <c r="B220" s="3" t="s">
        <v>2219</v>
      </c>
      <c r="C220" t="s">
        <v>635</v>
      </c>
      <c r="D220" t="s">
        <v>69</v>
      </c>
      <c r="E220" t="s">
        <v>88</v>
      </c>
      <c r="F220" s="1">
        <v>45714</v>
      </c>
      <c r="G220" s="1">
        <v>45714</v>
      </c>
      <c r="H220" t="s">
        <v>222</v>
      </c>
      <c r="I220" t="s">
        <v>5</v>
      </c>
      <c r="J220" t="s">
        <v>6</v>
      </c>
      <c r="K220" t="s">
        <v>4</v>
      </c>
      <c r="L220" t="s">
        <v>636</v>
      </c>
      <c r="M220" t="s">
        <v>636</v>
      </c>
      <c r="N220" s="2">
        <v>2867565</v>
      </c>
      <c r="O220" t="s">
        <v>637</v>
      </c>
      <c r="P220" t="s">
        <v>9</v>
      </c>
      <c r="Q220" t="s">
        <v>75</v>
      </c>
      <c r="R220" t="e">
        <f>VLOOKUP(Q220,#REF!,2,FALSE)</f>
        <v>#REF!</v>
      </c>
      <c r="S220">
        <v>1004</v>
      </c>
      <c r="T220" t="s">
        <v>2225</v>
      </c>
      <c r="U220" t="s">
        <v>638</v>
      </c>
      <c r="V220" s="1">
        <v>45625</v>
      </c>
      <c r="W220" s="1">
        <v>45625</v>
      </c>
      <c r="X220" t="s">
        <v>77</v>
      </c>
      <c r="Y220" t="s">
        <v>78</v>
      </c>
      <c r="Z220" t="s">
        <v>6</v>
      </c>
      <c r="AA220" t="s">
        <v>78</v>
      </c>
      <c r="AB220" s="4">
        <f>L220/0.1</f>
        <v>28675650</v>
      </c>
      <c r="AC220" s="5" t="s">
        <v>2215</v>
      </c>
      <c r="AD220" s="4">
        <f>AB220/12</f>
        <v>2389637.5</v>
      </c>
      <c r="AE220" s="4">
        <f t="shared" si="8"/>
        <v>-477927.5</v>
      </c>
    </row>
    <row r="221" spans="1:31" x14ac:dyDescent="0.25">
      <c r="A221" t="s">
        <v>0</v>
      </c>
      <c r="B221" s="3" t="s">
        <v>2219</v>
      </c>
      <c r="C221" t="s">
        <v>635</v>
      </c>
      <c r="D221" t="s">
        <v>69</v>
      </c>
      <c r="E221" t="s">
        <v>92</v>
      </c>
      <c r="F221" s="1">
        <v>45747</v>
      </c>
      <c r="G221" s="1">
        <v>45749</v>
      </c>
      <c r="H221" t="s">
        <v>80</v>
      </c>
      <c r="I221" t="s">
        <v>5</v>
      </c>
      <c r="J221" t="s">
        <v>6</v>
      </c>
      <c r="K221" t="s">
        <v>4</v>
      </c>
      <c r="L221" t="s">
        <v>639</v>
      </c>
      <c r="M221" t="s">
        <v>639</v>
      </c>
      <c r="N221" s="2">
        <v>56379</v>
      </c>
      <c r="O221" t="s">
        <v>637</v>
      </c>
      <c r="P221" t="s">
        <v>9</v>
      </c>
      <c r="Q221" t="s">
        <v>82</v>
      </c>
      <c r="R221" t="e">
        <f>VLOOKUP(Q221,#REF!,2,FALSE)</f>
        <v>#REF!</v>
      </c>
      <c r="S221">
        <v>1004</v>
      </c>
      <c r="T221" t="s">
        <v>2225</v>
      </c>
      <c r="U221" t="s">
        <v>638</v>
      </c>
      <c r="V221" s="1">
        <v>45625</v>
      </c>
      <c r="W221" s="1">
        <v>45625</v>
      </c>
      <c r="X221" t="s">
        <v>77</v>
      </c>
      <c r="Y221" t="s">
        <v>78</v>
      </c>
      <c r="Z221" t="s">
        <v>6</v>
      </c>
      <c r="AA221" t="s">
        <v>78</v>
      </c>
      <c r="AB221" s="4">
        <f>L221/0.08</f>
        <v>704737.5</v>
      </c>
      <c r="AC221" s="6">
        <v>0.1</v>
      </c>
      <c r="AD221" s="4">
        <f>AB221*AC221</f>
        <v>70473.75</v>
      </c>
      <c r="AE221" s="4">
        <f t="shared" si="8"/>
        <v>14094.75</v>
      </c>
    </row>
    <row r="222" spans="1:31" x14ac:dyDescent="0.25">
      <c r="A222" t="s">
        <v>0</v>
      </c>
      <c r="B222" s="3" t="s">
        <v>2219</v>
      </c>
      <c r="C222" t="s">
        <v>635</v>
      </c>
      <c r="D222" t="s">
        <v>69</v>
      </c>
      <c r="E222" t="s">
        <v>94</v>
      </c>
      <c r="F222" s="1">
        <v>45747</v>
      </c>
      <c r="G222" s="1">
        <v>45749</v>
      </c>
      <c r="H222" t="s">
        <v>128</v>
      </c>
      <c r="I222" t="s">
        <v>5</v>
      </c>
      <c r="J222" t="s">
        <v>6</v>
      </c>
      <c r="K222" t="s">
        <v>4</v>
      </c>
      <c r="L222" t="s">
        <v>640</v>
      </c>
      <c r="M222" t="s">
        <v>640</v>
      </c>
      <c r="N222" s="2">
        <v>116958</v>
      </c>
      <c r="O222" t="s">
        <v>637</v>
      </c>
      <c r="P222" t="s">
        <v>9</v>
      </c>
      <c r="Q222" t="s">
        <v>86</v>
      </c>
      <c r="R222" t="e">
        <f>VLOOKUP(Q222,#REF!,2,FALSE)</f>
        <v>#REF!</v>
      </c>
      <c r="S222">
        <v>1004</v>
      </c>
      <c r="T222" t="s">
        <v>2225</v>
      </c>
      <c r="U222" t="s">
        <v>638</v>
      </c>
      <c r="V222" s="1">
        <v>45625</v>
      </c>
      <c r="W222" s="1">
        <v>45625</v>
      </c>
      <c r="X222" t="s">
        <v>77</v>
      </c>
      <c r="Y222" t="s">
        <v>78</v>
      </c>
      <c r="Z222" t="s">
        <v>6</v>
      </c>
      <c r="AA222" t="s">
        <v>78</v>
      </c>
      <c r="AB222" s="4">
        <f>L222/0.03</f>
        <v>3898600</v>
      </c>
      <c r="AC222" s="6">
        <v>0.04</v>
      </c>
      <c r="AD222" s="4">
        <f>AB222*AC222</f>
        <v>155944</v>
      </c>
      <c r="AE222" s="4">
        <f t="shared" si="8"/>
        <v>38986</v>
      </c>
    </row>
    <row r="223" spans="1:31" x14ac:dyDescent="0.25">
      <c r="A223" t="s">
        <v>0</v>
      </c>
      <c r="B223" s="3" t="s">
        <v>2219</v>
      </c>
      <c r="C223" t="s">
        <v>641</v>
      </c>
      <c r="D223" t="s">
        <v>69</v>
      </c>
      <c r="E223" t="s">
        <v>119</v>
      </c>
      <c r="F223" s="1">
        <v>45713</v>
      </c>
      <c r="G223" s="1">
        <v>45713</v>
      </c>
      <c r="H223" t="s">
        <v>642</v>
      </c>
      <c r="I223" t="s">
        <v>5</v>
      </c>
      <c r="J223" t="s">
        <v>6</v>
      </c>
      <c r="K223" t="s">
        <v>4</v>
      </c>
      <c r="L223" t="s">
        <v>643</v>
      </c>
      <c r="M223" t="s">
        <v>643</v>
      </c>
      <c r="N223" s="2">
        <v>20616501</v>
      </c>
      <c r="O223" t="s">
        <v>644</v>
      </c>
      <c r="P223" t="s">
        <v>9</v>
      </c>
      <c r="Q223" t="s">
        <v>75</v>
      </c>
      <c r="R223" t="e">
        <f>VLOOKUP(Q223,#REF!,2,FALSE)</f>
        <v>#REF!</v>
      </c>
      <c r="S223">
        <v>1004</v>
      </c>
      <c r="T223" t="s">
        <v>2225</v>
      </c>
      <c r="U223" t="s">
        <v>645</v>
      </c>
      <c r="V223" s="1">
        <v>45625</v>
      </c>
      <c r="W223" s="1">
        <v>45625</v>
      </c>
      <c r="X223" t="s">
        <v>77</v>
      </c>
      <c r="Y223" t="s">
        <v>646</v>
      </c>
      <c r="Z223" t="s">
        <v>6</v>
      </c>
      <c r="AA223" t="s">
        <v>646</v>
      </c>
      <c r="AB223" s="4">
        <f>L223/0.1</f>
        <v>206165010</v>
      </c>
      <c r="AC223" s="5" t="s">
        <v>2215</v>
      </c>
      <c r="AD223" s="4">
        <f>AB223/12</f>
        <v>17180417.5</v>
      </c>
      <c r="AE223" s="4">
        <f t="shared" si="8"/>
        <v>-3436083.5</v>
      </c>
    </row>
    <row r="224" spans="1:31" x14ac:dyDescent="0.25">
      <c r="A224" t="s">
        <v>0</v>
      </c>
      <c r="B224" s="3" t="s">
        <v>2219</v>
      </c>
      <c r="C224" t="s">
        <v>641</v>
      </c>
      <c r="D224" t="s">
        <v>69</v>
      </c>
      <c r="E224" t="s">
        <v>125</v>
      </c>
      <c r="F224" s="1">
        <v>45747</v>
      </c>
      <c r="G224" s="1">
        <v>45749</v>
      </c>
      <c r="H224" t="s">
        <v>80</v>
      </c>
      <c r="I224" t="s">
        <v>5</v>
      </c>
      <c r="J224" t="s">
        <v>6</v>
      </c>
      <c r="K224" t="s">
        <v>4</v>
      </c>
      <c r="L224" t="s">
        <v>647</v>
      </c>
      <c r="M224" t="s">
        <v>647</v>
      </c>
      <c r="N224" s="2">
        <v>1147111</v>
      </c>
      <c r="O224" t="s">
        <v>644</v>
      </c>
      <c r="P224" t="s">
        <v>9</v>
      </c>
      <c r="Q224" t="s">
        <v>82</v>
      </c>
      <c r="R224" t="e">
        <f>VLOOKUP(Q224,#REF!,2,FALSE)</f>
        <v>#REF!</v>
      </c>
      <c r="S224">
        <v>1004</v>
      </c>
      <c r="T224" t="s">
        <v>2225</v>
      </c>
      <c r="U224" t="s">
        <v>645</v>
      </c>
      <c r="V224" s="1">
        <v>45625</v>
      </c>
      <c r="W224" s="1">
        <v>45625</v>
      </c>
      <c r="X224" t="s">
        <v>77</v>
      </c>
      <c r="Y224" t="s">
        <v>646</v>
      </c>
      <c r="Z224" t="s">
        <v>6</v>
      </c>
      <c r="AA224" t="s">
        <v>646</v>
      </c>
      <c r="AB224" s="4">
        <f>L224/0.08</f>
        <v>14338887.5</v>
      </c>
      <c r="AC224" s="6">
        <v>0.1</v>
      </c>
      <c r="AD224" s="4">
        <f>AB224*AC224</f>
        <v>1433888.75</v>
      </c>
      <c r="AE224" s="4">
        <f t="shared" si="8"/>
        <v>286777.75</v>
      </c>
    </row>
    <row r="225" spans="1:31" x14ac:dyDescent="0.25">
      <c r="A225" t="s">
        <v>0</v>
      </c>
      <c r="B225" s="3" t="s">
        <v>2219</v>
      </c>
      <c r="C225" t="s">
        <v>641</v>
      </c>
      <c r="D225" t="s">
        <v>69</v>
      </c>
      <c r="E225" t="s">
        <v>127</v>
      </c>
      <c r="F225" s="1">
        <v>45747</v>
      </c>
      <c r="G225" s="1">
        <v>45749</v>
      </c>
      <c r="H225" t="s">
        <v>128</v>
      </c>
      <c r="I225" t="s">
        <v>5</v>
      </c>
      <c r="J225" t="s">
        <v>6</v>
      </c>
      <c r="K225" t="s">
        <v>4</v>
      </c>
      <c r="L225" t="s">
        <v>648</v>
      </c>
      <c r="M225" t="s">
        <v>648</v>
      </c>
      <c r="N225" s="2">
        <v>870546</v>
      </c>
      <c r="O225" t="s">
        <v>644</v>
      </c>
      <c r="P225" t="s">
        <v>9</v>
      </c>
      <c r="Q225" t="s">
        <v>86</v>
      </c>
      <c r="R225" t="e">
        <f>VLOOKUP(Q225,#REF!,2,FALSE)</f>
        <v>#REF!</v>
      </c>
      <c r="S225">
        <v>1004</v>
      </c>
      <c r="T225" t="s">
        <v>2225</v>
      </c>
      <c r="U225" t="s">
        <v>645</v>
      </c>
      <c r="V225" s="1">
        <v>45625</v>
      </c>
      <c r="W225" s="1">
        <v>45625</v>
      </c>
      <c r="X225" t="s">
        <v>77</v>
      </c>
      <c r="Y225" t="s">
        <v>646</v>
      </c>
      <c r="Z225" t="s">
        <v>6</v>
      </c>
      <c r="AA225" t="s">
        <v>646</v>
      </c>
      <c r="AB225" s="4">
        <f>L225/0.03</f>
        <v>29018200</v>
      </c>
      <c r="AC225" s="6">
        <v>0.04</v>
      </c>
      <c r="AD225" s="4">
        <f>AB225*AC225</f>
        <v>1160728</v>
      </c>
      <c r="AE225" s="4">
        <f t="shared" si="8"/>
        <v>290182</v>
      </c>
    </row>
    <row r="226" spans="1:31" x14ac:dyDescent="0.25">
      <c r="A226" t="s">
        <v>0</v>
      </c>
      <c r="B226" s="3" t="s">
        <v>2219</v>
      </c>
      <c r="C226" t="s">
        <v>649</v>
      </c>
      <c r="D226" t="s">
        <v>69</v>
      </c>
      <c r="E226" t="s">
        <v>203</v>
      </c>
      <c r="F226" s="1">
        <v>45713</v>
      </c>
      <c r="G226" s="1">
        <v>45713</v>
      </c>
      <c r="H226" t="s">
        <v>642</v>
      </c>
      <c r="I226" t="s">
        <v>5</v>
      </c>
      <c r="J226" t="s">
        <v>6</v>
      </c>
      <c r="K226" t="s">
        <v>4</v>
      </c>
      <c r="L226" t="s">
        <v>650</v>
      </c>
      <c r="M226" t="s">
        <v>650</v>
      </c>
      <c r="N226" s="2">
        <v>1367226</v>
      </c>
      <c r="O226" t="s">
        <v>651</v>
      </c>
      <c r="P226" t="s">
        <v>9</v>
      </c>
      <c r="Q226" t="s">
        <v>75</v>
      </c>
      <c r="R226" t="e">
        <f>VLOOKUP(Q226,#REF!,2,FALSE)</f>
        <v>#REF!</v>
      </c>
      <c r="S226">
        <v>1004</v>
      </c>
      <c r="T226" t="s">
        <v>2225</v>
      </c>
      <c r="U226" t="s">
        <v>652</v>
      </c>
      <c r="V226" s="1">
        <v>45625</v>
      </c>
      <c r="W226" s="1">
        <v>45625</v>
      </c>
      <c r="X226" t="s">
        <v>77</v>
      </c>
      <c r="Y226" t="s">
        <v>78</v>
      </c>
      <c r="Z226" t="s">
        <v>6</v>
      </c>
      <c r="AA226" t="s">
        <v>78</v>
      </c>
      <c r="AB226" s="4">
        <f>L226/0.1</f>
        <v>13672260</v>
      </c>
      <c r="AC226" s="5" t="s">
        <v>2215</v>
      </c>
      <c r="AD226" s="4">
        <f>AB226/12</f>
        <v>1139355</v>
      </c>
      <c r="AE226" s="4">
        <f t="shared" si="8"/>
        <v>-227871</v>
      </c>
    </row>
    <row r="227" spans="1:31" x14ac:dyDescent="0.25">
      <c r="A227" t="s">
        <v>0</v>
      </c>
      <c r="B227" s="3" t="s">
        <v>2219</v>
      </c>
      <c r="C227" t="s">
        <v>649</v>
      </c>
      <c r="D227" t="s">
        <v>69</v>
      </c>
      <c r="E227" t="s">
        <v>208</v>
      </c>
      <c r="F227" s="1">
        <v>45747</v>
      </c>
      <c r="G227" s="1">
        <v>45749</v>
      </c>
      <c r="H227" t="s">
        <v>80</v>
      </c>
      <c r="I227" t="s">
        <v>5</v>
      </c>
      <c r="J227" t="s">
        <v>6</v>
      </c>
      <c r="K227" t="s">
        <v>4</v>
      </c>
      <c r="L227" t="s">
        <v>528</v>
      </c>
      <c r="M227" t="s">
        <v>528</v>
      </c>
      <c r="N227" s="2">
        <v>14011</v>
      </c>
      <c r="O227" t="s">
        <v>651</v>
      </c>
      <c r="P227" t="s">
        <v>9</v>
      </c>
      <c r="Q227" t="s">
        <v>82</v>
      </c>
      <c r="R227" t="e">
        <f>VLOOKUP(Q227,#REF!,2,FALSE)</f>
        <v>#REF!</v>
      </c>
      <c r="S227">
        <v>1004</v>
      </c>
      <c r="T227" t="s">
        <v>2225</v>
      </c>
      <c r="U227" t="s">
        <v>652</v>
      </c>
      <c r="V227" s="1">
        <v>45625</v>
      </c>
      <c r="W227" s="1">
        <v>45625</v>
      </c>
      <c r="X227" t="s">
        <v>77</v>
      </c>
      <c r="Y227" t="s">
        <v>78</v>
      </c>
      <c r="Z227" t="s">
        <v>6</v>
      </c>
      <c r="AA227" t="s">
        <v>78</v>
      </c>
      <c r="AB227" s="4">
        <f>L227/0.08</f>
        <v>175137.5</v>
      </c>
      <c r="AC227" s="6">
        <v>0.1</v>
      </c>
      <c r="AD227" s="4">
        <f>AB227*AC227</f>
        <v>17513.75</v>
      </c>
      <c r="AE227" s="4">
        <f t="shared" si="8"/>
        <v>3502.75</v>
      </c>
    </row>
    <row r="228" spans="1:31" x14ac:dyDescent="0.25">
      <c r="A228" t="s">
        <v>0</v>
      </c>
      <c r="B228" s="3" t="s">
        <v>2219</v>
      </c>
      <c r="C228" t="s">
        <v>649</v>
      </c>
      <c r="D228" t="s">
        <v>69</v>
      </c>
      <c r="E228" t="s">
        <v>67</v>
      </c>
      <c r="F228" s="1">
        <v>45747</v>
      </c>
      <c r="G228" s="1">
        <v>45749</v>
      </c>
      <c r="H228" t="s">
        <v>128</v>
      </c>
      <c r="I228" t="s">
        <v>5</v>
      </c>
      <c r="J228" t="s">
        <v>6</v>
      </c>
      <c r="K228" t="s">
        <v>4</v>
      </c>
      <c r="L228" t="s">
        <v>653</v>
      </c>
      <c r="M228" t="s">
        <v>653</v>
      </c>
      <c r="N228" s="2">
        <v>55251</v>
      </c>
      <c r="O228" t="s">
        <v>651</v>
      </c>
      <c r="P228" t="s">
        <v>9</v>
      </c>
      <c r="Q228" t="s">
        <v>86</v>
      </c>
      <c r="R228" t="e">
        <f>VLOOKUP(Q228,#REF!,2,FALSE)</f>
        <v>#REF!</v>
      </c>
      <c r="S228">
        <v>1004</v>
      </c>
      <c r="T228" t="s">
        <v>2225</v>
      </c>
      <c r="U228" t="s">
        <v>652</v>
      </c>
      <c r="V228" s="1">
        <v>45625</v>
      </c>
      <c r="W228" s="1">
        <v>45625</v>
      </c>
      <c r="X228" t="s">
        <v>77</v>
      </c>
      <c r="Y228" t="s">
        <v>78</v>
      </c>
      <c r="Z228" t="s">
        <v>6</v>
      </c>
      <c r="AA228" t="s">
        <v>78</v>
      </c>
      <c r="AB228" s="4">
        <f>L228/0.03</f>
        <v>1841700</v>
      </c>
      <c r="AC228" s="6">
        <v>0.04</v>
      </c>
      <c r="AD228" s="4">
        <f>AB228*AC228</f>
        <v>73668</v>
      </c>
      <c r="AE228" s="4">
        <f t="shared" si="8"/>
        <v>18417</v>
      </c>
    </row>
    <row r="229" spans="1:31" x14ac:dyDescent="0.25">
      <c r="A229" t="s">
        <v>0</v>
      </c>
      <c r="B229" s="3" t="s">
        <v>2219</v>
      </c>
      <c r="C229" t="s">
        <v>654</v>
      </c>
      <c r="D229" t="s">
        <v>69</v>
      </c>
      <c r="E229" t="s">
        <v>143</v>
      </c>
      <c r="F229" s="1">
        <v>45713</v>
      </c>
      <c r="G229" s="1">
        <v>45713</v>
      </c>
      <c r="H229" t="s">
        <v>642</v>
      </c>
      <c r="I229" t="s">
        <v>5</v>
      </c>
      <c r="J229" t="s">
        <v>6</v>
      </c>
      <c r="K229" t="s">
        <v>4</v>
      </c>
      <c r="L229" t="s">
        <v>655</v>
      </c>
      <c r="M229" t="s">
        <v>655</v>
      </c>
      <c r="N229" s="2">
        <v>884867</v>
      </c>
      <c r="O229" t="s">
        <v>656</v>
      </c>
      <c r="P229" t="s">
        <v>9</v>
      </c>
      <c r="Q229" t="s">
        <v>75</v>
      </c>
      <c r="R229" t="e">
        <f>VLOOKUP(Q229,#REF!,2,FALSE)</f>
        <v>#REF!</v>
      </c>
      <c r="S229">
        <v>1004</v>
      </c>
      <c r="T229" t="s">
        <v>2225</v>
      </c>
      <c r="U229" t="s">
        <v>657</v>
      </c>
      <c r="V229" s="1">
        <v>45625</v>
      </c>
      <c r="W229" s="1">
        <v>45625</v>
      </c>
      <c r="X229" t="s">
        <v>77</v>
      </c>
      <c r="Y229" t="s">
        <v>78</v>
      </c>
      <c r="Z229" t="s">
        <v>6</v>
      </c>
      <c r="AA229" t="s">
        <v>78</v>
      </c>
      <c r="AB229" s="4">
        <f>L229/0.1</f>
        <v>8848670</v>
      </c>
      <c r="AC229" s="5" t="s">
        <v>2215</v>
      </c>
      <c r="AD229" s="4">
        <f>AB229/12</f>
        <v>737389.16666666663</v>
      </c>
      <c r="AE229" s="4">
        <f t="shared" si="8"/>
        <v>-147477.83333333337</v>
      </c>
    </row>
    <row r="230" spans="1:31" x14ac:dyDescent="0.25">
      <c r="A230" t="s">
        <v>0</v>
      </c>
      <c r="B230" s="3" t="s">
        <v>2219</v>
      </c>
      <c r="C230" t="s">
        <v>654</v>
      </c>
      <c r="D230" t="s">
        <v>69</v>
      </c>
      <c r="E230" t="s">
        <v>147</v>
      </c>
      <c r="F230" s="1">
        <v>45747</v>
      </c>
      <c r="G230" s="1">
        <v>45749</v>
      </c>
      <c r="H230" t="s">
        <v>80</v>
      </c>
      <c r="I230" t="s">
        <v>5</v>
      </c>
      <c r="J230" t="s">
        <v>6</v>
      </c>
      <c r="K230" t="s">
        <v>4</v>
      </c>
      <c r="L230" t="s">
        <v>658</v>
      </c>
      <c r="M230" t="s">
        <v>658</v>
      </c>
      <c r="N230" s="2">
        <v>16223</v>
      </c>
      <c r="O230" t="s">
        <v>656</v>
      </c>
      <c r="P230" t="s">
        <v>9</v>
      </c>
      <c r="Q230" t="s">
        <v>82</v>
      </c>
      <c r="R230" t="e">
        <f>VLOOKUP(Q230,#REF!,2,FALSE)</f>
        <v>#REF!</v>
      </c>
      <c r="S230">
        <v>1004</v>
      </c>
      <c r="T230" t="s">
        <v>2225</v>
      </c>
      <c r="U230" t="s">
        <v>657</v>
      </c>
      <c r="V230" s="1">
        <v>45625</v>
      </c>
      <c r="W230" s="1">
        <v>45625</v>
      </c>
      <c r="X230" t="s">
        <v>77</v>
      </c>
      <c r="Y230" t="s">
        <v>78</v>
      </c>
      <c r="Z230" t="s">
        <v>6</v>
      </c>
      <c r="AA230" t="s">
        <v>78</v>
      </c>
      <c r="AB230" s="4">
        <f>L230/0.08</f>
        <v>202787.5</v>
      </c>
      <c r="AC230" s="6">
        <v>0.1</v>
      </c>
      <c r="AD230" s="4">
        <f>AB230*AC230</f>
        <v>20278.75</v>
      </c>
      <c r="AE230" s="4">
        <f t="shared" si="8"/>
        <v>4055.75</v>
      </c>
    </row>
    <row r="231" spans="1:31" x14ac:dyDescent="0.25">
      <c r="A231" t="s">
        <v>0</v>
      </c>
      <c r="B231" s="3" t="s">
        <v>2219</v>
      </c>
      <c r="C231" t="s">
        <v>654</v>
      </c>
      <c r="D231" t="s">
        <v>69</v>
      </c>
      <c r="E231" t="s">
        <v>149</v>
      </c>
      <c r="F231" s="1">
        <v>45747</v>
      </c>
      <c r="G231" s="1">
        <v>45749</v>
      </c>
      <c r="H231" t="s">
        <v>128</v>
      </c>
      <c r="I231" t="s">
        <v>5</v>
      </c>
      <c r="J231" t="s">
        <v>6</v>
      </c>
      <c r="K231" t="s">
        <v>4</v>
      </c>
      <c r="L231" t="s">
        <v>659</v>
      </c>
      <c r="M231" t="s">
        <v>659</v>
      </c>
      <c r="N231" s="2">
        <v>36049</v>
      </c>
      <c r="O231" t="s">
        <v>656</v>
      </c>
      <c r="P231" t="s">
        <v>9</v>
      </c>
      <c r="Q231" t="s">
        <v>86</v>
      </c>
      <c r="R231" t="e">
        <f>VLOOKUP(Q231,#REF!,2,FALSE)</f>
        <v>#REF!</v>
      </c>
      <c r="S231">
        <v>1004</v>
      </c>
      <c r="T231" t="s">
        <v>2225</v>
      </c>
      <c r="U231" t="s">
        <v>657</v>
      </c>
      <c r="V231" s="1">
        <v>45625</v>
      </c>
      <c r="W231" s="1">
        <v>45625</v>
      </c>
      <c r="X231" t="s">
        <v>77</v>
      </c>
      <c r="Y231" t="s">
        <v>78</v>
      </c>
      <c r="Z231" t="s">
        <v>6</v>
      </c>
      <c r="AA231" t="s">
        <v>78</v>
      </c>
      <c r="AB231" s="4">
        <f>L231/0.03</f>
        <v>1201633.3333333335</v>
      </c>
      <c r="AC231" s="6">
        <v>0.04</v>
      </c>
      <c r="AD231" s="4">
        <f>AB231*AC231</f>
        <v>48065.333333333343</v>
      </c>
      <c r="AE231" s="4">
        <f t="shared" si="8"/>
        <v>12016.333333333343</v>
      </c>
    </row>
    <row r="232" spans="1:31" x14ac:dyDescent="0.25">
      <c r="A232" t="s">
        <v>0</v>
      </c>
      <c r="B232" s="3" t="s">
        <v>2219</v>
      </c>
      <c r="C232" t="s">
        <v>660</v>
      </c>
      <c r="D232" t="s">
        <v>69</v>
      </c>
      <c r="E232" t="s">
        <v>92</v>
      </c>
      <c r="F232" s="1">
        <v>45714</v>
      </c>
      <c r="G232" s="1">
        <v>45714</v>
      </c>
      <c r="H232" t="s">
        <v>482</v>
      </c>
      <c r="I232" t="s">
        <v>5</v>
      </c>
      <c r="J232" t="s">
        <v>6</v>
      </c>
      <c r="K232" t="s">
        <v>4</v>
      </c>
      <c r="L232" t="s">
        <v>661</v>
      </c>
      <c r="M232" t="s">
        <v>661</v>
      </c>
      <c r="N232" s="2">
        <v>1940558</v>
      </c>
      <c r="O232" t="s">
        <v>662</v>
      </c>
      <c r="P232" t="s">
        <v>9</v>
      </c>
      <c r="Q232" t="s">
        <v>75</v>
      </c>
      <c r="R232" t="e">
        <f>VLOOKUP(Q232,#REF!,2,FALSE)</f>
        <v>#REF!</v>
      </c>
      <c r="S232">
        <v>1511</v>
      </c>
      <c r="T232" t="s">
        <v>2224</v>
      </c>
      <c r="U232" t="s">
        <v>663</v>
      </c>
      <c r="V232" s="1">
        <v>45626</v>
      </c>
      <c r="W232" s="1">
        <v>45626</v>
      </c>
      <c r="X232" t="s">
        <v>77</v>
      </c>
      <c r="Y232" t="s">
        <v>78</v>
      </c>
      <c r="Z232" t="s">
        <v>6</v>
      </c>
      <c r="AA232" t="s">
        <v>78</v>
      </c>
      <c r="AB232" s="4">
        <f>L232/0.1</f>
        <v>19405580</v>
      </c>
      <c r="AC232" s="5" t="s">
        <v>2215</v>
      </c>
      <c r="AD232" s="4">
        <f>AB232/12</f>
        <v>1617131.6666666667</v>
      </c>
      <c r="AE232" s="4">
        <f t="shared" si="8"/>
        <v>-323426.33333333326</v>
      </c>
    </row>
    <row r="233" spans="1:31" x14ac:dyDescent="0.25">
      <c r="A233" t="s">
        <v>0</v>
      </c>
      <c r="B233" s="3" t="s">
        <v>2219</v>
      </c>
      <c r="C233" t="s">
        <v>660</v>
      </c>
      <c r="D233" t="s">
        <v>69</v>
      </c>
      <c r="E233" t="s">
        <v>94</v>
      </c>
      <c r="F233" s="1">
        <v>45747</v>
      </c>
      <c r="G233" s="1">
        <v>45749</v>
      </c>
      <c r="H233" t="s">
        <v>80</v>
      </c>
      <c r="I233" t="s">
        <v>5</v>
      </c>
      <c r="J233" t="s">
        <v>6</v>
      </c>
      <c r="K233" t="s">
        <v>4</v>
      </c>
      <c r="L233" t="s">
        <v>486</v>
      </c>
      <c r="M233" t="s">
        <v>486</v>
      </c>
      <c r="N233" s="2">
        <v>12149</v>
      </c>
      <c r="O233" t="s">
        <v>662</v>
      </c>
      <c r="P233" t="s">
        <v>9</v>
      </c>
      <c r="Q233" t="s">
        <v>82</v>
      </c>
      <c r="R233" t="e">
        <f>VLOOKUP(Q233,#REF!,2,FALSE)</f>
        <v>#REF!</v>
      </c>
      <c r="S233">
        <v>1511</v>
      </c>
      <c r="T233" t="s">
        <v>2224</v>
      </c>
      <c r="U233" t="s">
        <v>663</v>
      </c>
      <c r="V233" s="1">
        <v>45626</v>
      </c>
      <c r="W233" s="1">
        <v>45626</v>
      </c>
      <c r="X233" t="s">
        <v>77</v>
      </c>
      <c r="Y233" t="s">
        <v>78</v>
      </c>
      <c r="Z233" t="s">
        <v>6</v>
      </c>
      <c r="AA233" t="s">
        <v>78</v>
      </c>
      <c r="AB233" s="4">
        <f>L233/0.08</f>
        <v>151862.5</v>
      </c>
      <c r="AC233" s="6">
        <v>0.1</v>
      </c>
      <c r="AD233" s="4">
        <f>AB233*AC233</f>
        <v>15186.25</v>
      </c>
      <c r="AE233" s="4">
        <f t="shared" si="8"/>
        <v>3037.25</v>
      </c>
    </row>
    <row r="234" spans="1:31" x14ac:dyDescent="0.25">
      <c r="A234" t="s">
        <v>0</v>
      </c>
      <c r="B234" s="3" t="s">
        <v>2219</v>
      </c>
      <c r="C234" t="s">
        <v>660</v>
      </c>
      <c r="D234" t="s">
        <v>69</v>
      </c>
      <c r="E234" t="s">
        <v>194</v>
      </c>
      <c r="F234" s="1">
        <v>45747</v>
      </c>
      <c r="G234" s="1">
        <v>45749</v>
      </c>
      <c r="H234" t="s">
        <v>128</v>
      </c>
      <c r="I234" t="s">
        <v>5</v>
      </c>
      <c r="J234" t="s">
        <v>6</v>
      </c>
      <c r="K234" t="s">
        <v>4</v>
      </c>
      <c r="L234" t="s">
        <v>664</v>
      </c>
      <c r="M234" t="s">
        <v>664</v>
      </c>
      <c r="N234" s="2">
        <v>78107</v>
      </c>
      <c r="O234" t="s">
        <v>662</v>
      </c>
      <c r="P234" t="s">
        <v>9</v>
      </c>
      <c r="Q234" t="s">
        <v>86</v>
      </c>
      <c r="R234" t="e">
        <f>VLOOKUP(Q234,#REF!,2,FALSE)</f>
        <v>#REF!</v>
      </c>
      <c r="S234">
        <v>1511</v>
      </c>
      <c r="T234" t="s">
        <v>2224</v>
      </c>
      <c r="U234" t="s">
        <v>663</v>
      </c>
      <c r="V234" s="1">
        <v>45626</v>
      </c>
      <c r="W234" s="1">
        <v>45626</v>
      </c>
      <c r="X234" t="s">
        <v>77</v>
      </c>
      <c r="Y234" t="s">
        <v>78</v>
      </c>
      <c r="Z234" t="s">
        <v>6</v>
      </c>
      <c r="AA234" t="s">
        <v>78</v>
      </c>
      <c r="AB234" s="4">
        <f>L234/0.03</f>
        <v>2603566.666666667</v>
      </c>
      <c r="AC234" s="6">
        <v>0.04</v>
      </c>
      <c r="AD234" s="4">
        <f>AB234*AC234</f>
        <v>104142.66666666669</v>
      </c>
      <c r="AE234" s="4">
        <f t="shared" si="8"/>
        <v>26035.666666666686</v>
      </c>
    </row>
    <row r="235" spans="1:31" x14ac:dyDescent="0.25">
      <c r="A235" t="s">
        <v>0</v>
      </c>
      <c r="B235" s="3" t="s">
        <v>2219</v>
      </c>
      <c r="C235" t="s">
        <v>665</v>
      </c>
      <c r="D235" t="s">
        <v>69</v>
      </c>
      <c r="E235" t="s">
        <v>666</v>
      </c>
      <c r="F235" s="1">
        <v>45699</v>
      </c>
      <c r="G235" s="1">
        <v>45699</v>
      </c>
      <c r="H235" t="s">
        <v>332</v>
      </c>
      <c r="I235" t="s">
        <v>5</v>
      </c>
      <c r="J235" t="s">
        <v>6</v>
      </c>
      <c r="K235" t="s">
        <v>4</v>
      </c>
      <c r="L235" t="s">
        <v>667</v>
      </c>
      <c r="M235" t="s">
        <v>667</v>
      </c>
      <c r="N235" s="2">
        <v>1938489</v>
      </c>
      <c r="O235" t="s">
        <v>668</v>
      </c>
      <c r="P235" t="s">
        <v>9</v>
      </c>
      <c r="Q235" t="s">
        <v>75</v>
      </c>
      <c r="R235" t="e">
        <f>VLOOKUP(Q235,#REF!,2,FALSE)</f>
        <v>#REF!</v>
      </c>
      <c r="S235">
        <v>1015</v>
      </c>
      <c r="T235" t="s">
        <v>2226</v>
      </c>
      <c r="U235" t="s">
        <v>669</v>
      </c>
      <c r="V235" s="1">
        <v>45626</v>
      </c>
      <c r="W235" s="1">
        <v>45626</v>
      </c>
      <c r="X235" t="s">
        <v>77</v>
      </c>
      <c r="Y235" t="s">
        <v>78</v>
      </c>
      <c r="Z235" t="s">
        <v>6</v>
      </c>
      <c r="AA235" t="s">
        <v>78</v>
      </c>
      <c r="AB235" s="4">
        <f>L235/0.1</f>
        <v>19384890</v>
      </c>
      <c r="AC235" s="5" t="s">
        <v>2215</v>
      </c>
      <c r="AD235" s="4">
        <f>AB235/12</f>
        <v>1615407.5</v>
      </c>
      <c r="AE235" s="4">
        <f t="shared" si="8"/>
        <v>-323081.5</v>
      </c>
    </row>
    <row r="236" spans="1:31" x14ac:dyDescent="0.25">
      <c r="A236" t="s">
        <v>0</v>
      </c>
      <c r="B236" s="3" t="s">
        <v>2219</v>
      </c>
      <c r="C236" t="s">
        <v>665</v>
      </c>
      <c r="D236" t="s">
        <v>69</v>
      </c>
      <c r="E236" t="s">
        <v>670</v>
      </c>
      <c r="F236" s="1">
        <v>45723</v>
      </c>
      <c r="G236" s="1">
        <v>45724</v>
      </c>
      <c r="H236" t="s">
        <v>337</v>
      </c>
      <c r="I236" t="s">
        <v>5</v>
      </c>
      <c r="J236" t="s">
        <v>6</v>
      </c>
      <c r="K236" t="s">
        <v>4</v>
      </c>
      <c r="L236" t="s">
        <v>547</v>
      </c>
      <c r="M236" t="s">
        <v>547</v>
      </c>
      <c r="N236" s="2">
        <v>12947</v>
      </c>
      <c r="O236" t="s">
        <v>668</v>
      </c>
      <c r="P236" t="s">
        <v>9</v>
      </c>
      <c r="Q236" t="s">
        <v>82</v>
      </c>
      <c r="R236" t="e">
        <f>VLOOKUP(Q236,#REF!,2,FALSE)</f>
        <v>#REF!</v>
      </c>
      <c r="S236">
        <v>1015</v>
      </c>
      <c r="T236" t="s">
        <v>2226</v>
      </c>
      <c r="U236" t="s">
        <v>669</v>
      </c>
      <c r="V236" s="1">
        <v>45626</v>
      </c>
      <c r="W236" s="1">
        <v>45626</v>
      </c>
      <c r="X236" t="s">
        <v>77</v>
      </c>
      <c r="Y236" t="s">
        <v>78</v>
      </c>
      <c r="Z236" t="s">
        <v>6</v>
      </c>
      <c r="AA236" t="s">
        <v>78</v>
      </c>
      <c r="AB236" s="4">
        <f>L236/0.08</f>
        <v>161837.5</v>
      </c>
      <c r="AC236" s="6">
        <v>0.1</v>
      </c>
      <c r="AD236" s="4">
        <f>AB236*AC236</f>
        <v>16183.75</v>
      </c>
      <c r="AE236" s="4">
        <f t="shared" si="8"/>
        <v>3236.75</v>
      </c>
    </row>
    <row r="237" spans="1:31" x14ac:dyDescent="0.25">
      <c r="A237" t="s">
        <v>0</v>
      </c>
      <c r="B237" s="3" t="s">
        <v>2219</v>
      </c>
      <c r="C237" t="s">
        <v>665</v>
      </c>
      <c r="D237" t="s">
        <v>69</v>
      </c>
      <c r="E237" t="s">
        <v>671</v>
      </c>
      <c r="F237" s="1">
        <v>45723</v>
      </c>
      <c r="G237" s="1">
        <v>45724</v>
      </c>
      <c r="H237" t="s">
        <v>337</v>
      </c>
      <c r="I237" t="s">
        <v>5</v>
      </c>
      <c r="J237" t="s">
        <v>6</v>
      </c>
      <c r="K237" t="s">
        <v>4</v>
      </c>
      <c r="L237" t="s">
        <v>672</v>
      </c>
      <c r="M237" t="s">
        <v>672</v>
      </c>
      <c r="N237" s="2">
        <v>78058</v>
      </c>
      <c r="O237" t="s">
        <v>668</v>
      </c>
      <c r="P237" t="s">
        <v>9</v>
      </c>
      <c r="Q237" t="s">
        <v>86</v>
      </c>
      <c r="R237" t="e">
        <f>VLOOKUP(Q237,#REF!,2,FALSE)</f>
        <v>#REF!</v>
      </c>
      <c r="S237">
        <v>1015</v>
      </c>
      <c r="T237" t="s">
        <v>2226</v>
      </c>
      <c r="U237" t="s">
        <v>669</v>
      </c>
      <c r="V237" s="1">
        <v>45626</v>
      </c>
      <c r="W237" s="1">
        <v>45626</v>
      </c>
      <c r="X237" t="s">
        <v>77</v>
      </c>
      <c r="Y237" t="s">
        <v>78</v>
      </c>
      <c r="Z237" t="s">
        <v>6</v>
      </c>
      <c r="AA237" t="s">
        <v>78</v>
      </c>
      <c r="AB237" s="4">
        <f>L237/0.03</f>
        <v>2601933.3333333335</v>
      </c>
      <c r="AC237" s="6">
        <v>0.04</v>
      </c>
      <c r="AD237" s="4">
        <f>AB237*AC237</f>
        <v>104077.33333333334</v>
      </c>
      <c r="AE237" s="4">
        <f t="shared" si="8"/>
        <v>26019.333333333343</v>
      </c>
    </row>
    <row r="238" spans="1:31" x14ac:dyDescent="0.25">
      <c r="A238" t="s">
        <v>0</v>
      </c>
      <c r="B238" s="3" t="s">
        <v>2219</v>
      </c>
      <c r="C238" t="s">
        <v>673</v>
      </c>
      <c r="D238" t="s">
        <v>69</v>
      </c>
      <c r="E238" t="s">
        <v>43</v>
      </c>
      <c r="F238" s="1">
        <v>45714</v>
      </c>
      <c r="G238" s="1">
        <v>45714</v>
      </c>
      <c r="H238" t="s">
        <v>674</v>
      </c>
      <c r="I238" t="s">
        <v>5</v>
      </c>
      <c r="J238" t="s">
        <v>6</v>
      </c>
      <c r="K238" t="s">
        <v>4</v>
      </c>
      <c r="L238" t="s">
        <v>675</v>
      </c>
      <c r="M238" t="s">
        <v>675</v>
      </c>
      <c r="N238" s="2">
        <v>265963</v>
      </c>
      <c r="O238" t="s">
        <v>676</v>
      </c>
      <c r="P238" t="s">
        <v>9</v>
      </c>
      <c r="Q238" t="s">
        <v>75</v>
      </c>
      <c r="R238" t="e">
        <f>VLOOKUP(Q238,#REF!,2,FALSE)</f>
        <v>#REF!</v>
      </c>
      <c r="S238">
        <v>1408</v>
      </c>
      <c r="T238" t="s">
        <v>2223</v>
      </c>
      <c r="U238" t="s">
        <v>677</v>
      </c>
      <c r="V238" s="1">
        <v>45626</v>
      </c>
      <c r="W238" s="1">
        <v>45626</v>
      </c>
      <c r="X238" t="s">
        <v>68</v>
      </c>
      <c r="Y238" t="s">
        <v>78</v>
      </c>
      <c r="Z238" t="s">
        <v>6</v>
      </c>
      <c r="AA238" t="s">
        <v>78</v>
      </c>
      <c r="AB238" s="4">
        <f>L238/0.1</f>
        <v>2659630</v>
      </c>
      <c r="AC238" s="5" t="s">
        <v>2215</v>
      </c>
      <c r="AD238" s="4">
        <f>AB238/12</f>
        <v>221635.83333333334</v>
      </c>
      <c r="AE238" s="4">
        <f t="shared" si="8"/>
        <v>-44327.166666666657</v>
      </c>
    </row>
    <row r="239" spans="1:31" x14ac:dyDescent="0.25">
      <c r="A239" t="s">
        <v>0</v>
      </c>
      <c r="B239" s="3" t="s">
        <v>2219</v>
      </c>
      <c r="C239" t="s">
        <v>673</v>
      </c>
      <c r="D239" t="s">
        <v>69</v>
      </c>
      <c r="E239" t="s">
        <v>104</v>
      </c>
      <c r="F239" s="1">
        <v>45723</v>
      </c>
      <c r="G239" s="1">
        <v>45738</v>
      </c>
      <c r="H239" t="s">
        <v>678</v>
      </c>
      <c r="I239" t="s">
        <v>5</v>
      </c>
      <c r="J239" t="s">
        <v>6</v>
      </c>
      <c r="K239" t="s">
        <v>4</v>
      </c>
      <c r="L239" t="s">
        <v>679</v>
      </c>
      <c r="M239" t="s">
        <v>679</v>
      </c>
      <c r="N239" s="2">
        <v>10635</v>
      </c>
      <c r="O239" t="s">
        <v>676</v>
      </c>
      <c r="P239" t="s">
        <v>9</v>
      </c>
      <c r="Q239" t="s">
        <v>86</v>
      </c>
      <c r="R239" t="e">
        <f>VLOOKUP(Q239,#REF!,2,FALSE)</f>
        <v>#REF!</v>
      </c>
      <c r="S239">
        <v>1408</v>
      </c>
      <c r="T239" t="s">
        <v>2223</v>
      </c>
      <c r="U239" t="s">
        <v>677</v>
      </c>
      <c r="V239" s="1">
        <v>45626</v>
      </c>
      <c r="W239" s="1">
        <v>45626</v>
      </c>
      <c r="X239" t="s">
        <v>68</v>
      </c>
      <c r="Y239" t="s">
        <v>78</v>
      </c>
      <c r="Z239" t="s">
        <v>6</v>
      </c>
      <c r="AA239" t="s">
        <v>78</v>
      </c>
      <c r="AB239" s="4">
        <f>L239/0.03</f>
        <v>354500</v>
      </c>
      <c r="AC239" s="6">
        <v>0.04</v>
      </c>
      <c r="AD239" s="4">
        <f>AB239*AC239</f>
        <v>14180</v>
      </c>
      <c r="AE239" s="4">
        <f t="shared" si="8"/>
        <v>3545</v>
      </c>
    </row>
    <row r="240" spans="1:31" x14ac:dyDescent="0.25">
      <c r="A240" t="s">
        <v>0</v>
      </c>
      <c r="B240" s="3" t="s">
        <v>2219</v>
      </c>
      <c r="C240" t="s">
        <v>680</v>
      </c>
      <c r="D240" t="s">
        <v>69</v>
      </c>
      <c r="E240" t="s">
        <v>104</v>
      </c>
      <c r="F240" s="1">
        <v>45631</v>
      </c>
      <c r="G240" s="1">
        <v>45631</v>
      </c>
      <c r="H240" t="s">
        <v>681</v>
      </c>
      <c r="I240" t="s">
        <v>5</v>
      </c>
      <c r="J240" t="s">
        <v>6</v>
      </c>
      <c r="K240" t="s">
        <v>4</v>
      </c>
      <c r="L240" t="s">
        <v>682</v>
      </c>
      <c r="M240" t="s">
        <v>682</v>
      </c>
      <c r="N240" s="2">
        <v>244002</v>
      </c>
      <c r="O240" t="s">
        <v>683</v>
      </c>
      <c r="P240" t="s">
        <v>9</v>
      </c>
      <c r="Q240" t="s">
        <v>75</v>
      </c>
      <c r="R240" t="e">
        <f>VLOOKUP(Q240,#REF!,2,FALSE)</f>
        <v>#REF!</v>
      </c>
      <c r="S240">
        <v>1511</v>
      </c>
      <c r="T240" t="s">
        <v>2224</v>
      </c>
      <c r="U240" t="s">
        <v>684</v>
      </c>
      <c r="V240" s="1">
        <v>45626</v>
      </c>
      <c r="W240" s="1">
        <v>45626</v>
      </c>
      <c r="X240" t="s">
        <v>77</v>
      </c>
      <c r="Y240" t="s">
        <v>389</v>
      </c>
      <c r="Z240" t="s">
        <v>6</v>
      </c>
      <c r="AA240" t="s">
        <v>389</v>
      </c>
      <c r="AB240" s="4">
        <f>L240/0.1</f>
        <v>2440020</v>
      </c>
      <c r="AC240" s="5" t="s">
        <v>2215</v>
      </c>
      <c r="AD240" s="4">
        <f>AB240/12</f>
        <v>203335</v>
      </c>
      <c r="AE240" s="4">
        <f t="shared" si="8"/>
        <v>-40667</v>
      </c>
    </row>
    <row r="241" spans="1:31" x14ac:dyDescent="0.25">
      <c r="A241" t="s">
        <v>0</v>
      </c>
      <c r="B241" s="3" t="s">
        <v>2219</v>
      </c>
      <c r="C241" t="s">
        <v>680</v>
      </c>
      <c r="D241" t="s">
        <v>69</v>
      </c>
      <c r="E241" t="s">
        <v>109</v>
      </c>
      <c r="F241" s="1">
        <v>45631</v>
      </c>
      <c r="G241" s="1">
        <v>45631</v>
      </c>
      <c r="H241" t="s">
        <v>681</v>
      </c>
      <c r="I241" t="s">
        <v>5</v>
      </c>
      <c r="J241" t="s">
        <v>6</v>
      </c>
      <c r="K241" t="s">
        <v>4</v>
      </c>
      <c r="L241" t="s">
        <v>685</v>
      </c>
      <c r="M241" t="s">
        <v>685</v>
      </c>
      <c r="N241" s="2">
        <v>9761</v>
      </c>
      <c r="O241" t="s">
        <v>683</v>
      </c>
      <c r="P241" t="s">
        <v>9</v>
      </c>
      <c r="Q241" t="s">
        <v>86</v>
      </c>
      <c r="R241" t="e">
        <f>VLOOKUP(Q241,#REF!,2,FALSE)</f>
        <v>#REF!</v>
      </c>
      <c r="S241">
        <v>1511</v>
      </c>
      <c r="T241" t="s">
        <v>2224</v>
      </c>
      <c r="U241" t="s">
        <v>684</v>
      </c>
      <c r="V241" s="1">
        <v>45626</v>
      </c>
      <c r="W241" s="1">
        <v>45626</v>
      </c>
      <c r="X241" t="s">
        <v>77</v>
      </c>
      <c r="Y241" t="s">
        <v>389</v>
      </c>
      <c r="Z241" t="s">
        <v>6</v>
      </c>
      <c r="AA241" t="s">
        <v>389</v>
      </c>
      <c r="AB241" s="4">
        <f>L241/0.03</f>
        <v>325366.66666666669</v>
      </c>
      <c r="AC241" s="6">
        <v>0.04</v>
      </c>
      <c r="AD241" s="4">
        <f>AB241*AC241</f>
        <v>13014.666666666668</v>
      </c>
      <c r="AE241" s="4">
        <f t="shared" si="8"/>
        <v>3253.6666666666679</v>
      </c>
    </row>
    <row r="242" spans="1:31" x14ac:dyDescent="0.25">
      <c r="A242" t="s">
        <v>0</v>
      </c>
      <c r="B242" s="3" t="s">
        <v>2219</v>
      </c>
      <c r="C242" t="s">
        <v>686</v>
      </c>
      <c r="D242" t="s">
        <v>69</v>
      </c>
      <c r="E242" t="s">
        <v>71</v>
      </c>
      <c r="F242" s="1">
        <v>45714</v>
      </c>
      <c r="G242" s="1">
        <v>45714</v>
      </c>
      <c r="H242" t="s">
        <v>475</v>
      </c>
      <c r="I242" t="s">
        <v>5</v>
      </c>
      <c r="J242" t="s">
        <v>6</v>
      </c>
      <c r="K242" t="s">
        <v>4</v>
      </c>
      <c r="L242" t="s">
        <v>687</v>
      </c>
      <c r="M242" t="s">
        <v>687</v>
      </c>
      <c r="N242" s="2">
        <v>2166307</v>
      </c>
      <c r="O242" t="s">
        <v>688</v>
      </c>
      <c r="P242" t="s">
        <v>9</v>
      </c>
      <c r="Q242" t="s">
        <v>75</v>
      </c>
      <c r="R242" t="e">
        <f>VLOOKUP(Q242,#REF!,2,FALSE)</f>
        <v>#REF!</v>
      </c>
      <c r="S242">
        <v>1511</v>
      </c>
      <c r="T242" t="s">
        <v>2224</v>
      </c>
      <c r="U242" t="s">
        <v>689</v>
      </c>
      <c r="V242" s="1">
        <v>45657</v>
      </c>
      <c r="W242" s="1">
        <v>45657</v>
      </c>
      <c r="X242" t="s">
        <v>77</v>
      </c>
      <c r="Y242" t="s">
        <v>78</v>
      </c>
      <c r="Z242" t="s">
        <v>6</v>
      </c>
      <c r="AA242" t="s">
        <v>78</v>
      </c>
      <c r="AB242" s="4">
        <f>L242/0.1</f>
        <v>21663070</v>
      </c>
      <c r="AC242" s="5" t="s">
        <v>2215</v>
      </c>
      <c r="AD242" s="4">
        <f>AB242/12</f>
        <v>1805255.8333333333</v>
      </c>
      <c r="AE242" s="4">
        <f t="shared" si="8"/>
        <v>-361051.16666666674</v>
      </c>
    </row>
    <row r="243" spans="1:31" x14ac:dyDescent="0.25">
      <c r="A243" t="s">
        <v>0</v>
      </c>
      <c r="B243" s="3" t="s">
        <v>2219</v>
      </c>
      <c r="C243" t="s">
        <v>686</v>
      </c>
      <c r="D243" t="s">
        <v>69</v>
      </c>
      <c r="E243" t="s">
        <v>79</v>
      </c>
      <c r="F243" s="1">
        <v>45747</v>
      </c>
      <c r="G243" s="1">
        <v>45749</v>
      </c>
      <c r="H243" t="s">
        <v>80</v>
      </c>
      <c r="I243" t="s">
        <v>5</v>
      </c>
      <c r="J243" t="s">
        <v>6</v>
      </c>
      <c r="K243" t="s">
        <v>4</v>
      </c>
      <c r="L243" t="s">
        <v>690</v>
      </c>
      <c r="M243" t="s">
        <v>690</v>
      </c>
      <c r="N243" s="2">
        <v>10234</v>
      </c>
      <c r="O243" t="s">
        <v>688</v>
      </c>
      <c r="P243" t="s">
        <v>9</v>
      </c>
      <c r="Q243" t="s">
        <v>82</v>
      </c>
      <c r="R243" t="e">
        <f>VLOOKUP(Q243,#REF!,2,FALSE)</f>
        <v>#REF!</v>
      </c>
      <c r="S243">
        <v>1511</v>
      </c>
      <c r="T243" t="s">
        <v>2224</v>
      </c>
      <c r="U243" t="s">
        <v>689</v>
      </c>
      <c r="V243" s="1">
        <v>45657</v>
      </c>
      <c r="W243" s="1">
        <v>45657</v>
      </c>
      <c r="X243" t="s">
        <v>77</v>
      </c>
      <c r="Y243" t="s">
        <v>78</v>
      </c>
      <c r="Z243" t="s">
        <v>6</v>
      </c>
      <c r="AA243" t="s">
        <v>78</v>
      </c>
      <c r="AB243" s="4">
        <f>L243/0.08</f>
        <v>127925</v>
      </c>
      <c r="AC243" s="6">
        <v>0.1</v>
      </c>
      <c r="AD243" s="4">
        <f>AB243*AC243</f>
        <v>12792.5</v>
      </c>
      <c r="AE243" s="4">
        <f t="shared" si="8"/>
        <v>2558.5</v>
      </c>
    </row>
    <row r="244" spans="1:31" x14ac:dyDescent="0.25">
      <c r="A244" t="s">
        <v>0</v>
      </c>
      <c r="B244" s="3" t="s">
        <v>2219</v>
      </c>
      <c r="C244" t="s">
        <v>686</v>
      </c>
      <c r="D244" t="s">
        <v>69</v>
      </c>
      <c r="E244" t="s">
        <v>83</v>
      </c>
      <c r="F244" s="1">
        <v>45747</v>
      </c>
      <c r="G244" s="1">
        <v>45749</v>
      </c>
      <c r="H244" t="s">
        <v>128</v>
      </c>
      <c r="I244" t="s">
        <v>5</v>
      </c>
      <c r="J244" t="s">
        <v>6</v>
      </c>
      <c r="K244" t="s">
        <v>4</v>
      </c>
      <c r="L244" t="s">
        <v>691</v>
      </c>
      <c r="M244" t="s">
        <v>691</v>
      </c>
      <c r="N244" s="2">
        <v>87059</v>
      </c>
      <c r="O244" t="s">
        <v>688</v>
      </c>
      <c r="P244" t="s">
        <v>9</v>
      </c>
      <c r="Q244" t="s">
        <v>86</v>
      </c>
      <c r="R244" t="e">
        <f>VLOOKUP(Q244,#REF!,2,FALSE)</f>
        <v>#REF!</v>
      </c>
      <c r="S244">
        <v>1511</v>
      </c>
      <c r="T244" t="s">
        <v>2224</v>
      </c>
      <c r="U244" t="s">
        <v>689</v>
      </c>
      <c r="V244" s="1">
        <v>45657</v>
      </c>
      <c r="W244" s="1">
        <v>45657</v>
      </c>
      <c r="X244" t="s">
        <v>77</v>
      </c>
      <c r="Y244" t="s">
        <v>78</v>
      </c>
      <c r="Z244" t="s">
        <v>6</v>
      </c>
      <c r="AA244" t="s">
        <v>78</v>
      </c>
      <c r="AB244" s="4">
        <f>L244/0.03</f>
        <v>2901966.666666667</v>
      </c>
      <c r="AC244" s="6">
        <v>0.04</v>
      </c>
      <c r="AD244" s="4">
        <f>AB244*AC244</f>
        <v>116078.66666666669</v>
      </c>
      <c r="AE244" s="4">
        <f t="shared" si="8"/>
        <v>29019.666666666686</v>
      </c>
    </row>
    <row r="245" spans="1:31" x14ac:dyDescent="0.25">
      <c r="A245" t="s">
        <v>0</v>
      </c>
      <c r="B245" s="3" t="s">
        <v>2219</v>
      </c>
      <c r="C245" t="s">
        <v>692</v>
      </c>
      <c r="D245" t="s">
        <v>69</v>
      </c>
      <c r="E245" t="s">
        <v>43</v>
      </c>
      <c r="F245" s="1">
        <v>45663</v>
      </c>
      <c r="G245" s="1">
        <v>45665</v>
      </c>
      <c r="H245" t="s">
        <v>693</v>
      </c>
      <c r="I245" t="s">
        <v>5</v>
      </c>
      <c r="J245" t="s">
        <v>6</v>
      </c>
      <c r="K245" t="s">
        <v>4</v>
      </c>
      <c r="L245" t="s">
        <v>694</v>
      </c>
      <c r="M245" t="s">
        <v>694</v>
      </c>
      <c r="N245" s="2">
        <v>265814</v>
      </c>
      <c r="O245" t="s">
        <v>695</v>
      </c>
      <c r="P245" t="s">
        <v>9</v>
      </c>
      <c r="Q245" t="s">
        <v>75</v>
      </c>
      <c r="R245" t="e">
        <f>VLOOKUP(Q245,#REF!,2,FALSE)</f>
        <v>#REF!</v>
      </c>
      <c r="S245">
        <v>1511</v>
      </c>
      <c r="T245" t="s">
        <v>2224</v>
      </c>
      <c r="U245" t="s">
        <v>696</v>
      </c>
      <c r="V245" s="1">
        <v>45657</v>
      </c>
      <c r="W245" s="1">
        <v>45657</v>
      </c>
      <c r="X245" t="s">
        <v>77</v>
      </c>
      <c r="Y245" t="s">
        <v>78</v>
      </c>
      <c r="Z245" t="s">
        <v>6</v>
      </c>
      <c r="AA245" t="s">
        <v>78</v>
      </c>
      <c r="AB245" s="4">
        <f>L245/0.1</f>
        <v>2658140</v>
      </c>
      <c r="AC245" s="5" t="s">
        <v>2215</v>
      </c>
      <c r="AD245" s="4">
        <f>AB245/12</f>
        <v>221511.66666666666</v>
      </c>
      <c r="AE245" s="4">
        <f t="shared" si="8"/>
        <v>-44302.333333333343</v>
      </c>
    </row>
    <row r="246" spans="1:31" x14ac:dyDescent="0.25">
      <c r="A246" t="s">
        <v>0</v>
      </c>
      <c r="B246" s="3" t="s">
        <v>2219</v>
      </c>
      <c r="C246" t="s">
        <v>692</v>
      </c>
      <c r="D246" t="s">
        <v>69</v>
      </c>
      <c r="E246" t="s">
        <v>104</v>
      </c>
      <c r="F246" s="1">
        <v>45663</v>
      </c>
      <c r="G246" s="1">
        <v>45665</v>
      </c>
      <c r="H246" t="s">
        <v>693</v>
      </c>
      <c r="I246" t="s">
        <v>5</v>
      </c>
      <c r="J246" t="s">
        <v>6</v>
      </c>
      <c r="K246" t="s">
        <v>4</v>
      </c>
      <c r="L246" t="s">
        <v>697</v>
      </c>
      <c r="M246" t="s">
        <v>697</v>
      </c>
      <c r="N246" s="2">
        <v>10631</v>
      </c>
      <c r="O246" t="s">
        <v>695</v>
      </c>
      <c r="P246" t="s">
        <v>9</v>
      </c>
      <c r="Q246" t="s">
        <v>86</v>
      </c>
      <c r="R246" t="e">
        <f>VLOOKUP(Q246,#REF!,2,FALSE)</f>
        <v>#REF!</v>
      </c>
      <c r="S246">
        <v>1511</v>
      </c>
      <c r="T246" t="s">
        <v>2224</v>
      </c>
      <c r="U246" t="s">
        <v>696</v>
      </c>
      <c r="V246" s="1">
        <v>45657</v>
      </c>
      <c r="W246" s="1">
        <v>45657</v>
      </c>
      <c r="X246" t="s">
        <v>77</v>
      </c>
      <c r="Y246" t="s">
        <v>78</v>
      </c>
      <c r="Z246" t="s">
        <v>6</v>
      </c>
      <c r="AA246" t="s">
        <v>78</v>
      </c>
      <c r="AB246" s="4">
        <f>L246/0.03</f>
        <v>354366.66666666669</v>
      </c>
      <c r="AC246" s="6">
        <v>0.04</v>
      </c>
      <c r="AD246" s="4">
        <f>AB246*AC246</f>
        <v>14174.666666666668</v>
      </c>
      <c r="AE246" s="4">
        <f t="shared" si="8"/>
        <v>3543.6666666666679</v>
      </c>
    </row>
    <row r="247" spans="1:31" x14ac:dyDescent="0.25">
      <c r="A247" t="s">
        <v>0</v>
      </c>
      <c r="B247" s="3" t="s">
        <v>2219</v>
      </c>
      <c r="C247" t="s">
        <v>698</v>
      </c>
      <c r="D247" t="s">
        <v>69</v>
      </c>
      <c r="E247" t="s">
        <v>104</v>
      </c>
      <c r="F247" s="1">
        <v>45663</v>
      </c>
      <c r="G247" s="1">
        <v>45665</v>
      </c>
      <c r="H247" t="s">
        <v>699</v>
      </c>
      <c r="I247" t="s">
        <v>5</v>
      </c>
      <c r="J247" t="s">
        <v>6</v>
      </c>
      <c r="K247" t="s">
        <v>4</v>
      </c>
      <c r="L247" t="s">
        <v>700</v>
      </c>
      <c r="M247" t="s">
        <v>700</v>
      </c>
      <c r="N247" s="2">
        <v>295526</v>
      </c>
      <c r="O247" t="s">
        <v>701</v>
      </c>
      <c r="P247" t="s">
        <v>9</v>
      </c>
      <c r="Q247" t="s">
        <v>75</v>
      </c>
      <c r="R247" t="e">
        <f>VLOOKUP(Q247,#REF!,2,FALSE)</f>
        <v>#REF!</v>
      </c>
      <c r="S247">
        <v>1511</v>
      </c>
      <c r="T247" t="s">
        <v>2224</v>
      </c>
      <c r="U247" t="s">
        <v>702</v>
      </c>
      <c r="V247" s="1">
        <v>45657</v>
      </c>
      <c r="W247" s="1">
        <v>45657</v>
      </c>
      <c r="X247" t="s">
        <v>77</v>
      </c>
      <c r="Y247" t="s">
        <v>389</v>
      </c>
      <c r="Z247" t="s">
        <v>6</v>
      </c>
      <c r="AA247" t="s">
        <v>389</v>
      </c>
      <c r="AB247" s="4">
        <f>L247/0.1</f>
        <v>2955260</v>
      </c>
      <c r="AC247" s="5" t="s">
        <v>2215</v>
      </c>
      <c r="AD247" s="4">
        <f>AB247/12</f>
        <v>246271.66666666666</v>
      </c>
      <c r="AE247" s="4">
        <f t="shared" si="8"/>
        <v>-49254.333333333343</v>
      </c>
    </row>
    <row r="248" spans="1:31" x14ac:dyDescent="0.25">
      <c r="A248" t="s">
        <v>0</v>
      </c>
      <c r="B248" s="3" t="s">
        <v>2219</v>
      </c>
      <c r="C248" t="s">
        <v>698</v>
      </c>
      <c r="D248" t="s">
        <v>69</v>
      </c>
      <c r="E248" t="s">
        <v>109</v>
      </c>
      <c r="F248" s="1">
        <v>45663</v>
      </c>
      <c r="G248" s="1">
        <v>45665</v>
      </c>
      <c r="H248" t="s">
        <v>699</v>
      </c>
      <c r="I248" t="s">
        <v>5</v>
      </c>
      <c r="J248" t="s">
        <v>6</v>
      </c>
      <c r="K248" t="s">
        <v>4</v>
      </c>
      <c r="L248" t="s">
        <v>703</v>
      </c>
      <c r="M248" t="s">
        <v>703</v>
      </c>
      <c r="N248" s="2">
        <v>11820</v>
      </c>
      <c r="O248" t="s">
        <v>701</v>
      </c>
      <c r="P248" t="s">
        <v>9</v>
      </c>
      <c r="Q248" t="s">
        <v>86</v>
      </c>
      <c r="R248" t="e">
        <f>VLOOKUP(Q248,#REF!,2,FALSE)</f>
        <v>#REF!</v>
      </c>
      <c r="S248">
        <v>1511</v>
      </c>
      <c r="T248" t="s">
        <v>2224</v>
      </c>
      <c r="U248" t="s">
        <v>702</v>
      </c>
      <c r="V248" s="1">
        <v>45657</v>
      </c>
      <c r="W248" s="1">
        <v>45657</v>
      </c>
      <c r="X248" t="s">
        <v>77</v>
      </c>
      <c r="Y248" t="s">
        <v>389</v>
      </c>
      <c r="Z248" t="s">
        <v>6</v>
      </c>
      <c r="AA248" t="s">
        <v>389</v>
      </c>
      <c r="AB248" s="4">
        <f>L248/0.03</f>
        <v>394000</v>
      </c>
      <c r="AC248" s="6">
        <v>0.04</v>
      </c>
      <c r="AD248" s="4">
        <f>AB248*AC248</f>
        <v>15760</v>
      </c>
      <c r="AE248" s="4">
        <f t="shared" si="8"/>
        <v>3940</v>
      </c>
    </row>
    <row r="249" spans="1:31" x14ac:dyDescent="0.25">
      <c r="A249" t="s">
        <v>0</v>
      </c>
      <c r="B249" s="3" t="s">
        <v>2219</v>
      </c>
      <c r="C249" t="s">
        <v>704</v>
      </c>
      <c r="D249" t="s">
        <v>69</v>
      </c>
      <c r="E249" t="s">
        <v>88</v>
      </c>
      <c r="F249" s="1">
        <v>45714</v>
      </c>
      <c r="G249" s="1">
        <v>45714</v>
      </c>
      <c r="H249" t="s">
        <v>153</v>
      </c>
      <c r="I249" t="s">
        <v>5</v>
      </c>
      <c r="J249" t="s">
        <v>6</v>
      </c>
      <c r="K249" t="s">
        <v>4</v>
      </c>
      <c r="L249" t="s">
        <v>705</v>
      </c>
      <c r="M249" t="s">
        <v>705</v>
      </c>
      <c r="N249" s="2">
        <v>286986</v>
      </c>
      <c r="O249" t="s">
        <v>706</v>
      </c>
      <c r="P249" t="s">
        <v>9</v>
      </c>
      <c r="Q249" t="s">
        <v>75</v>
      </c>
      <c r="R249" t="e">
        <f>VLOOKUP(Q249,#REF!,2,FALSE)</f>
        <v>#REF!</v>
      </c>
      <c r="S249">
        <v>1004</v>
      </c>
      <c r="T249" t="s">
        <v>2225</v>
      </c>
      <c r="U249" t="s">
        <v>707</v>
      </c>
      <c r="V249" s="1">
        <v>45657</v>
      </c>
      <c r="W249" s="1">
        <v>45657</v>
      </c>
      <c r="X249" t="s">
        <v>77</v>
      </c>
      <c r="Y249" t="s">
        <v>78</v>
      </c>
      <c r="Z249" t="s">
        <v>6</v>
      </c>
      <c r="AA249" t="s">
        <v>78</v>
      </c>
      <c r="AB249" s="4">
        <f>L249/0.1</f>
        <v>2869860</v>
      </c>
      <c r="AC249" s="5" t="s">
        <v>2215</v>
      </c>
      <c r="AD249" s="4">
        <f>AB249/12</f>
        <v>239155</v>
      </c>
      <c r="AE249" s="4">
        <f t="shared" si="8"/>
        <v>-47831</v>
      </c>
    </row>
    <row r="250" spans="1:31" x14ac:dyDescent="0.25">
      <c r="A250" t="s">
        <v>0</v>
      </c>
      <c r="B250" s="3" t="s">
        <v>2219</v>
      </c>
      <c r="C250" t="s">
        <v>704</v>
      </c>
      <c r="D250" t="s">
        <v>69</v>
      </c>
      <c r="E250" t="s">
        <v>92</v>
      </c>
      <c r="F250" s="1">
        <v>45747</v>
      </c>
      <c r="G250" s="1">
        <v>45749</v>
      </c>
      <c r="H250" t="s">
        <v>128</v>
      </c>
      <c r="I250" t="s">
        <v>5</v>
      </c>
      <c r="J250" t="s">
        <v>6</v>
      </c>
      <c r="K250" t="s">
        <v>4</v>
      </c>
      <c r="L250" t="s">
        <v>708</v>
      </c>
      <c r="M250" t="s">
        <v>708</v>
      </c>
      <c r="N250" s="2">
        <v>11479</v>
      </c>
      <c r="O250" t="s">
        <v>706</v>
      </c>
      <c r="P250" t="s">
        <v>9</v>
      </c>
      <c r="Q250" t="s">
        <v>86</v>
      </c>
      <c r="R250" t="e">
        <f>VLOOKUP(Q250,#REF!,2,FALSE)</f>
        <v>#REF!</v>
      </c>
      <c r="S250">
        <v>1004</v>
      </c>
      <c r="T250" t="s">
        <v>2225</v>
      </c>
      <c r="U250" t="s">
        <v>707</v>
      </c>
      <c r="V250" s="1">
        <v>45657</v>
      </c>
      <c r="W250" s="1">
        <v>45657</v>
      </c>
      <c r="X250" t="s">
        <v>77</v>
      </c>
      <c r="Y250" t="s">
        <v>78</v>
      </c>
      <c r="Z250" t="s">
        <v>6</v>
      </c>
      <c r="AA250" t="s">
        <v>78</v>
      </c>
      <c r="AB250" s="4">
        <f>L250/0.03</f>
        <v>382633.33333333337</v>
      </c>
      <c r="AC250" s="6">
        <v>0.04</v>
      </c>
      <c r="AD250" s="4">
        <f>AB250*AC250</f>
        <v>15305.333333333336</v>
      </c>
      <c r="AE250" s="4">
        <f t="shared" si="8"/>
        <v>3826.3333333333358</v>
      </c>
    </row>
    <row r="251" spans="1:31" x14ac:dyDescent="0.25">
      <c r="A251" t="s">
        <v>0</v>
      </c>
      <c r="B251" s="3" t="s">
        <v>2219</v>
      </c>
      <c r="C251" t="s">
        <v>709</v>
      </c>
      <c r="D251" t="s">
        <v>69</v>
      </c>
      <c r="E251" t="s">
        <v>198</v>
      </c>
      <c r="F251" s="1">
        <v>45714</v>
      </c>
      <c r="G251" s="1">
        <v>45714</v>
      </c>
      <c r="H251" t="s">
        <v>230</v>
      </c>
      <c r="I251" t="s">
        <v>5</v>
      </c>
      <c r="J251" t="s">
        <v>6</v>
      </c>
      <c r="K251" t="s">
        <v>4</v>
      </c>
      <c r="L251" t="s">
        <v>710</v>
      </c>
      <c r="M251" t="s">
        <v>710</v>
      </c>
      <c r="N251" s="2">
        <v>270888</v>
      </c>
      <c r="O251" t="s">
        <v>711</v>
      </c>
      <c r="P251" t="s">
        <v>9</v>
      </c>
      <c r="Q251" t="s">
        <v>75</v>
      </c>
      <c r="R251" t="e">
        <f>VLOOKUP(Q251,#REF!,2,FALSE)</f>
        <v>#REF!</v>
      </c>
      <c r="S251">
        <v>1004</v>
      </c>
      <c r="T251" t="s">
        <v>2225</v>
      </c>
      <c r="U251" t="s">
        <v>712</v>
      </c>
      <c r="V251" s="1">
        <v>45657</v>
      </c>
      <c r="W251" s="1">
        <v>45657</v>
      </c>
      <c r="X251" t="s">
        <v>77</v>
      </c>
      <c r="Y251" t="s">
        <v>78</v>
      </c>
      <c r="Z251" t="s">
        <v>6</v>
      </c>
      <c r="AA251" t="s">
        <v>78</v>
      </c>
      <c r="AB251" s="4">
        <f>L251/0.1</f>
        <v>2708880</v>
      </c>
      <c r="AC251" s="5" t="s">
        <v>2215</v>
      </c>
      <c r="AD251" s="4">
        <f>AB251/12</f>
        <v>225740</v>
      </c>
      <c r="AE251" s="4">
        <f t="shared" si="8"/>
        <v>-45148</v>
      </c>
    </row>
    <row r="252" spans="1:31" x14ac:dyDescent="0.25">
      <c r="A252" t="s">
        <v>0</v>
      </c>
      <c r="B252" s="3" t="s">
        <v>2219</v>
      </c>
      <c r="C252" t="s">
        <v>709</v>
      </c>
      <c r="D252" t="s">
        <v>69</v>
      </c>
      <c r="E252" t="s">
        <v>200</v>
      </c>
      <c r="F252" s="1">
        <v>45747</v>
      </c>
      <c r="G252" s="1">
        <v>45749</v>
      </c>
      <c r="H252" t="s">
        <v>128</v>
      </c>
      <c r="I252" t="s">
        <v>5</v>
      </c>
      <c r="J252" t="s">
        <v>6</v>
      </c>
      <c r="K252" t="s">
        <v>4</v>
      </c>
      <c r="L252" t="s">
        <v>713</v>
      </c>
      <c r="M252" t="s">
        <v>713</v>
      </c>
      <c r="N252" s="2">
        <v>10839</v>
      </c>
      <c r="O252" t="s">
        <v>711</v>
      </c>
      <c r="P252" t="s">
        <v>9</v>
      </c>
      <c r="Q252" t="s">
        <v>86</v>
      </c>
      <c r="R252" t="e">
        <f>VLOOKUP(Q252,#REF!,2,FALSE)</f>
        <v>#REF!</v>
      </c>
      <c r="S252">
        <v>1004</v>
      </c>
      <c r="T252" t="s">
        <v>2225</v>
      </c>
      <c r="U252" t="s">
        <v>712</v>
      </c>
      <c r="V252" s="1">
        <v>45657</v>
      </c>
      <c r="W252" s="1">
        <v>45657</v>
      </c>
      <c r="X252" t="s">
        <v>77</v>
      </c>
      <c r="Y252" t="s">
        <v>78</v>
      </c>
      <c r="Z252" t="s">
        <v>6</v>
      </c>
      <c r="AA252" t="s">
        <v>78</v>
      </c>
      <c r="AB252" s="4">
        <f>L252/0.03</f>
        <v>361300</v>
      </c>
      <c r="AC252" s="6">
        <v>0.04</v>
      </c>
      <c r="AD252" s="4">
        <f>AB252*AC252</f>
        <v>14452</v>
      </c>
      <c r="AE252" s="4">
        <f t="shared" si="8"/>
        <v>3613</v>
      </c>
    </row>
    <row r="253" spans="1:31" x14ac:dyDescent="0.25">
      <c r="A253" t="s">
        <v>0</v>
      </c>
      <c r="B253" s="3" t="s">
        <v>2219</v>
      </c>
      <c r="C253" t="s">
        <v>714</v>
      </c>
      <c r="D253" t="s">
        <v>69</v>
      </c>
      <c r="E253" t="s">
        <v>109</v>
      </c>
      <c r="F253" s="1">
        <v>45714</v>
      </c>
      <c r="G253" s="1">
        <v>45714</v>
      </c>
      <c r="H253" t="s">
        <v>715</v>
      </c>
      <c r="I253" t="s">
        <v>5</v>
      </c>
      <c r="J253" t="s">
        <v>6</v>
      </c>
      <c r="K253" t="s">
        <v>4</v>
      </c>
      <c r="L253" t="s">
        <v>716</v>
      </c>
      <c r="M253" t="s">
        <v>716</v>
      </c>
      <c r="N253" s="2">
        <v>8674899</v>
      </c>
      <c r="O253" t="s">
        <v>717</v>
      </c>
      <c r="P253" t="s">
        <v>9</v>
      </c>
      <c r="Q253" t="s">
        <v>75</v>
      </c>
      <c r="R253" t="e">
        <f>VLOOKUP(Q253,#REF!,2,FALSE)</f>
        <v>#REF!</v>
      </c>
      <c r="S253">
        <v>1004</v>
      </c>
      <c r="T253" t="s">
        <v>2225</v>
      </c>
      <c r="U253" t="s">
        <v>718</v>
      </c>
      <c r="V253" s="1">
        <v>45657</v>
      </c>
      <c r="W253" s="1">
        <v>45657</v>
      </c>
      <c r="X253" t="s">
        <v>77</v>
      </c>
      <c r="Y253" t="s">
        <v>646</v>
      </c>
      <c r="Z253" t="s">
        <v>6</v>
      </c>
      <c r="AA253" t="s">
        <v>646</v>
      </c>
      <c r="AB253" s="4">
        <f>L253/0.1</f>
        <v>86748990</v>
      </c>
      <c r="AC253" s="5" t="s">
        <v>2215</v>
      </c>
      <c r="AD253" s="4">
        <f>AB253/12</f>
        <v>7229082.5</v>
      </c>
      <c r="AE253" s="4">
        <f t="shared" si="8"/>
        <v>-1445816.5</v>
      </c>
    </row>
    <row r="254" spans="1:31" x14ac:dyDescent="0.25">
      <c r="A254" t="s">
        <v>0</v>
      </c>
      <c r="B254" s="3" t="s">
        <v>2219</v>
      </c>
      <c r="C254" t="s">
        <v>714</v>
      </c>
      <c r="D254" t="s">
        <v>69</v>
      </c>
      <c r="E254" t="s">
        <v>203</v>
      </c>
      <c r="F254" s="1">
        <v>45747</v>
      </c>
      <c r="G254" s="1">
        <v>45749</v>
      </c>
      <c r="H254" t="s">
        <v>80</v>
      </c>
      <c r="I254" t="s">
        <v>5</v>
      </c>
      <c r="J254" t="s">
        <v>6</v>
      </c>
      <c r="K254" t="s">
        <v>4</v>
      </c>
      <c r="L254" t="s">
        <v>719</v>
      </c>
      <c r="M254" t="s">
        <v>719</v>
      </c>
      <c r="N254" s="2">
        <v>113905</v>
      </c>
      <c r="O254" t="s">
        <v>717</v>
      </c>
      <c r="P254" t="s">
        <v>9</v>
      </c>
      <c r="Q254" t="s">
        <v>82</v>
      </c>
      <c r="R254" t="e">
        <f>VLOOKUP(Q254,#REF!,2,FALSE)</f>
        <v>#REF!</v>
      </c>
      <c r="S254">
        <v>1004</v>
      </c>
      <c r="T254" t="s">
        <v>2225</v>
      </c>
      <c r="U254" t="s">
        <v>718</v>
      </c>
      <c r="V254" s="1">
        <v>45657</v>
      </c>
      <c r="W254" s="1">
        <v>45657</v>
      </c>
      <c r="X254" t="s">
        <v>77</v>
      </c>
      <c r="Y254" t="s">
        <v>646</v>
      </c>
      <c r="Z254" t="s">
        <v>6</v>
      </c>
      <c r="AA254" t="s">
        <v>646</v>
      </c>
      <c r="AB254" s="4">
        <f>L254/0.08</f>
        <v>1423812.5</v>
      </c>
      <c r="AC254" s="6">
        <v>0.1</v>
      </c>
      <c r="AD254" s="4">
        <f>AB254*AC254</f>
        <v>142381.25</v>
      </c>
      <c r="AE254" s="4">
        <f t="shared" si="8"/>
        <v>28476.25</v>
      </c>
    </row>
    <row r="255" spans="1:31" x14ac:dyDescent="0.25">
      <c r="A255" t="s">
        <v>0</v>
      </c>
      <c r="B255" s="3" t="s">
        <v>2219</v>
      </c>
      <c r="C255" t="s">
        <v>714</v>
      </c>
      <c r="D255" t="s">
        <v>69</v>
      </c>
      <c r="E255" t="s">
        <v>208</v>
      </c>
      <c r="F255" s="1">
        <v>45747</v>
      </c>
      <c r="G255" s="1">
        <v>45749</v>
      </c>
      <c r="H255" t="s">
        <v>128</v>
      </c>
      <c r="I255" t="s">
        <v>5</v>
      </c>
      <c r="J255" t="s">
        <v>6</v>
      </c>
      <c r="K255" t="s">
        <v>4</v>
      </c>
      <c r="L255" t="s">
        <v>720</v>
      </c>
      <c r="M255" t="s">
        <v>720</v>
      </c>
      <c r="N255" s="2">
        <v>351546</v>
      </c>
      <c r="O255" t="s">
        <v>717</v>
      </c>
      <c r="P255" t="s">
        <v>9</v>
      </c>
      <c r="Q255" t="s">
        <v>86</v>
      </c>
      <c r="R255" t="e">
        <f>VLOOKUP(Q255,#REF!,2,FALSE)</f>
        <v>#REF!</v>
      </c>
      <c r="S255">
        <v>1004</v>
      </c>
      <c r="T255" t="s">
        <v>2225</v>
      </c>
      <c r="U255" t="s">
        <v>718</v>
      </c>
      <c r="V255" s="1">
        <v>45657</v>
      </c>
      <c r="W255" s="1">
        <v>45657</v>
      </c>
      <c r="X255" t="s">
        <v>77</v>
      </c>
      <c r="Y255" t="s">
        <v>646</v>
      </c>
      <c r="Z255" t="s">
        <v>6</v>
      </c>
      <c r="AA255" t="s">
        <v>646</v>
      </c>
      <c r="AB255" s="4">
        <f>L255/0.03</f>
        <v>11718200</v>
      </c>
      <c r="AC255" s="6">
        <v>0.04</v>
      </c>
      <c r="AD255" s="4">
        <f>AB255*AC255</f>
        <v>468728</v>
      </c>
      <c r="AE255" s="4">
        <f t="shared" si="8"/>
        <v>117182</v>
      </c>
    </row>
    <row r="256" spans="1:31" x14ac:dyDescent="0.25">
      <c r="A256" t="s">
        <v>0</v>
      </c>
      <c r="B256" s="3" t="s">
        <v>2219</v>
      </c>
      <c r="C256" t="s">
        <v>721</v>
      </c>
      <c r="D256" t="s">
        <v>69</v>
      </c>
      <c r="E256" t="s">
        <v>79</v>
      </c>
      <c r="F256" s="1">
        <v>45714</v>
      </c>
      <c r="G256" s="1">
        <v>45714</v>
      </c>
      <c r="H256" t="s">
        <v>475</v>
      </c>
      <c r="I256" t="s">
        <v>5</v>
      </c>
      <c r="J256" t="s">
        <v>6</v>
      </c>
      <c r="K256" t="s">
        <v>4</v>
      </c>
      <c r="L256" t="s">
        <v>722</v>
      </c>
      <c r="M256" t="s">
        <v>722</v>
      </c>
      <c r="N256" s="2">
        <v>2265595</v>
      </c>
      <c r="O256" t="s">
        <v>723</v>
      </c>
      <c r="P256" t="s">
        <v>9</v>
      </c>
      <c r="Q256" t="s">
        <v>75</v>
      </c>
      <c r="R256" t="e">
        <f>VLOOKUP(Q256,#REF!,2,FALSE)</f>
        <v>#REF!</v>
      </c>
      <c r="S256">
        <v>1511</v>
      </c>
      <c r="T256" t="s">
        <v>2224</v>
      </c>
      <c r="U256" t="s">
        <v>724</v>
      </c>
      <c r="V256" s="1">
        <v>45688</v>
      </c>
      <c r="W256" s="1">
        <v>45688</v>
      </c>
      <c r="X256" t="s">
        <v>77</v>
      </c>
      <c r="Y256" t="s">
        <v>78</v>
      </c>
      <c r="Z256" t="s">
        <v>6</v>
      </c>
      <c r="AA256" t="s">
        <v>78</v>
      </c>
      <c r="AB256" s="4">
        <f>L256/0.1</f>
        <v>22655950</v>
      </c>
      <c r="AC256" s="5" t="s">
        <v>2215</v>
      </c>
      <c r="AD256" s="4">
        <f>AB256/12</f>
        <v>1887995.8333333333</v>
      </c>
      <c r="AE256" s="4">
        <f t="shared" si="8"/>
        <v>-377599.16666666674</v>
      </c>
    </row>
    <row r="257" spans="1:31" x14ac:dyDescent="0.25">
      <c r="A257" t="s">
        <v>0</v>
      </c>
      <c r="B257" s="3" t="s">
        <v>2219</v>
      </c>
      <c r="C257" t="s">
        <v>721</v>
      </c>
      <c r="D257" t="s">
        <v>69</v>
      </c>
      <c r="E257" t="s">
        <v>83</v>
      </c>
      <c r="F257" s="1">
        <v>45747</v>
      </c>
      <c r="G257" s="1">
        <v>45749</v>
      </c>
      <c r="H257" t="s">
        <v>80</v>
      </c>
      <c r="I257" t="s">
        <v>5</v>
      </c>
      <c r="J257" t="s">
        <v>6</v>
      </c>
      <c r="K257" t="s">
        <v>4</v>
      </c>
      <c r="L257" t="s">
        <v>725</v>
      </c>
      <c r="M257" t="s">
        <v>725</v>
      </c>
      <c r="N257" s="2">
        <v>10236</v>
      </c>
      <c r="O257" t="s">
        <v>723</v>
      </c>
      <c r="P257" t="s">
        <v>9</v>
      </c>
      <c r="Q257" t="s">
        <v>82</v>
      </c>
      <c r="R257" t="e">
        <f>VLOOKUP(Q257,#REF!,2,FALSE)</f>
        <v>#REF!</v>
      </c>
      <c r="S257">
        <v>1511</v>
      </c>
      <c r="T257" t="s">
        <v>2224</v>
      </c>
      <c r="U257" t="s">
        <v>724</v>
      </c>
      <c r="V257" s="1">
        <v>45688</v>
      </c>
      <c r="W257" s="1">
        <v>45688</v>
      </c>
      <c r="X257" t="s">
        <v>77</v>
      </c>
      <c r="Y257" t="s">
        <v>78</v>
      </c>
      <c r="Z257" t="s">
        <v>6</v>
      </c>
      <c r="AA257" t="s">
        <v>78</v>
      </c>
      <c r="AB257" s="4">
        <f>L257/0.08</f>
        <v>127950</v>
      </c>
      <c r="AC257" s="6">
        <v>0.1</v>
      </c>
      <c r="AD257" s="4">
        <f>AB257*AC257</f>
        <v>12795</v>
      </c>
      <c r="AE257" s="4">
        <f t="shared" si="8"/>
        <v>2559</v>
      </c>
    </row>
    <row r="258" spans="1:31" x14ac:dyDescent="0.25">
      <c r="A258" t="s">
        <v>0</v>
      </c>
      <c r="B258" s="3" t="s">
        <v>2219</v>
      </c>
      <c r="C258" t="s">
        <v>721</v>
      </c>
      <c r="D258" t="s">
        <v>69</v>
      </c>
      <c r="E258" t="s">
        <v>189</v>
      </c>
      <c r="F258" s="1">
        <v>45747</v>
      </c>
      <c r="G258" s="1">
        <v>45749</v>
      </c>
      <c r="H258" t="s">
        <v>128</v>
      </c>
      <c r="I258" t="s">
        <v>5</v>
      </c>
      <c r="J258" t="s">
        <v>6</v>
      </c>
      <c r="K258" t="s">
        <v>4</v>
      </c>
      <c r="L258" t="s">
        <v>726</v>
      </c>
      <c r="M258" t="s">
        <v>726</v>
      </c>
      <c r="N258" s="2">
        <v>91032</v>
      </c>
      <c r="O258" t="s">
        <v>723</v>
      </c>
      <c r="P258" t="s">
        <v>9</v>
      </c>
      <c r="Q258" t="s">
        <v>86</v>
      </c>
      <c r="R258" t="e">
        <f>VLOOKUP(Q258,#REF!,2,FALSE)</f>
        <v>#REF!</v>
      </c>
      <c r="S258">
        <v>1511</v>
      </c>
      <c r="T258" t="s">
        <v>2224</v>
      </c>
      <c r="U258" t="s">
        <v>724</v>
      </c>
      <c r="V258" s="1">
        <v>45688</v>
      </c>
      <c r="W258" s="1">
        <v>45688</v>
      </c>
      <c r="X258" t="s">
        <v>77</v>
      </c>
      <c r="Y258" t="s">
        <v>78</v>
      </c>
      <c r="Z258" t="s">
        <v>6</v>
      </c>
      <c r="AA258" t="s">
        <v>78</v>
      </c>
      <c r="AB258" s="4">
        <f>L258/0.03</f>
        <v>3034400</v>
      </c>
      <c r="AC258" s="6">
        <v>0.04</v>
      </c>
      <c r="AD258" s="4">
        <f>AB258*AC258</f>
        <v>121376</v>
      </c>
      <c r="AE258" s="4">
        <f t="shared" ref="AE258:AE321" si="9">AD258-L258</f>
        <v>30344</v>
      </c>
    </row>
    <row r="259" spans="1:31" x14ac:dyDescent="0.25">
      <c r="A259" t="s">
        <v>0</v>
      </c>
      <c r="B259" s="3" t="s">
        <v>2219</v>
      </c>
      <c r="C259" t="s">
        <v>727</v>
      </c>
      <c r="D259" t="s">
        <v>69</v>
      </c>
      <c r="E259" t="s">
        <v>728</v>
      </c>
      <c r="F259" s="1">
        <v>45714</v>
      </c>
      <c r="G259" s="1">
        <v>45714</v>
      </c>
      <c r="H259" t="s">
        <v>482</v>
      </c>
      <c r="I259" t="s">
        <v>5</v>
      </c>
      <c r="J259" t="s">
        <v>6</v>
      </c>
      <c r="K259" t="s">
        <v>4</v>
      </c>
      <c r="L259" t="s">
        <v>729</v>
      </c>
      <c r="M259" t="s">
        <v>729</v>
      </c>
      <c r="N259" s="2">
        <v>66791</v>
      </c>
      <c r="O259" t="s">
        <v>730</v>
      </c>
      <c r="P259" t="s">
        <v>9</v>
      </c>
      <c r="Q259" t="s">
        <v>75</v>
      </c>
      <c r="R259" t="e">
        <f>VLOOKUP(Q259,#REF!,2,FALSE)</f>
        <v>#REF!</v>
      </c>
      <c r="S259">
        <v>1511</v>
      </c>
      <c r="T259" t="s">
        <v>2224</v>
      </c>
      <c r="U259" t="s">
        <v>731</v>
      </c>
      <c r="V259" s="1">
        <v>45688</v>
      </c>
      <c r="W259" s="1">
        <v>45688</v>
      </c>
      <c r="X259" t="s">
        <v>388</v>
      </c>
      <c r="Y259" t="s">
        <v>389</v>
      </c>
      <c r="Z259" t="s">
        <v>6</v>
      </c>
      <c r="AA259" t="s">
        <v>389</v>
      </c>
      <c r="AB259" s="4">
        <f>L259/0.1</f>
        <v>667910</v>
      </c>
      <c r="AC259" s="5" t="s">
        <v>2215</v>
      </c>
      <c r="AD259" s="4">
        <f>AB259/12</f>
        <v>55659.166666666664</v>
      </c>
      <c r="AE259" s="4">
        <f t="shared" si="9"/>
        <v>-11131.833333333336</v>
      </c>
    </row>
    <row r="260" spans="1:31" x14ac:dyDescent="0.25">
      <c r="A260" t="s">
        <v>0</v>
      </c>
      <c r="B260" s="3" t="s">
        <v>2219</v>
      </c>
      <c r="C260" t="s">
        <v>727</v>
      </c>
      <c r="D260" t="s">
        <v>69</v>
      </c>
      <c r="E260" t="s">
        <v>732</v>
      </c>
      <c r="F260" s="1">
        <v>45747</v>
      </c>
      <c r="G260" s="1">
        <v>45749</v>
      </c>
      <c r="H260" t="s">
        <v>128</v>
      </c>
      <c r="I260" t="s">
        <v>5</v>
      </c>
      <c r="J260" t="s">
        <v>6</v>
      </c>
      <c r="K260" t="s">
        <v>4</v>
      </c>
      <c r="L260" t="s">
        <v>733</v>
      </c>
      <c r="M260" t="s">
        <v>733</v>
      </c>
      <c r="N260" s="2">
        <v>2672</v>
      </c>
      <c r="O260" t="s">
        <v>730</v>
      </c>
      <c r="P260" t="s">
        <v>9</v>
      </c>
      <c r="Q260" t="s">
        <v>86</v>
      </c>
      <c r="R260" t="e">
        <f>VLOOKUP(Q260,#REF!,2,FALSE)</f>
        <v>#REF!</v>
      </c>
      <c r="S260">
        <v>1511</v>
      </c>
      <c r="T260" t="s">
        <v>2224</v>
      </c>
      <c r="U260" t="s">
        <v>731</v>
      </c>
      <c r="V260" s="1">
        <v>45688</v>
      </c>
      <c r="W260" s="1">
        <v>45688</v>
      </c>
      <c r="X260" t="s">
        <v>388</v>
      </c>
      <c r="Y260" t="s">
        <v>389</v>
      </c>
      <c r="Z260" t="s">
        <v>6</v>
      </c>
      <c r="AA260" t="s">
        <v>389</v>
      </c>
      <c r="AB260" s="4">
        <f>L260/0.03</f>
        <v>89066.666666666672</v>
      </c>
      <c r="AC260" s="6">
        <v>0.04</v>
      </c>
      <c r="AD260" s="4">
        <f>AB260*AC260</f>
        <v>3562.666666666667</v>
      </c>
      <c r="AE260" s="4">
        <f t="shared" si="9"/>
        <v>890.66666666666697</v>
      </c>
    </row>
    <row r="261" spans="1:31" x14ac:dyDescent="0.25">
      <c r="A261" t="s">
        <v>0</v>
      </c>
      <c r="B261" s="3" t="s">
        <v>2219</v>
      </c>
      <c r="C261" t="s">
        <v>734</v>
      </c>
      <c r="D261" t="s">
        <v>69</v>
      </c>
      <c r="E261" t="s">
        <v>203</v>
      </c>
      <c r="F261" s="1">
        <v>45692</v>
      </c>
      <c r="G261" s="1">
        <v>45698</v>
      </c>
      <c r="H261" t="s">
        <v>735</v>
      </c>
      <c r="I261" t="s">
        <v>5</v>
      </c>
      <c r="J261" t="s">
        <v>6</v>
      </c>
      <c r="K261" t="s">
        <v>4</v>
      </c>
      <c r="L261" t="s">
        <v>736</v>
      </c>
      <c r="M261" t="s">
        <v>736</v>
      </c>
      <c r="N261" s="2">
        <v>33270</v>
      </c>
      <c r="O261" t="s">
        <v>737</v>
      </c>
      <c r="P261" t="s">
        <v>9</v>
      </c>
      <c r="Q261" t="s">
        <v>75</v>
      </c>
      <c r="R261" t="e">
        <f>VLOOKUP(Q261,#REF!,2,FALSE)</f>
        <v>#REF!</v>
      </c>
      <c r="S261">
        <v>1511</v>
      </c>
      <c r="T261" t="s">
        <v>2224</v>
      </c>
      <c r="U261" t="s">
        <v>738</v>
      </c>
      <c r="V261" s="1">
        <v>45688</v>
      </c>
      <c r="W261" s="1">
        <v>45688</v>
      </c>
      <c r="X261" t="s">
        <v>77</v>
      </c>
      <c r="Y261" t="s">
        <v>389</v>
      </c>
      <c r="Z261" t="s">
        <v>6</v>
      </c>
      <c r="AA261" t="s">
        <v>389</v>
      </c>
      <c r="AB261" s="4">
        <f>L261/0.1</f>
        <v>332700</v>
      </c>
      <c r="AC261" s="5" t="s">
        <v>2215</v>
      </c>
      <c r="AD261" s="4">
        <f>AB261/12</f>
        <v>27725</v>
      </c>
      <c r="AE261" s="4">
        <f t="shared" si="9"/>
        <v>-5545</v>
      </c>
    </row>
    <row r="262" spans="1:31" x14ac:dyDescent="0.25">
      <c r="A262" t="s">
        <v>0</v>
      </c>
      <c r="B262" s="3" t="s">
        <v>2219</v>
      </c>
      <c r="C262" t="s">
        <v>734</v>
      </c>
      <c r="D262" t="s">
        <v>69</v>
      </c>
      <c r="E262" t="s">
        <v>208</v>
      </c>
      <c r="F262" s="1">
        <v>45692</v>
      </c>
      <c r="G262" s="1">
        <v>45698</v>
      </c>
      <c r="H262" t="s">
        <v>735</v>
      </c>
      <c r="I262" t="s">
        <v>5</v>
      </c>
      <c r="J262" t="s">
        <v>6</v>
      </c>
      <c r="K262" t="s">
        <v>4</v>
      </c>
      <c r="L262" t="s">
        <v>739</v>
      </c>
      <c r="M262" t="s">
        <v>739</v>
      </c>
      <c r="N262" s="2">
        <v>1331</v>
      </c>
      <c r="O262" t="s">
        <v>737</v>
      </c>
      <c r="P262" t="s">
        <v>9</v>
      </c>
      <c r="Q262" t="s">
        <v>86</v>
      </c>
      <c r="R262" t="e">
        <f>VLOOKUP(Q262,#REF!,2,FALSE)</f>
        <v>#REF!</v>
      </c>
      <c r="S262">
        <v>1511</v>
      </c>
      <c r="T262" t="s">
        <v>2224</v>
      </c>
      <c r="U262" t="s">
        <v>738</v>
      </c>
      <c r="V262" s="1">
        <v>45688</v>
      </c>
      <c r="W262" s="1">
        <v>45688</v>
      </c>
      <c r="X262" t="s">
        <v>77</v>
      </c>
      <c r="Y262" t="s">
        <v>389</v>
      </c>
      <c r="Z262" t="s">
        <v>6</v>
      </c>
      <c r="AA262" t="s">
        <v>389</v>
      </c>
      <c r="AB262" s="4">
        <f>L262/0.03</f>
        <v>44366.666666666672</v>
      </c>
      <c r="AC262" s="6">
        <v>0.04</v>
      </c>
      <c r="AD262" s="4">
        <f>AB262*AC262</f>
        <v>1774.666666666667</v>
      </c>
      <c r="AE262" s="4">
        <f t="shared" si="9"/>
        <v>443.66666666666697</v>
      </c>
    </row>
    <row r="263" spans="1:31" x14ac:dyDescent="0.25">
      <c r="A263" t="s">
        <v>0</v>
      </c>
      <c r="B263" s="3" t="s">
        <v>2219</v>
      </c>
      <c r="C263" t="s">
        <v>740</v>
      </c>
      <c r="D263" t="s">
        <v>69</v>
      </c>
      <c r="E263" t="s">
        <v>741</v>
      </c>
      <c r="F263" s="1">
        <v>45699</v>
      </c>
      <c r="G263" s="1">
        <v>45699</v>
      </c>
      <c r="H263" t="s">
        <v>332</v>
      </c>
      <c r="I263" t="s">
        <v>5</v>
      </c>
      <c r="J263" t="s">
        <v>6</v>
      </c>
      <c r="K263" t="s">
        <v>4</v>
      </c>
      <c r="L263" t="s">
        <v>742</v>
      </c>
      <c r="M263" t="s">
        <v>742</v>
      </c>
      <c r="N263" s="2">
        <v>1979856</v>
      </c>
      <c r="O263" t="s">
        <v>743</v>
      </c>
      <c r="P263" t="s">
        <v>9</v>
      </c>
      <c r="Q263" t="s">
        <v>75</v>
      </c>
      <c r="R263" t="e">
        <f>VLOOKUP(Q263,#REF!,2,FALSE)</f>
        <v>#REF!</v>
      </c>
      <c r="S263">
        <v>1015</v>
      </c>
      <c r="T263" t="s">
        <v>2226</v>
      </c>
      <c r="U263" t="s">
        <v>744</v>
      </c>
      <c r="V263" s="1">
        <v>45688</v>
      </c>
      <c r="W263" s="1">
        <v>45688</v>
      </c>
      <c r="X263" t="s">
        <v>77</v>
      </c>
      <c r="Y263" t="s">
        <v>78</v>
      </c>
      <c r="Z263" t="s">
        <v>6</v>
      </c>
      <c r="AA263" t="s">
        <v>78</v>
      </c>
      <c r="AB263" s="4">
        <f>L263/0.1</f>
        <v>19798560</v>
      </c>
      <c r="AC263" s="5" t="s">
        <v>2215</v>
      </c>
      <c r="AD263" s="4">
        <f>AB263/12</f>
        <v>1649880</v>
      </c>
      <c r="AE263" s="4">
        <f t="shared" si="9"/>
        <v>-329976</v>
      </c>
    </row>
    <row r="264" spans="1:31" x14ac:dyDescent="0.25">
      <c r="A264" t="s">
        <v>0</v>
      </c>
      <c r="B264" s="3" t="s">
        <v>2219</v>
      </c>
      <c r="C264" t="s">
        <v>740</v>
      </c>
      <c r="D264" t="s">
        <v>69</v>
      </c>
      <c r="E264" t="s">
        <v>666</v>
      </c>
      <c r="F264" s="1">
        <v>45723</v>
      </c>
      <c r="G264" s="1">
        <v>45724</v>
      </c>
      <c r="H264" t="s">
        <v>337</v>
      </c>
      <c r="I264" t="s">
        <v>5</v>
      </c>
      <c r="J264" t="s">
        <v>6</v>
      </c>
      <c r="K264" t="s">
        <v>4</v>
      </c>
      <c r="L264" t="s">
        <v>547</v>
      </c>
      <c r="M264" t="s">
        <v>547</v>
      </c>
      <c r="N264" s="2">
        <v>12947</v>
      </c>
      <c r="O264" t="s">
        <v>743</v>
      </c>
      <c r="P264" t="s">
        <v>9</v>
      </c>
      <c r="Q264" t="s">
        <v>82</v>
      </c>
      <c r="R264" t="e">
        <f>VLOOKUP(Q264,#REF!,2,FALSE)</f>
        <v>#REF!</v>
      </c>
      <c r="S264">
        <v>1015</v>
      </c>
      <c r="T264" t="s">
        <v>2226</v>
      </c>
      <c r="U264" t="s">
        <v>744</v>
      </c>
      <c r="V264" s="1">
        <v>45688</v>
      </c>
      <c r="W264" s="1">
        <v>45688</v>
      </c>
      <c r="X264" t="s">
        <v>77</v>
      </c>
      <c r="Y264" t="s">
        <v>78</v>
      </c>
      <c r="Z264" t="s">
        <v>6</v>
      </c>
      <c r="AA264" t="s">
        <v>78</v>
      </c>
      <c r="AB264" s="4">
        <f>L264/0.08</f>
        <v>161837.5</v>
      </c>
      <c r="AC264" s="6">
        <v>0.1</v>
      </c>
      <c r="AD264" s="4">
        <f>AB264*AC264</f>
        <v>16183.75</v>
      </c>
      <c r="AE264" s="4">
        <f t="shared" si="9"/>
        <v>3236.75</v>
      </c>
    </row>
    <row r="265" spans="1:31" x14ac:dyDescent="0.25">
      <c r="A265" t="s">
        <v>0</v>
      </c>
      <c r="B265" s="3" t="s">
        <v>2219</v>
      </c>
      <c r="C265" t="s">
        <v>740</v>
      </c>
      <c r="D265" t="s">
        <v>69</v>
      </c>
      <c r="E265" t="s">
        <v>670</v>
      </c>
      <c r="F265" s="1">
        <v>45723</v>
      </c>
      <c r="G265" s="1">
        <v>45724</v>
      </c>
      <c r="H265" t="s">
        <v>337</v>
      </c>
      <c r="I265" t="s">
        <v>5</v>
      </c>
      <c r="J265" t="s">
        <v>6</v>
      </c>
      <c r="K265" t="s">
        <v>4</v>
      </c>
      <c r="L265" t="s">
        <v>745</v>
      </c>
      <c r="M265" t="s">
        <v>745</v>
      </c>
      <c r="N265" s="2">
        <v>79711</v>
      </c>
      <c r="O265" t="s">
        <v>743</v>
      </c>
      <c r="P265" t="s">
        <v>9</v>
      </c>
      <c r="Q265" t="s">
        <v>86</v>
      </c>
      <c r="R265" t="e">
        <f>VLOOKUP(Q265,#REF!,2,FALSE)</f>
        <v>#REF!</v>
      </c>
      <c r="S265">
        <v>1015</v>
      </c>
      <c r="T265" t="s">
        <v>2226</v>
      </c>
      <c r="U265" t="s">
        <v>744</v>
      </c>
      <c r="V265" s="1">
        <v>45688</v>
      </c>
      <c r="W265" s="1">
        <v>45688</v>
      </c>
      <c r="X265" t="s">
        <v>77</v>
      </c>
      <c r="Y265" t="s">
        <v>78</v>
      </c>
      <c r="Z265" t="s">
        <v>6</v>
      </c>
      <c r="AA265" t="s">
        <v>78</v>
      </c>
      <c r="AB265" s="4">
        <f>L265/0.03</f>
        <v>2657033.3333333335</v>
      </c>
      <c r="AC265" s="6">
        <v>0.04</v>
      </c>
      <c r="AD265" s="4">
        <f>AB265*AC265</f>
        <v>106281.33333333334</v>
      </c>
      <c r="AE265" s="4">
        <f t="shared" si="9"/>
        <v>26570.333333333343</v>
      </c>
    </row>
    <row r="266" spans="1:31" x14ac:dyDescent="0.25">
      <c r="A266" t="s">
        <v>0</v>
      </c>
      <c r="B266" s="3" t="s">
        <v>2219</v>
      </c>
      <c r="C266" t="s">
        <v>746</v>
      </c>
      <c r="D266" t="s">
        <v>69</v>
      </c>
      <c r="E266" t="s">
        <v>157</v>
      </c>
      <c r="F266" s="1">
        <v>45714</v>
      </c>
      <c r="G266" s="1">
        <v>45714</v>
      </c>
      <c r="H266" t="s">
        <v>153</v>
      </c>
      <c r="I266" t="s">
        <v>5</v>
      </c>
      <c r="J266" t="s">
        <v>6</v>
      </c>
      <c r="K266" t="s">
        <v>4</v>
      </c>
      <c r="L266" t="s">
        <v>747</v>
      </c>
      <c r="M266" t="s">
        <v>747</v>
      </c>
      <c r="N266" s="2">
        <v>274502</v>
      </c>
      <c r="O266" t="s">
        <v>748</v>
      </c>
      <c r="P266" t="s">
        <v>9</v>
      </c>
      <c r="Q266" t="s">
        <v>75</v>
      </c>
      <c r="R266" t="e">
        <f>VLOOKUP(Q266,#REF!,2,FALSE)</f>
        <v>#REF!</v>
      </c>
      <c r="S266">
        <v>1004</v>
      </c>
      <c r="T266" t="s">
        <v>2225</v>
      </c>
      <c r="U266" t="s">
        <v>749</v>
      </c>
      <c r="V266" s="1">
        <v>45688</v>
      </c>
      <c r="W266" s="1">
        <v>45688</v>
      </c>
      <c r="X266" t="s">
        <v>77</v>
      </c>
      <c r="Y266" t="s">
        <v>78</v>
      </c>
      <c r="Z266" t="s">
        <v>6</v>
      </c>
      <c r="AA266" t="s">
        <v>78</v>
      </c>
      <c r="AB266" s="4">
        <f>L266/0.1</f>
        <v>2745020</v>
      </c>
      <c r="AC266" s="5" t="s">
        <v>2215</v>
      </c>
      <c r="AD266" s="4">
        <f>AB266/12</f>
        <v>228751.66666666666</v>
      </c>
      <c r="AE266" s="4">
        <f t="shared" si="9"/>
        <v>-45750.333333333343</v>
      </c>
    </row>
    <row r="267" spans="1:31" x14ac:dyDescent="0.25">
      <c r="A267" t="s">
        <v>0</v>
      </c>
      <c r="B267" s="3" t="s">
        <v>2219</v>
      </c>
      <c r="C267" t="s">
        <v>746</v>
      </c>
      <c r="D267" t="s">
        <v>69</v>
      </c>
      <c r="E267" t="s">
        <v>88</v>
      </c>
      <c r="F267" s="1">
        <v>45747</v>
      </c>
      <c r="G267" s="1">
        <v>45749</v>
      </c>
      <c r="H267" t="s">
        <v>128</v>
      </c>
      <c r="I267" t="s">
        <v>5</v>
      </c>
      <c r="J267" t="s">
        <v>6</v>
      </c>
      <c r="K267" t="s">
        <v>4</v>
      </c>
      <c r="L267" t="s">
        <v>750</v>
      </c>
      <c r="M267" t="s">
        <v>750</v>
      </c>
      <c r="N267" s="2">
        <v>10980</v>
      </c>
      <c r="O267" t="s">
        <v>748</v>
      </c>
      <c r="P267" t="s">
        <v>9</v>
      </c>
      <c r="Q267" t="s">
        <v>86</v>
      </c>
      <c r="R267" t="e">
        <f>VLOOKUP(Q267,#REF!,2,FALSE)</f>
        <v>#REF!</v>
      </c>
      <c r="S267">
        <v>1004</v>
      </c>
      <c r="T267" t="s">
        <v>2225</v>
      </c>
      <c r="U267" t="s">
        <v>749</v>
      </c>
      <c r="V267" s="1">
        <v>45688</v>
      </c>
      <c r="W267" s="1">
        <v>45688</v>
      </c>
      <c r="X267" t="s">
        <v>77</v>
      </c>
      <c r="Y267" t="s">
        <v>78</v>
      </c>
      <c r="Z267" t="s">
        <v>6</v>
      </c>
      <c r="AA267" t="s">
        <v>78</v>
      </c>
      <c r="AB267" s="4">
        <f>L267/0.03</f>
        <v>366000</v>
      </c>
      <c r="AC267" s="6">
        <v>0.04</v>
      </c>
      <c r="AD267" s="4">
        <f>AB267*AC267</f>
        <v>14640</v>
      </c>
      <c r="AE267" s="4">
        <f t="shared" si="9"/>
        <v>3660</v>
      </c>
    </row>
    <row r="268" spans="1:31" x14ac:dyDescent="0.25">
      <c r="A268" t="s">
        <v>0</v>
      </c>
      <c r="B268" s="3" t="s">
        <v>2219</v>
      </c>
      <c r="C268" t="s">
        <v>751</v>
      </c>
      <c r="D268" t="s">
        <v>69</v>
      </c>
      <c r="E268" t="s">
        <v>203</v>
      </c>
      <c r="F268" s="1">
        <v>45714</v>
      </c>
      <c r="G268" s="1">
        <v>45714</v>
      </c>
      <c r="H268" t="s">
        <v>502</v>
      </c>
      <c r="I268" t="s">
        <v>5</v>
      </c>
      <c r="J268" t="s">
        <v>6</v>
      </c>
      <c r="K268" t="s">
        <v>4</v>
      </c>
      <c r="L268" t="s">
        <v>752</v>
      </c>
      <c r="M268" t="s">
        <v>752</v>
      </c>
      <c r="N268" s="2">
        <v>411067</v>
      </c>
      <c r="O268" t="s">
        <v>753</v>
      </c>
      <c r="P268" t="s">
        <v>9</v>
      </c>
      <c r="Q268" t="s">
        <v>75</v>
      </c>
      <c r="R268" t="e">
        <f>VLOOKUP(Q268,#REF!,2,FALSE)</f>
        <v>#REF!</v>
      </c>
      <c r="S268">
        <v>1001</v>
      </c>
      <c r="T268" t="s">
        <v>2227</v>
      </c>
      <c r="U268" t="s">
        <v>754</v>
      </c>
      <c r="V268" s="1">
        <v>45688</v>
      </c>
      <c r="W268" s="1">
        <v>45688</v>
      </c>
      <c r="X268" t="s">
        <v>77</v>
      </c>
      <c r="Y268" t="s">
        <v>78</v>
      </c>
      <c r="Z268" t="s">
        <v>6</v>
      </c>
      <c r="AA268" t="s">
        <v>78</v>
      </c>
      <c r="AB268" s="4">
        <f>L268/0.1</f>
        <v>4110670</v>
      </c>
      <c r="AC268" s="5" t="s">
        <v>2215</v>
      </c>
      <c r="AD268" s="4">
        <f>AB268/12</f>
        <v>342555.83333333331</v>
      </c>
      <c r="AE268" s="4">
        <f t="shared" si="9"/>
        <v>-68511.166666666686</v>
      </c>
    </row>
    <row r="269" spans="1:31" x14ac:dyDescent="0.25">
      <c r="A269" t="s">
        <v>0</v>
      </c>
      <c r="B269" s="3" t="s">
        <v>2219</v>
      </c>
      <c r="C269" t="s">
        <v>751</v>
      </c>
      <c r="D269" t="s">
        <v>69</v>
      </c>
      <c r="E269" t="s">
        <v>208</v>
      </c>
      <c r="F269" s="1">
        <v>45747</v>
      </c>
      <c r="G269" s="1">
        <v>45749</v>
      </c>
      <c r="H269" t="s">
        <v>128</v>
      </c>
      <c r="I269" t="s">
        <v>5</v>
      </c>
      <c r="J269" t="s">
        <v>6</v>
      </c>
      <c r="K269" t="s">
        <v>4</v>
      </c>
      <c r="L269" t="s">
        <v>755</v>
      </c>
      <c r="M269" t="s">
        <v>755</v>
      </c>
      <c r="N269" s="2">
        <v>16442</v>
      </c>
      <c r="O269" t="s">
        <v>753</v>
      </c>
      <c r="P269" t="s">
        <v>9</v>
      </c>
      <c r="Q269" t="s">
        <v>86</v>
      </c>
      <c r="R269" t="e">
        <f>VLOOKUP(Q269,#REF!,2,FALSE)</f>
        <v>#REF!</v>
      </c>
      <c r="S269">
        <v>1001</v>
      </c>
      <c r="T269" t="s">
        <v>2227</v>
      </c>
      <c r="U269" t="s">
        <v>754</v>
      </c>
      <c r="V269" s="1">
        <v>45688</v>
      </c>
      <c r="W269" s="1">
        <v>45688</v>
      </c>
      <c r="X269" t="s">
        <v>77</v>
      </c>
      <c r="Y269" t="s">
        <v>78</v>
      </c>
      <c r="Z269" t="s">
        <v>6</v>
      </c>
      <c r="AA269" t="s">
        <v>78</v>
      </c>
      <c r="AB269" s="4">
        <f>L269/0.03</f>
        <v>548066.66666666674</v>
      </c>
      <c r="AC269" s="6">
        <v>0.04</v>
      </c>
      <c r="AD269" s="4">
        <f>AB269*AC269</f>
        <v>21922.666666666672</v>
      </c>
      <c r="AE269" s="4">
        <f t="shared" si="9"/>
        <v>5480.6666666666715</v>
      </c>
    </row>
    <row r="270" spans="1:31" x14ac:dyDescent="0.25">
      <c r="A270" t="s">
        <v>0</v>
      </c>
      <c r="B270" s="3" t="s">
        <v>2219</v>
      </c>
      <c r="C270" t="s">
        <v>756</v>
      </c>
      <c r="D270" t="s">
        <v>69</v>
      </c>
      <c r="E270" t="s">
        <v>104</v>
      </c>
      <c r="F270" s="1">
        <v>45692</v>
      </c>
      <c r="G270" s="1">
        <v>45698</v>
      </c>
      <c r="H270" t="s">
        <v>735</v>
      </c>
      <c r="I270" t="s">
        <v>5</v>
      </c>
      <c r="J270" t="s">
        <v>6</v>
      </c>
      <c r="K270" t="s">
        <v>4</v>
      </c>
      <c r="L270" t="s">
        <v>757</v>
      </c>
      <c r="M270" t="s">
        <v>757</v>
      </c>
      <c r="N270" s="2">
        <v>232791</v>
      </c>
      <c r="O270" t="s">
        <v>758</v>
      </c>
      <c r="P270" t="s">
        <v>9</v>
      </c>
      <c r="Q270" t="s">
        <v>75</v>
      </c>
      <c r="R270" t="e">
        <f>VLOOKUP(Q270,#REF!,2,FALSE)</f>
        <v>#REF!</v>
      </c>
      <c r="S270">
        <v>1511</v>
      </c>
      <c r="T270" t="s">
        <v>2224</v>
      </c>
      <c r="U270" t="s">
        <v>759</v>
      </c>
      <c r="V270" s="1">
        <v>45688</v>
      </c>
      <c r="W270" s="1">
        <v>45688</v>
      </c>
      <c r="X270" t="s">
        <v>77</v>
      </c>
      <c r="Y270" t="s">
        <v>389</v>
      </c>
      <c r="Z270" t="s">
        <v>6</v>
      </c>
      <c r="AA270" t="s">
        <v>389</v>
      </c>
      <c r="AB270" s="4">
        <f>L270/0.1</f>
        <v>2327910</v>
      </c>
      <c r="AC270" s="5" t="s">
        <v>2215</v>
      </c>
      <c r="AD270" s="4">
        <f>AB270/12</f>
        <v>193992.5</v>
      </c>
      <c r="AE270" s="4">
        <f t="shared" si="9"/>
        <v>-38798.5</v>
      </c>
    </row>
    <row r="271" spans="1:31" x14ac:dyDescent="0.25">
      <c r="A271" t="s">
        <v>0</v>
      </c>
      <c r="B271" s="3" t="s">
        <v>2219</v>
      </c>
      <c r="C271" t="s">
        <v>756</v>
      </c>
      <c r="D271" t="s">
        <v>69</v>
      </c>
      <c r="E271" t="s">
        <v>109</v>
      </c>
      <c r="F271" s="1">
        <v>45692</v>
      </c>
      <c r="G271" s="1">
        <v>45698</v>
      </c>
      <c r="H271" t="s">
        <v>735</v>
      </c>
      <c r="I271" t="s">
        <v>5</v>
      </c>
      <c r="J271" t="s">
        <v>6</v>
      </c>
      <c r="K271" t="s">
        <v>4</v>
      </c>
      <c r="L271" t="s">
        <v>760</v>
      </c>
      <c r="M271" t="s">
        <v>760</v>
      </c>
      <c r="N271" s="2">
        <v>9315</v>
      </c>
      <c r="O271" t="s">
        <v>758</v>
      </c>
      <c r="P271" t="s">
        <v>9</v>
      </c>
      <c r="Q271" t="s">
        <v>86</v>
      </c>
      <c r="R271" t="e">
        <f>VLOOKUP(Q271,#REF!,2,FALSE)</f>
        <v>#REF!</v>
      </c>
      <c r="S271">
        <v>1511</v>
      </c>
      <c r="T271" t="s">
        <v>2224</v>
      </c>
      <c r="U271" t="s">
        <v>759</v>
      </c>
      <c r="V271" s="1">
        <v>45688</v>
      </c>
      <c r="W271" s="1">
        <v>45688</v>
      </c>
      <c r="X271" t="s">
        <v>77</v>
      </c>
      <c r="Y271" t="s">
        <v>389</v>
      </c>
      <c r="Z271" t="s">
        <v>6</v>
      </c>
      <c r="AA271" t="s">
        <v>389</v>
      </c>
      <c r="AB271" s="4">
        <f>L271/0.03</f>
        <v>310500</v>
      </c>
      <c r="AC271" s="6">
        <v>0.04</v>
      </c>
      <c r="AD271" s="4">
        <f>AB271*AC271</f>
        <v>12420</v>
      </c>
      <c r="AE271" s="4">
        <f t="shared" si="9"/>
        <v>3105</v>
      </c>
    </row>
    <row r="272" spans="1:31" x14ac:dyDescent="0.25">
      <c r="A272" t="s">
        <v>0</v>
      </c>
      <c r="B272" s="3" t="s">
        <v>2219</v>
      </c>
      <c r="C272" t="s">
        <v>761</v>
      </c>
      <c r="D272" t="s">
        <v>69</v>
      </c>
      <c r="E272" t="s">
        <v>295</v>
      </c>
      <c r="F272" s="1">
        <v>45714</v>
      </c>
      <c r="G272" s="1">
        <v>45714</v>
      </c>
      <c r="H272" t="s">
        <v>762</v>
      </c>
      <c r="I272" t="s">
        <v>5</v>
      </c>
      <c r="J272" t="s">
        <v>6</v>
      </c>
      <c r="K272" t="s">
        <v>4</v>
      </c>
      <c r="L272" t="s">
        <v>763</v>
      </c>
      <c r="M272" t="s">
        <v>763</v>
      </c>
      <c r="N272" s="2">
        <v>20668877</v>
      </c>
      <c r="O272" t="s">
        <v>764</v>
      </c>
      <c r="P272" t="s">
        <v>9</v>
      </c>
      <c r="Q272" t="s">
        <v>75</v>
      </c>
      <c r="R272" t="e">
        <f>VLOOKUP(Q272,#REF!,2,FALSE)</f>
        <v>#REF!</v>
      </c>
      <c r="S272">
        <v>1004</v>
      </c>
      <c r="T272" t="s">
        <v>2225</v>
      </c>
      <c r="U272" t="s">
        <v>765</v>
      </c>
      <c r="V272" s="1">
        <v>45688</v>
      </c>
      <c r="W272" s="1">
        <v>45688</v>
      </c>
      <c r="X272" t="s">
        <v>77</v>
      </c>
      <c r="Y272" t="s">
        <v>646</v>
      </c>
      <c r="Z272" t="s">
        <v>6</v>
      </c>
      <c r="AA272" t="s">
        <v>646</v>
      </c>
      <c r="AB272" s="4">
        <f>L272/0.1</f>
        <v>206688770</v>
      </c>
      <c r="AC272" s="5" t="s">
        <v>2215</v>
      </c>
      <c r="AD272" s="4">
        <f>AB272/12</f>
        <v>17224064.166666668</v>
      </c>
      <c r="AE272" s="4">
        <f t="shared" si="9"/>
        <v>-3444812.8333333321</v>
      </c>
    </row>
    <row r="273" spans="1:31" x14ac:dyDescent="0.25">
      <c r="A273" t="s">
        <v>0</v>
      </c>
      <c r="B273" s="3" t="s">
        <v>2219</v>
      </c>
      <c r="C273" t="s">
        <v>761</v>
      </c>
      <c r="D273" t="s">
        <v>69</v>
      </c>
      <c r="E273" t="s">
        <v>119</v>
      </c>
      <c r="F273" s="1">
        <v>45747</v>
      </c>
      <c r="G273" s="1">
        <v>45749</v>
      </c>
      <c r="H273" t="s">
        <v>80</v>
      </c>
      <c r="I273" t="s">
        <v>5</v>
      </c>
      <c r="J273" t="s">
        <v>6</v>
      </c>
      <c r="K273" t="s">
        <v>4</v>
      </c>
      <c r="L273" t="s">
        <v>766</v>
      </c>
      <c r="M273" t="s">
        <v>766</v>
      </c>
      <c r="N273" s="2">
        <v>1202560</v>
      </c>
      <c r="O273" t="s">
        <v>764</v>
      </c>
      <c r="P273" t="s">
        <v>9</v>
      </c>
      <c r="Q273" t="s">
        <v>82</v>
      </c>
      <c r="R273" t="e">
        <f>VLOOKUP(Q273,#REF!,2,FALSE)</f>
        <v>#REF!</v>
      </c>
      <c r="S273">
        <v>1004</v>
      </c>
      <c r="T273" t="s">
        <v>2225</v>
      </c>
      <c r="U273" t="s">
        <v>765</v>
      </c>
      <c r="V273" s="1">
        <v>45688</v>
      </c>
      <c r="W273" s="1">
        <v>45688</v>
      </c>
      <c r="X273" t="s">
        <v>77</v>
      </c>
      <c r="Y273" t="s">
        <v>646</v>
      </c>
      <c r="Z273" t="s">
        <v>6</v>
      </c>
      <c r="AA273" t="s">
        <v>646</v>
      </c>
      <c r="AB273" s="4">
        <f>L273/0.08</f>
        <v>15032000</v>
      </c>
      <c r="AC273" s="6">
        <v>0.1</v>
      </c>
      <c r="AD273" s="4">
        <f>AB273*AC273</f>
        <v>1503200</v>
      </c>
      <c r="AE273" s="4">
        <f t="shared" si="9"/>
        <v>300640</v>
      </c>
    </row>
    <row r="274" spans="1:31" x14ac:dyDescent="0.25">
      <c r="A274" t="s">
        <v>0</v>
      </c>
      <c r="B274" s="3" t="s">
        <v>2219</v>
      </c>
      <c r="C274" t="s">
        <v>761</v>
      </c>
      <c r="D274" t="s">
        <v>69</v>
      </c>
      <c r="E274" t="s">
        <v>125</v>
      </c>
      <c r="F274" s="1">
        <v>45747</v>
      </c>
      <c r="G274" s="1">
        <v>45749</v>
      </c>
      <c r="H274" t="s">
        <v>128</v>
      </c>
      <c r="I274" t="s">
        <v>5</v>
      </c>
      <c r="J274" t="s">
        <v>6</v>
      </c>
      <c r="K274" t="s">
        <v>4</v>
      </c>
      <c r="L274" t="s">
        <v>767</v>
      </c>
      <c r="M274" t="s">
        <v>767</v>
      </c>
      <c r="N274" s="2">
        <v>874853</v>
      </c>
      <c r="O274" t="s">
        <v>764</v>
      </c>
      <c r="P274" t="s">
        <v>9</v>
      </c>
      <c r="Q274" t="s">
        <v>86</v>
      </c>
      <c r="R274" t="e">
        <f>VLOOKUP(Q274,#REF!,2,FALSE)</f>
        <v>#REF!</v>
      </c>
      <c r="S274">
        <v>1004</v>
      </c>
      <c r="T274" t="s">
        <v>2225</v>
      </c>
      <c r="U274" t="s">
        <v>765</v>
      </c>
      <c r="V274" s="1">
        <v>45688</v>
      </c>
      <c r="W274" s="1">
        <v>45688</v>
      </c>
      <c r="X274" t="s">
        <v>77</v>
      </c>
      <c r="Y274" t="s">
        <v>646</v>
      </c>
      <c r="Z274" t="s">
        <v>6</v>
      </c>
      <c r="AA274" t="s">
        <v>646</v>
      </c>
      <c r="AB274" s="4">
        <f>L274/0.03</f>
        <v>29161766.666666668</v>
      </c>
      <c r="AC274" s="6">
        <v>0.04</v>
      </c>
      <c r="AD274" s="4">
        <f>AB274*AC274</f>
        <v>1166470.6666666667</v>
      </c>
      <c r="AE274" s="4">
        <f t="shared" si="9"/>
        <v>291617.66666666674</v>
      </c>
    </row>
    <row r="275" spans="1:31" x14ac:dyDescent="0.25">
      <c r="A275" t="s">
        <v>0</v>
      </c>
      <c r="B275" s="3" t="s">
        <v>2219</v>
      </c>
      <c r="C275" t="s">
        <v>768</v>
      </c>
      <c r="D275" t="s">
        <v>69</v>
      </c>
      <c r="E275" t="s">
        <v>43</v>
      </c>
      <c r="F275" s="1">
        <v>45723</v>
      </c>
      <c r="G275" s="1">
        <v>45738</v>
      </c>
      <c r="H275" t="s">
        <v>769</v>
      </c>
      <c r="I275" t="s">
        <v>5</v>
      </c>
      <c r="J275" t="s">
        <v>6</v>
      </c>
      <c r="K275" t="s">
        <v>4</v>
      </c>
      <c r="L275" t="s">
        <v>770</v>
      </c>
      <c r="M275" t="s">
        <v>770</v>
      </c>
      <c r="N275" s="2">
        <v>214594</v>
      </c>
      <c r="O275" t="s">
        <v>771</v>
      </c>
      <c r="P275" t="s">
        <v>9</v>
      </c>
      <c r="Q275" t="s">
        <v>75</v>
      </c>
      <c r="R275" t="e">
        <f>VLOOKUP(Q275,#REF!,2,FALSE)</f>
        <v>#REF!</v>
      </c>
      <c r="S275">
        <v>1408</v>
      </c>
      <c r="T275" t="s">
        <v>2223</v>
      </c>
      <c r="U275" t="s">
        <v>772</v>
      </c>
      <c r="V275" s="1">
        <v>45688</v>
      </c>
      <c r="W275" s="1">
        <v>45688</v>
      </c>
      <c r="X275" t="s">
        <v>77</v>
      </c>
      <c r="Y275" t="s">
        <v>78</v>
      </c>
      <c r="Z275" t="s">
        <v>6</v>
      </c>
      <c r="AA275" t="s">
        <v>78</v>
      </c>
      <c r="AB275" s="4">
        <f>L275/0.1</f>
        <v>2145940</v>
      </c>
      <c r="AC275" s="5" t="s">
        <v>2215</v>
      </c>
      <c r="AD275" s="4">
        <f>AB275/12</f>
        <v>178828.33333333334</v>
      </c>
      <c r="AE275" s="4">
        <f t="shared" si="9"/>
        <v>-35765.666666666657</v>
      </c>
    </row>
    <row r="276" spans="1:31" x14ac:dyDescent="0.25">
      <c r="A276" t="s">
        <v>0</v>
      </c>
      <c r="B276" s="3" t="s">
        <v>2219</v>
      </c>
      <c r="C276" t="s">
        <v>768</v>
      </c>
      <c r="D276" t="s">
        <v>69</v>
      </c>
      <c r="E276" t="s">
        <v>104</v>
      </c>
      <c r="F276" s="1">
        <v>45723</v>
      </c>
      <c r="G276" s="1">
        <v>45738</v>
      </c>
      <c r="H276" t="s">
        <v>678</v>
      </c>
      <c r="I276" t="s">
        <v>5</v>
      </c>
      <c r="J276" t="s">
        <v>6</v>
      </c>
      <c r="K276" t="s">
        <v>4</v>
      </c>
      <c r="L276" t="s">
        <v>773</v>
      </c>
      <c r="M276" t="s">
        <v>773</v>
      </c>
      <c r="N276" s="2">
        <v>8581</v>
      </c>
      <c r="O276" t="s">
        <v>771</v>
      </c>
      <c r="P276" t="s">
        <v>9</v>
      </c>
      <c r="Q276" t="s">
        <v>86</v>
      </c>
      <c r="R276" t="e">
        <f>VLOOKUP(Q276,#REF!,2,FALSE)</f>
        <v>#REF!</v>
      </c>
      <c r="S276">
        <v>1408</v>
      </c>
      <c r="T276" t="s">
        <v>2223</v>
      </c>
      <c r="U276" t="s">
        <v>772</v>
      </c>
      <c r="V276" s="1">
        <v>45688</v>
      </c>
      <c r="W276" s="1">
        <v>45688</v>
      </c>
      <c r="X276" t="s">
        <v>77</v>
      </c>
      <c r="Y276" t="s">
        <v>78</v>
      </c>
      <c r="Z276" t="s">
        <v>6</v>
      </c>
      <c r="AA276" t="s">
        <v>78</v>
      </c>
      <c r="AB276" s="4">
        <f>L276/0.03</f>
        <v>286033.33333333337</v>
      </c>
      <c r="AC276" s="6">
        <v>0.04</v>
      </c>
      <c r="AD276" s="4">
        <f>AB276*AC276</f>
        <v>11441.333333333336</v>
      </c>
      <c r="AE276" s="4">
        <f t="shared" si="9"/>
        <v>2860.3333333333358</v>
      </c>
    </row>
    <row r="277" spans="1:31" x14ac:dyDescent="0.25">
      <c r="A277" t="s">
        <v>0</v>
      </c>
      <c r="B277" s="3" t="s">
        <v>2219</v>
      </c>
      <c r="C277" t="s">
        <v>774</v>
      </c>
      <c r="D277" t="s">
        <v>69</v>
      </c>
      <c r="E277" t="s">
        <v>3</v>
      </c>
      <c r="F277" s="1">
        <v>45747</v>
      </c>
      <c r="G277" s="1">
        <v>45747</v>
      </c>
      <c r="H277" t="s">
        <v>400</v>
      </c>
      <c r="I277" t="s">
        <v>5</v>
      </c>
      <c r="J277" t="s">
        <v>6</v>
      </c>
      <c r="K277" t="s">
        <v>4</v>
      </c>
      <c r="L277" t="s">
        <v>775</v>
      </c>
      <c r="M277" t="s">
        <v>775</v>
      </c>
      <c r="N277" s="2">
        <v>144138</v>
      </c>
      <c r="O277" t="s">
        <v>776</v>
      </c>
      <c r="P277" t="s">
        <v>9</v>
      </c>
      <c r="Q277" t="s">
        <v>75</v>
      </c>
      <c r="R277" t="e">
        <f>VLOOKUP(Q277,#REF!,2,FALSE)</f>
        <v>#REF!</v>
      </c>
      <c r="S277">
        <v>1004</v>
      </c>
      <c r="T277" t="s">
        <v>2225</v>
      </c>
      <c r="U277" t="s">
        <v>777</v>
      </c>
      <c r="V277" s="1">
        <v>45712</v>
      </c>
      <c r="W277" s="1">
        <v>45712</v>
      </c>
      <c r="X277" t="s">
        <v>68</v>
      </c>
      <c r="Y277" t="s">
        <v>396</v>
      </c>
      <c r="Z277" t="s">
        <v>6</v>
      </c>
      <c r="AA277" t="s">
        <v>396</v>
      </c>
      <c r="AB277" s="4">
        <f>L277/0.1</f>
        <v>1441380</v>
      </c>
      <c r="AC277" s="5" t="s">
        <v>2215</v>
      </c>
      <c r="AD277" s="4">
        <f>AB277/12</f>
        <v>120115</v>
      </c>
      <c r="AE277" s="4">
        <f t="shared" si="9"/>
        <v>-24023</v>
      </c>
    </row>
    <row r="278" spans="1:31" x14ac:dyDescent="0.25">
      <c r="A278" t="s">
        <v>0</v>
      </c>
      <c r="B278" s="3" t="s">
        <v>2219</v>
      </c>
      <c r="C278" t="s">
        <v>774</v>
      </c>
      <c r="D278" t="s">
        <v>69</v>
      </c>
      <c r="E278" t="s">
        <v>22</v>
      </c>
      <c r="F278" s="1">
        <v>45747</v>
      </c>
      <c r="G278" s="1">
        <v>45749</v>
      </c>
      <c r="H278" t="s">
        <v>128</v>
      </c>
      <c r="I278" t="s">
        <v>5</v>
      </c>
      <c r="J278" t="s">
        <v>6</v>
      </c>
      <c r="K278" t="s">
        <v>4</v>
      </c>
      <c r="L278" t="s">
        <v>778</v>
      </c>
      <c r="M278" t="s">
        <v>778</v>
      </c>
      <c r="N278" s="2">
        <v>5766</v>
      </c>
      <c r="O278" t="s">
        <v>776</v>
      </c>
      <c r="P278" t="s">
        <v>9</v>
      </c>
      <c r="Q278" t="s">
        <v>86</v>
      </c>
      <c r="R278" t="e">
        <f>VLOOKUP(Q278,#REF!,2,FALSE)</f>
        <v>#REF!</v>
      </c>
      <c r="S278">
        <v>1004</v>
      </c>
      <c r="T278" t="s">
        <v>2225</v>
      </c>
      <c r="U278" t="s">
        <v>777</v>
      </c>
      <c r="V278" s="1">
        <v>45712</v>
      </c>
      <c r="W278" s="1">
        <v>45712</v>
      </c>
      <c r="X278" t="s">
        <v>68</v>
      </c>
      <c r="Y278" t="s">
        <v>396</v>
      </c>
      <c r="Z278" t="s">
        <v>6</v>
      </c>
      <c r="AA278" t="s">
        <v>396</v>
      </c>
      <c r="AB278" s="4">
        <f>L278/0.03</f>
        <v>192200</v>
      </c>
      <c r="AC278" s="6">
        <v>0.04</v>
      </c>
      <c r="AD278" s="4">
        <f>AB278*AC278</f>
        <v>7688</v>
      </c>
      <c r="AE278" s="4">
        <f t="shared" si="9"/>
        <v>1922</v>
      </c>
    </row>
    <row r="279" spans="1:31" x14ac:dyDescent="0.25">
      <c r="A279" t="s">
        <v>0</v>
      </c>
      <c r="B279" s="3" t="s">
        <v>2219</v>
      </c>
      <c r="C279" t="s">
        <v>779</v>
      </c>
      <c r="D279" t="s">
        <v>69</v>
      </c>
      <c r="E279" t="s">
        <v>79</v>
      </c>
      <c r="F279" s="1">
        <v>45741</v>
      </c>
      <c r="G279" s="1">
        <v>45741</v>
      </c>
      <c r="H279" t="s">
        <v>780</v>
      </c>
      <c r="I279" t="s">
        <v>5</v>
      </c>
      <c r="J279" t="s">
        <v>6</v>
      </c>
      <c r="K279" t="s">
        <v>4</v>
      </c>
      <c r="L279" t="s">
        <v>781</v>
      </c>
      <c r="M279" t="s">
        <v>781</v>
      </c>
      <c r="N279" s="2">
        <v>2472362</v>
      </c>
      <c r="O279" t="s">
        <v>782</v>
      </c>
      <c r="P279" t="s">
        <v>9</v>
      </c>
      <c r="Q279" t="s">
        <v>75</v>
      </c>
      <c r="R279" t="e">
        <f>VLOOKUP(Q279,#REF!,2,FALSE)</f>
        <v>#REF!</v>
      </c>
      <c r="S279">
        <v>1511</v>
      </c>
      <c r="T279" t="s">
        <v>2224</v>
      </c>
      <c r="U279" t="s">
        <v>783</v>
      </c>
      <c r="V279" s="1">
        <v>45716</v>
      </c>
      <c r="W279" s="1">
        <v>45716</v>
      </c>
      <c r="X279" t="s">
        <v>77</v>
      </c>
      <c r="Y279" t="s">
        <v>78</v>
      </c>
      <c r="Z279" t="s">
        <v>6</v>
      </c>
      <c r="AA279" t="s">
        <v>78</v>
      </c>
      <c r="AB279" s="4">
        <f>L279/0.1</f>
        <v>24723620</v>
      </c>
      <c r="AC279" s="5" t="s">
        <v>2215</v>
      </c>
      <c r="AD279" s="4">
        <f>AB279/12</f>
        <v>2060301.6666666667</v>
      </c>
      <c r="AE279" s="4">
        <f t="shared" si="9"/>
        <v>-412060.33333333326</v>
      </c>
    </row>
    <row r="280" spans="1:31" x14ac:dyDescent="0.25">
      <c r="A280" t="s">
        <v>0</v>
      </c>
      <c r="B280" s="3" t="s">
        <v>2219</v>
      </c>
      <c r="C280" t="s">
        <v>779</v>
      </c>
      <c r="D280" t="s">
        <v>69</v>
      </c>
      <c r="E280" t="s">
        <v>83</v>
      </c>
      <c r="F280" s="1">
        <v>45747</v>
      </c>
      <c r="G280" s="1">
        <v>45749</v>
      </c>
      <c r="H280" t="s">
        <v>80</v>
      </c>
      <c r="I280" t="s">
        <v>5</v>
      </c>
      <c r="J280" t="s">
        <v>6</v>
      </c>
      <c r="K280" t="s">
        <v>4</v>
      </c>
      <c r="L280" t="s">
        <v>784</v>
      </c>
      <c r="M280" t="s">
        <v>784</v>
      </c>
      <c r="N280" s="2">
        <v>10465</v>
      </c>
      <c r="O280" t="s">
        <v>782</v>
      </c>
      <c r="P280" t="s">
        <v>9</v>
      </c>
      <c r="Q280" t="s">
        <v>82</v>
      </c>
      <c r="R280" t="e">
        <f>VLOOKUP(Q280,#REF!,2,FALSE)</f>
        <v>#REF!</v>
      </c>
      <c r="S280">
        <v>1511</v>
      </c>
      <c r="T280" t="s">
        <v>2224</v>
      </c>
      <c r="U280" t="s">
        <v>783</v>
      </c>
      <c r="V280" s="1">
        <v>45716</v>
      </c>
      <c r="W280" s="1">
        <v>45716</v>
      </c>
      <c r="X280" t="s">
        <v>77</v>
      </c>
      <c r="Y280" t="s">
        <v>78</v>
      </c>
      <c r="Z280" t="s">
        <v>6</v>
      </c>
      <c r="AA280" t="s">
        <v>78</v>
      </c>
      <c r="AB280" s="4">
        <f>L280/0.08</f>
        <v>130812.5</v>
      </c>
      <c r="AC280" s="6">
        <v>0.1</v>
      </c>
      <c r="AD280" s="4">
        <f>AB280*AC280</f>
        <v>13081.25</v>
      </c>
      <c r="AE280" s="4">
        <f t="shared" si="9"/>
        <v>2616.25</v>
      </c>
    </row>
    <row r="281" spans="1:31" x14ac:dyDescent="0.25">
      <c r="A281" t="s">
        <v>0</v>
      </c>
      <c r="B281" s="3" t="s">
        <v>2219</v>
      </c>
      <c r="C281" t="s">
        <v>779</v>
      </c>
      <c r="D281" t="s">
        <v>69</v>
      </c>
      <c r="E281" t="s">
        <v>189</v>
      </c>
      <c r="F281" s="1">
        <v>45747</v>
      </c>
      <c r="G281" s="1">
        <v>45749</v>
      </c>
      <c r="H281" t="s">
        <v>128</v>
      </c>
      <c r="I281" t="s">
        <v>5</v>
      </c>
      <c r="J281" t="s">
        <v>6</v>
      </c>
      <c r="K281" t="s">
        <v>4</v>
      </c>
      <c r="L281" t="s">
        <v>785</v>
      </c>
      <c r="M281" t="s">
        <v>785</v>
      </c>
      <c r="N281" s="2">
        <v>99315</v>
      </c>
      <c r="O281" t="s">
        <v>782</v>
      </c>
      <c r="P281" t="s">
        <v>9</v>
      </c>
      <c r="Q281" t="s">
        <v>86</v>
      </c>
      <c r="R281" t="e">
        <f>VLOOKUP(Q281,#REF!,2,FALSE)</f>
        <v>#REF!</v>
      </c>
      <c r="S281">
        <v>1511</v>
      </c>
      <c r="T281" t="s">
        <v>2224</v>
      </c>
      <c r="U281" t="s">
        <v>783</v>
      </c>
      <c r="V281" s="1">
        <v>45716</v>
      </c>
      <c r="W281" s="1">
        <v>45716</v>
      </c>
      <c r="X281" t="s">
        <v>77</v>
      </c>
      <c r="Y281" t="s">
        <v>78</v>
      </c>
      <c r="Z281" t="s">
        <v>6</v>
      </c>
      <c r="AA281" t="s">
        <v>78</v>
      </c>
      <c r="AB281" s="4">
        <f>L281/0.03</f>
        <v>3310500</v>
      </c>
      <c r="AC281" s="6">
        <v>0.04</v>
      </c>
      <c r="AD281" s="4">
        <f>AB281*AC281</f>
        <v>132420</v>
      </c>
      <c r="AE281" s="4">
        <f t="shared" si="9"/>
        <v>33105</v>
      </c>
    </row>
    <row r="282" spans="1:31" x14ac:dyDescent="0.25">
      <c r="A282" t="s">
        <v>0</v>
      </c>
      <c r="B282" s="3" t="s">
        <v>2219</v>
      </c>
      <c r="C282" t="s">
        <v>786</v>
      </c>
      <c r="D282" t="s">
        <v>69</v>
      </c>
      <c r="E282" t="s">
        <v>728</v>
      </c>
      <c r="F282" s="1">
        <v>45741</v>
      </c>
      <c r="G282" s="1">
        <v>45741</v>
      </c>
      <c r="H282" t="s">
        <v>780</v>
      </c>
      <c r="I282" t="s">
        <v>5</v>
      </c>
      <c r="J282" t="s">
        <v>6</v>
      </c>
      <c r="K282" t="s">
        <v>4</v>
      </c>
      <c r="L282" t="s">
        <v>787</v>
      </c>
      <c r="M282" t="s">
        <v>787</v>
      </c>
      <c r="N282" s="2">
        <v>74024</v>
      </c>
      <c r="O282" t="s">
        <v>788</v>
      </c>
      <c r="P282" t="s">
        <v>9</v>
      </c>
      <c r="Q282" t="s">
        <v>75</v>
      </c>
      <c r="R282" t="e">
        <f>VLOOKUP(Q282,#REF!,2,FALSE)</f>
        <v>#REF!</v>
      </c>
      <c r="S282">
        <v>1511</v>
      </c>
      <c r="T282" t="s">
        <v>2224</v>
      </c>
      <c r="U282" t="s">
        <v>789</v>
      </c>
      <c r="V282" s="1">
        <v>45716</v>
      </c>
      <c r="W282" s="1">
        <v>45716</v>
      </c>
      <c r="X282" t="s">
        <v>388</v>
      </c>
      <c r="Y282" t="s">
        <v>389</v>
      </c>
      <c r="Z282" t="s">
        <v>6</v>
      </c>
      <c r="AA282" t="s">
        <v>389</v>
      </c>
      <c r="AB282" s="4">
        <f>L282/0.1</f>
        <v>740240</v>
      </c>
      <c r="AC282" s="5" t="s">
        <v>2215</v>
      </c>
      <c r="AD282" s="4">
        <f>AB282/12</f>
        <v>61686.666666666664</v>
      </c>
      <c r="AE282" s="4">
        <f t="shared" si="9"/>
        <v>-12337.333333333336</v>
      </c>
    </row>
    <row r="283" spans="1:31" x14ac:dyDescent="0.25">
      <c r="A283" t="s">
        <v>0</v>
      </c>
      <c r="B283" s="3" t="s">
        <v>2219</v>
      </c>
      <c r="C283" t="s">
        <v>786</v>
      </c>
      <c r="D283" t="s">
        <v>69</v>
      </c>
      <c r="E283" t="s">
        <v>732</v>
      </c>
      <c r="F283" s="1">
        <v>45747</v>
      </c>
      <c r="G283" s="1">
        <v>45749</v>
      </c>
      <c r="H283" t="s">
        <v>128</v>
      </c>
      <c r="I283" t="s">
        <v>5</v>
      </c>
      <c r="J283" t="s">
        <v>6</v>
      </c>
      <c r="K283" t="s">
        <v>4</v>
      </c>
      <c r="L283" t="s">
        <v>790</v>
      </c>
      <c r="M283" t="s">
        <v>790</v>
      </c>
      <c r="N283" s="2">
        <v>2961</v>
      </c>
      <c r="O283" t="s">
        <v>788</v>
      </c>
      <c r="P283" t="s">
        <v>9</v>
      </c>
      <c r="Q283" t="s">
        <v>86</v>
      </c>
      <c r="R283" t="e">
        <f>VLOOKUP(Q283,#REF!,2,FALSE)</f>
        <v>#REF!</v>
      </c>
      <c r="S283">
        <v>1511</v>
      </c>
      <c r="T283" t="s">
        <v>2224</v>
      </c>
      <c r="U283" t="s">
        <v>789</v>
      </c>
      <c r="V283" s="1">
        <v>45716</v>
      </c>
      <c r="W283" s="1">
        <v>45716</v>
      </c>
      <c r="X283" t="s">
        <v>388</v>
      </c>
      <c r="Y283" t="s">
        <v>389</v>
      </c>
      <c r="Z283" t="s">
        <v>6</v>
      </c>
      <c r="AA283" t="s">
        <v>389</v>
      </c>
      <c r="AB283" s="4">
        <f>L283/0.03</f>
        <v>98700</v>
      </c>
      <c r="AC283" s="6">
        <v>0.04</v>
      </c>
      <c r="AD283" s="4">
        <f>AB283*AC283</f>
        <v>3948</v>
      </c>
      <c r="AE283" s="4">
        <f t="shared" si="9"/>
        <v>987</v>
      </c>
    </row>
    <row r="284" spans="1:31" x14ac:dyDescent="0.25">
      <c r="A284" t="s">
        <v>0</v>
      </c>
      <c r="B284" s="3" t="s">
        <v>2219</v>
      </c>
      <c r="C284" t="s">
        <v>791</v>
      </c>
      <c r="D284" t="s">
        <v>69</v>
      </c>
      <c r="E284" t="s">
        <v>198</v>
      </c>
      <c r="F284" s="1">
        <v>45741</v>
      </c>
      <c r="G284" s="1">
        <v>45741</v>
      </c>
      <c r="H284" t="s">
        <v>780</v>
      </c>
      <c r="I284" t="s">
        <v>5</v>
      </c>
      <c r="J284" t="s">
        <v>6</v>
      </c>
      <c r="K284" t="s">
        <v>4</v>
      </c>
      <c r="L284" t="s">
        <v>792</v>
      </c>
      <c r="M284" t="s">
        <v>792</v>
      </c>
      <c r="N284" s="2">
        <v>2529537</v>
      </c>
      <c r="O284" t="s">
        <v>793</v>
      </c>
      <c r="P284" t="s">
        <v>9</v>
      </c>
      <c r="Q284" t="s">
        <v>75</v>
      </c>
      <c r="R284" t="e">
        <f>VLOOKUP(Q284,#REF!,2,FALSE)</f>
        <v>#REF!</v>
      </c>
      <c r="S284">
        <v>1511</v>
      </c>
      <c r="T284" t="s">
        <v>2224</v>
      </c>
      <c r="U284" t="s">
        <v>794</v>
      </c>
      <c r="V284" s="1">
        <v>45716</v>
      </c>
      <c r="W284" s="1">
        <v>45716</v>
      </c>
      <c r="X284" t="s">
        <v>77</v>
      </c>
      <c r="Y284" t="s">
        <v>78</v>
      </c>
      <c r="Z284" t="s">
        <v>6</v>
      </c>
      <c r="AA284" t="s">
        <v>78</v>
      </c>
      <c r="AB284" s="4">
        <f>L284/0.1</f>
        <v>25295370</v>
      </c>
      <c r="AC284" s="5" t="s">
        <v>2215</v>
      </c>
      <c r="AD284" s="4">
        <f>AB284/12</f>
        <v>2107947.5</v>
      </c>
      <c r="AE284" s="4">
        <f t="shared" si="9"/>
        <v>-421589.5</v>
      </c>
    </row>
    <row r="285" spans="1:31" x14ac:dyDescent="0.25">
      <c r="A285" t="s">
        <v>0</v>
      </c>
      <c r="B285" s="3" t="s">
        <v>2219</v>
      </c>
      <c r="C285" t="s">
        <v>791</v>
      </c>
      <c r="D285" t="s">
        <v>69</v>
      </c>
      <c r="E285" t="s">
        <v>200</v>
      </c>
      <c r="F285" s="1">
        <v>45747</v>
      </c>
      <c r="G285" s="1">
        <v>45749</v>
      </c>
      <c r="H285" t="s">
        <v>80</v>
      </c>
      <c r="I285" t="s">
        <v>5</v>
      </c>
      <c r="J285" t="s">
        <v>6</v>
      </c>
      <c r="K285" t="s">
        <v>4</v>
      </c>
      <c r="L285" t="s">
        <v>795</v>
      </c>
      <c r="M285" t="s">
        <v>795</v>
      </c>
      <c r="N285" s="2">
        <v>14940</v>
      </c>
      <c r="O285" t="s">
        <v>793</v>
      </c>
      <c r="P285" t="s">
        <v>9</v>
      </c>
      <c r="Q285" t="s">
        <v>82</v>
      </c>
      <c r="R285" t="e">
        <f>VLOOKUP(Q285,#REF!,2,FALSE)</f>
        <v>#REF!</v>
      </c>
      <c r="S285">
        <v>1511</v>
      </c>
      <c r="T285" t="s">
        <v>2224</v>
      </c>
      <c r="U285" t="s">
        <v>794</v>
      </c>
      <c r="V285" s="1">
        <v>45716</v>
      </c>
      <c r="W285" s="1">
        <v>45716</v>
      </c>
      <c r="X285" t="s">
        <v>77</v>
      </c>
      <c r="Y285" t="s">
        <v>78</v>
      </c>
      <c r="Z285" t="s">
        <v>6</v>
      </c>
      <c r="AA285" t="s">
        <v>78</v>
      </c>
      <c r="AB285" s="4">
        <f>L285/0.08</f>
        <v>186750</v>
      </c>
      <c r="AC285" s="6">
        <v>0.1</v>
      </c>
      <c r="AD285" s="4">
        <f>AB285*AC285</f>
        <v>18675</v>
      </c>
      <c r="AE285" s="4">
        <f t="shared" si="9"/>
        <v>3735</v>
      </c>
    </row>
    <row r="286" spans="1:31" x14ac:dyDescent="0.25">
      <c r="A286" t="s">
        <v>0</v>
      </c>
      <c r="B286" s="3" t="s">
        <v>2219</v>
      </c>
      <c r="C286" t="s">
        <v>791</v>
      </c>
      <c r="D286" t="s">
        <v>69</v>
      </c>
      <c r="E286" t="s">
        <v>71</v>
      </c>
      <c r="F286" s="1">
        <v>45747</v>
      </c>
      <c r="G286" s="1">
        <v>45749</v>
      </c>
      <c r="H286" t="s">
        <v>128</v>
      </c>
      <c r="I286" t="s">
        <v>5</v>
      </c>
      <c r="J286" t="s">
        <v>6</v>
      </c>
      <c r="K286" t="s">
        <v>4</v>
      </c>
      <c r="L286" t="s">
        <v>796</v>
      </c>
      <c r="M286" t="s">
        <v>796</v>
      </c>
      <c r="N286" s="2">
        <v>101780</v>
      </c>
      <c r="O286" t="s">
        <v>793</v>
      </c>
      <c r="P286" t="s">
        <v>9</v>
      </c>
      <c r="Q286" t="s">
        <v>86</v>
      </c>
      <c r="R286" t="e">
        <f>VLOOKUP(Q286,#REF!,2,FALSE)</f>
        <v>#REF!</v>
      </c>
      <c r="S286">
        <v>1511</v>
      </c>
      <c r="T286" t="s">
        <v>2224</v>
      </c>
      <c r="U286" t="s">
        <v>794</v>
      </c>
      <c r="V286" s="1">
        <v>45716</v>
      </c>
      <c r="W286" s="1">
        <v>45716</v>
      </c>
      <c r="X286" t="s">
        <v>77</v>
      </c>
      <c r="Y286" t="s">
        <v>78</v>
      </c>
      <c r="Z286" t="s">
        <v>6</v>
      </c>
      <c r="AA286" t="s">
        <v>78</v>
      </c>
      <c r="AB286" s="4">
        <f>L286/0.03</f>
        <v>3392666.666666667</v>
      </c>
      <c r="AC286" s="6">
        <v>0.04</v>
      </c>
      <c r="AD286" s="4">
        <f>AB286*AC286</f>
        <v>135706.66666666669</v>
      </c>
      <c r="AE286" s="4">
        <f t="shared" si="9"/>
        <v>33926.666666666686</v>
      </c>
    </row>
    <row r="287" spans="1:31" x14ac:dyDescent="0.25">
      <c r="A287" t="s">
        <v>0</v>
      </c>
      <c r="B287" s="3" t="s">
        <v>2219</v>
      </c>
      <c r="C287" t="s">
        <v>797</v>
      </c>
      <c r="D287" t="s">
        <v>69</v>
      </c>
      <c r="E287" t="s">
        <v>88</v>
      </c>
      <c r="F287" s="1">
        <v>45747</v>
      </c>
      <c r="G287" s="1">
        <v>45747</v>
      </c>
      <c r="H287" t="s">
        <v>400</v>
      </c>
      <c r="I287" t="s">
        <v>5</v>
      </c>
      <c r="J287" t="s">
        <v>6</v>
      </c>
      <c r="K287" t="s">
        <v>4</v>
      </c>
      <c r="L287" t="s">
        <v>798</v>
      </c>
      <c r="M287" t="s">
        <v>798</v>
      </c>
      <c r="N287" s="2">
        <v>4134905</v>
      </c>
      <c r="O287" t="s">
        <v>799</v>
      </c>
      <c r="P287" t="s">
        <v>9</v>
      </c>
      <c r="Q287" t="s">
        <v>75</v>
      </c>
      <c r="R287" t="e">
        <f>VLOOKUP(Q287,#REF!,2,FALSE)</f>
        <v>#REF!</v>
      </c>
      <c r="S287">
        <v>1004</v>
      </c>
      <c r="T287" t="s">
        <v>2225</v>
      </c>
      <c r="U287" t="s">
        <v>800</v>
      </c>
      <c r="V287" s="1">
        <v>45716</v>
      </c>
      <c r="W287" s="1">
        <v>45716</v>
      </c>
      <c r="X287" t="s">
        <v>77</v>
      </c>
      <c r="Y287" t="s">
        <v>78</v>
      </c>
      <c r="Z287" t="s">
        <v>6</v>
      </c>
      <c r="AA287" t="s">
        <v>78</v>
      </c>
      <c r="AB287" s="4">
        <f>L287/0.1</f>
        <v>41349050</v>
      </c>
      <c r="AC287" s="5" t="s">
        <v>2215</v>
      </c>
      <c r="AD287" s="4">
        <f>AB287/12</f>
        <v>3445754.1666666665</v>
      </c>
      <c r="AE287" s="4">
        <f t="shared" si="9"/>
        <v>-689150.83333333349</v>
      </c>
    </row>
    <row r="288" spans="1:31" x14ac:dyDescent="0.25">
      <c r="A288" t="s">
        <v>0</v>
      </c>
      <c r="B288" s="3" t="s">
        <v>2219</v>
      </c>
      <c r="C288" t="s">
        <v>797</v>
      </c>
      <c r="D288" t="s">
        <v>69</v>
      </c>
      <c r="E288" t="s">
        <v>92</v>
      </c>
      <c r="F288" s="1">
        <v>45747</v>
      </c>
      <c r="G288" s="1">
        <v>45749</v>
      </c>
      <c r="H288" t="s">
        <v>80</v>
      </c>
      <c r="I288" t="s">
        <v>5</v>
      </c>
      <c r="J288" t="s">
        <v>6</v>
      </c>
      <c r="K288" t="s">
        <v>4</v>
      </c>
      <c r="L288" t="s">
        <v>801</v>
      </c>
      <c r="M288" t="s">
        <v>801</v>
      </c>
      <c r="N288" s="2">
        <v>58353</v>
      </c>
      <c r="O288" t="s">
        <v>799</v>
      </c>
      <c r="P288" t="s">
        <v>9</v>
      </c>
      <c r="Q288" t="s">
        <v>82</v>
      </c>
      <c r="R288" t="e">
        <f>VLOOKUP(Q288,#REF!,2,FALSE)</f>
        <v>#REF!</v>
      </c>
      <c r="S288">
        <v>1004</v>
      </c>
      <c r="T288" t="s">
        <v>2225</v>
      </c>
      <c r="U288" t="s">
        <v>800</v>
      </c>
      <c r="V288" s="1">
        <v>45716</v>
      </c>
      <c r="W288" s="1">
        <v>45716</v>
      </c>
      <c r="X288" t="s">
        <v>77</v>
      </c>
      <c r="Y288" t="s">
        <v>78</v>
      </c>
      <c r="Z288" t="s">
        <v>6</v>
      </c>
      <c r="AA288" t="s">
        <v>78</v>
      </c>
      <c r="AB288" s="4">
        <f>L288/0.08</f>
        <v>729412.5</v>
      </c>
      <c r="AC288" s="6">
        <v>0.1</v>
      </c>
      <c r="AD288" s="4">
        <f>AB288*AC288</f>
        <v>72941.25</v>
      </c>
      <c r="AE288" s="4">
        <f t="shared" si="9"/>
        <v>14588.25</v>
      </c>
    </row>
    <row r="289" spans="1:31" x14ac:dyDescent="0.25">
      <c r="A289" t="s">
        <v>0</v>
      </c>
      <c r="B289" s="3" t="s">
        <v>2219</v>
      </c>
      <c r="C289" t="s">
        <v>797</v>
      </c>
      <c r="D289" t="s">
        <v>69</v>
      </c>
      <c r="E289" t="s">
        <v>94</v>
      </c>
      <c r="F289" s="1">
        <v>45747</v>
      </c>
      <c r="G289" s="1">
        <v>45749</v>
      </c>
      <c r="H289" t="s">
        <v>128</v>
      </c>
      <c r="I289" t="s">
        <v>5</v>
      </c>
      <c r="J289" t="s">
        <v>6</v>
      </c>
      <c r="K289" t="s">
        <v>4</v>
      </c>
      <c r="L289" t="s">
        <v>802</v>
      </c>
      <c r="M289" t="s">
        <v>802</v>
      </c>
      <c r="N289" s="2">
        <v>167733</v>
      </c>
      <c r="O289" t="s">
        <v>799</v>
      </c>
      <c r="P289" t="s">
        <v>9</v>
      </c>
      <c r="Q289" t="s">
        <v>86</v>
      </c>
      <c r="R289" t="e">
        <f>VLOOKUP(Q289,#REF!,2,FALSE)</f>
        <v>#REF!</v>
      </c>
      <c r="S289">
        <v>1004</v>
      </c>
      <c r="T289" t="s">
        <v>2225</v>
      </c>
      <c r="U289" t="s">
        <v>800</v>
      </c>
      <c r="V289" s="1">
        <v>45716</v>
      </c>
      <c r="W289" s="1">
        <v>45716</v>
      </c>
      <c r="X289" t="s">
        <v>77</v>
      </c>
      <c r="Y289" t="s">
        <v>78</v>
      </c>
      <c r="Z289" t="s">
        <v>6</v>
      </c>
      <c r="AA289" t="s">
        <v>78</v>
      </c>
      <c r="AB289" s="4">
        <f>L289/0.03</f>
        <v>5591100</v>
      </c>
      <c r="AC289" s="6">
        <v>0.04</v>
      </c>
      <c r="AD289" s="4">
        <f>AB289*AC289</f>
        <v>223644</v>
      </c>
      <c r="AE289" s="4">
        <f t="shared" si="9"/>
        <v>55911</v>
      </c>
    </row>
    <row r="290" spans="1:31" x14ac:dyDescent="0.25">
      <c r="A290" t="s">
        <v>0</v>
      </c>
      <c r="B290" s="3" t="s">
        <v>2219</v>
      </c>
      <c r="C290" t="s">
        <v>803</v>
      </c>
      <c r="D290" t="s">
        <v>69</v>
      </c>
      <c r="E290" t="s">
        <v>203</v>
      </c>
      <c r="F290" s="1">
        <v>45747</v>
      </c>
      <c r="G290" s="1">
        <v>45747</v>
      </c>
      <c r="H290" t="s">
        <v>400</v>
      </c>
      <c r="I290" t="s">
        <v>5</v>
      </c>
      <c r="J290" t="s">
        <v>6</v>
      </c>
      <c r="K290" t="s">
        <v>4</v>
      </c>
      <c r="L290" t="s">
        <v>804</v>
      </c>
      <c r="M290" t="s">
        <v>804</v>
      </c>
      <c r="N290" s="2">
        <v>456941</v>
      </c>
      <c r="O290" t="s">
        <v>805</v>
      </c>
      <c r="P290" t="s">
        <v>9</v>
      </c>
      <c r="Q290" t="s">
        <v>75</v>
      </c>
      <c r="R290" t="e">
        <f>VLOOKUP(Q290,#REF!,2,FALSE)</f>
        <v>#REF!</v>
      </c>
      <c r="S290">
        <v>1001</v>
      </c>
      <c r="T290" t="s">
        <v>2227</v>
      </c>
      <c r="U290" t="s">
        <v>806</v>
      </c>
      <c r="V290" s="1">
        <v>45716</v>
      </c>
      <c r="W290" s="1">
        <v>45716</v>
      </c>
      <c r="X290" t="s">
        <v>77</v>
      </c>
      <c r="Y290" t="s">
        <v>78</v>
      </c>
      <c r="Z290" t="s">
        <v>6</v>
      </c>
      <c r="AA290" t="s">
        <v>78</v>
      </c>
      <c r="AB290" s="4">
        <f>L290/0.1</f>
        <v>4569410</v>
      </c>
      <c r="AC290" s="5" t="s">
        <v>2215</v>
      </c>
      <c r="AD290" s="4">
        <f>AB290/12</f>
        <v>380784.16666666669</v>
      </c>
      <c r="AE290" s="4">
        <f t="shared" si="9"/>
        <v>-76156.833333333314</v>
      </c>
    </row>
    <row r="291" spans="1:31" x14ac:dyDescent="0.25">
      <c r="A291" t="s">
        <v>0</v>
      </c>
      <c r="B291" s="3" t="s">
        <v>2219</v>
      </c>
      <c r="C291" t="s">
        <v>803</v>
      </c>
      <c r="D291" t="s">
        <v>69</v>
      </c>
      <c r="E291" t="s">
        <v>208</v>
      </c>
      <c r="F291" s="1">
        <v>45747</v>
      </c>
      <c r="G291" s="1">
        <v>45749</v>
      </c>
      <c r="H291" t="s">
        <v>128</v>
      </c>
      <c r="I291" t="s">
        <v>5</v>
      </c>
      <c r="J291" t="s">
        <v>6</v>
      </c>
      <c r="K291" t="s">
        <v>4</v>
      </c>
      <c r="L291" t="s">
        <v>807</v>
      </c>
      <c r="M291" t="s">
        <v>807</v>
      </c>
      <c r="N291" s="2">
        <v>18277</v>
      </c>
      <c r="O291" t="s">
        <v>805</v>
      </c>
      <c r="P291" t="s">
        <v>9</v>
      </c>
      <c r="Q291" t="s">
        <v>86</v>
      </c>
      <c r="R291" t="e">
        <f>VLOOKUP(Q291,#REF!,2,FALSE)</f>
        <v>#REF!</v>
      </c>
      <c r="S291">
        <v>1001</v>
      </c>
      <c r="T291" t="s">
        <v>2227</v>
      </c>
      <c r="U291" t="s">
        <v>806</v>
      </c>
      <c r="V291" s="1">
        <v>45716</v>
      </c>
      <c r="W291" s="1">
        <v>45716</v>
      </c>
      <c r="X291" t="s">
        <v>77</v>
      </c>
      <c r="Y291" t="s">
        <v>78</v>
      </c>
      <c r="Z291" t="s">
        <v>6</v>
      </c>
      <c r="AA291" t="s">
        <v>78</v>
      </c>
      <c r="AB291" s="4">
        <f>L291/0.03</f>
        <v>609233.33333333337</v>
      </c>
      <c r="AC291" s="6">
        <v>0.04</v>
      </c>
      <c r="AD291" s="4">
        <f>AB291*AC291</f>
        <v>24369.333333333336</v>
      </c>
      <c r="AE291" s="4">
        <f t="shared" si="9"/>
        <v>6092.3333333333358</v>
      </c>
    </row>
    <row r="292" spans="1:31" x14ac:dyDescent="0.25">
      <c r="A292" t="s">
        <v>0</v>
      </c>
      <c r="B292" s="3" t="s">
        <v>2219</v>
      </c>
      <c r="C292" t="s">
        <v>808</v>
      </c>
      <c r="D292" t="s">
        <v>69</v>
      </c>
      <c r="E292" t="s">
        <v>157</v>
      </c>
      <c r="F292" s="1">
        <v>45747</v>
      </c>
      <c r="G292" s="1">
        <v>45747</v>
      </c>
      <c r="H292" t="s">
        <v>400</v>
      </c>
      <c r="I292" t="s">
        <v>5</v>
      </c>
      <c r="J292" t="s">
        <v>6</v>
      </c>
      <c r="K292" t="s">
        <v>4</v>
      </c>
      <c r="L292" t="s">
        <v>809</v>
      </c>
      <c r="M292" t="s">
        <v>809</v>
      </c>
      <c r="N292" s="2">
        <v>420522</v>
      </c>
      <c r="O292" t="s">
        <v>810</v>
      </c>
      <c r="P292" t="s">
        <v>9</v>
      </c>
      <c r="Q292" t="s">
        <v>75</v>
      </c>
      <c r="R292" t="e">
        <f>VLOOKUP(Q292,#REF!,2,FALSE)</f>
        <v>#REF!</v>
      </c>
      <c r="S292">
        <v>1004</v>
      </c>
      <c r="T292" t="s">
        <v>2225</v>
      </c>
      <c r="U292" t="s">
        <v>811</v>
      </c>
      <c r="V292" s="1">
        <v>45716</v>
      </c>
      <c r="W292" s="1">
        <v>45716</v>
      </c>
      <c r="X292" t="s">
        <v>77</v>
      </c>
      <c r="Y292" t="s">
        <v>78</v>
      </c>
      <c r="Z292" t="s">
        <v>6</v>
      </c>
      <c r="AA292" t="s">
        <v>78</v>
      </c>
      <c r="AB292" s="4">
        <f>L292/0.1</f>
        <v>4205220</v>
      </c>
      <c r="AC292" s="5" t="s">
        <v>2215</v>
      </c>
      <c r="AD292" s="4">
        <f>AB292/12</f>
        <v>350435</v>
      </c>
      <c r="AE292" s="4">
        <f t="shared" si="9"/>
        <v>-70087</v>
      </c>
    </row>
    <row r="293" spans="1:31" x14ac:dyDescent="0.25">
      <c r="A293" t="s">
        <v>0</v>
      </c>
      <c r="B293" s="3" t="s">
        <v>2219</v>
      </c>
      <c r="C293" t="s">
        <v>808</v>
      </c>
      <c r="D293" t="s">
        <v>69</v>
      </c>
      <c r="E293" t="s">
        <v>88</v>
      </c>
      <c r="F293" s="1">
        <v>45747</v>
      </c>
      <c r="G293" s="1">
        <v>45749</v>
      </c>
      <c r="H293" t="s">
        <v>128</v>
      </c>
      <c r="I293" t="s">
        <v>5</v>
      </c>
      <c r="J293" t="s">
        <v>6</v>
      </c>
      <c r="K293" t="s">
        <v>4</v>
      </c>
      <c r="L293" t="s">
        <v>812</v>
      </c>
      <c r="M293" t="s">
        <v>812</v>
      </c>
      <c r="N293" s="2">
        <v>16819</v>
      </c>
      <c r="O293" t="s">
        <v>810</v>
      </c>
      <c r="P293" t="s">
        <v>9</v>
      </c>
      <c r="Q293" t="s">
        <v>86</v>
      </c>
      <c r="R293" t="e">
        <f>VLOOKUP(Q293,#REF!,2,FALSE)</f>
        <v>#REF!</v>
      </c>
      <c r="S293">
        <v>1004</v>
      </c>
      <c r="T293" t="s">
        <v>2225</v>
      </c>
      <c r="U293" t="s">
        <v>811</v>
      </c>
      <c r="V293" s="1">
        <v>45716</v>
      </c>
      <c r="W293" s="1">
        <v>45716</v>
      </c>
      <c r="X293" t="s">
        <v>77</v>
      </c>
      <c r="Y293" t="s">
        <v>78</v>
      </c>
      <c r="Z293" t="s">
        <v>6</v>
      </c>
      <c r="AA293" t="s">
        <v>78</v>
      </c>
      <c r="AB293" s="4">
        <f>L293/0.03</f>
        <v>560633.33333333337</v>
      </c>
      <c r="AC293" s="6">
        <v>0.04</v>
      </c>
      <c r="AD293" s="4">
        <f>AB293*AC293</f>
        <v>22425.333333333336</v>
      </c>
      <c r="AE293" s="4">
        <f t="shared" si="9"/>
        <v>5606.3333333333358</v>
      </c>
    </row>
    <row r="294" spans="1:31" x14ac:dyDescent="0.25">
      <c r="A294" t="s">
        <v>0</v>
      </c>
      <c r="B294" s="3" t="s">
        <v>2219</v>
      </c>
      <c r="C294" t="s">
        <v>813</v>
      </c>
      <c r="D294" t="s">
        <v>69</v>
      </c>
      <c r="E294" t="s">
        <v>43</v>
      </c>
      <c r="F294" s="1">
        <v>45747</v>
      </c>
      <c r="G294" s="1">
        <v>45747</v>
      </c>
      <c r="H294" t="s">
        <v>400</v>
      </c>
      <c r="I294" t="s">
        <v>5</v>
      </c>
      <c r="J294" t="s">
        <v>6</v>
      </c>
      <c r="K294" t="s">
        <v>4</v>
      </c>
      <c r="L294" t="s">
        <v>814</v>
      </c>
      <c r="M294" t="s">
        <v>814</v>
      </c>
      <c r="N294" s="2">
        <v>411660</v>
      </c>
      <c r="O294" t="s">
        <v>815</v>
      </c>
      <c r="P294" t="s">
        <v>9</v>
      </c>
      <c r="Q294" t="s">
        <v>75</v>
      </c>
      <c r="R294" t="e">
        <f>VLOOKUP(Q294,#REF!,2,FALSE)</f>
        <v>#REF!</v>
      </c>
      <c r="S294">
        <v>1001</v>
      </c>
      <c r="T294" t="s">
        <v>2227</v>
      </c>
      <c r="U294" t="s">
        <v>816</v>
      </c>
      <c r="V294" s="1">
        <v>45716</v>
      </c>
      <c r="W294" s="1">
        <v>45716</v>
      </c>
      <c r="X294" t="s">
        <v>77</v>
      </c>
      <c r="Y294" t="s">
        <v>78</v>
      </c>
      <c r="Z294" t="s">
        <v>6</v>
      </c>
      <c r="AA294" t="s">
        <v>78</v>
      </c>
      <c r="AB294" s="4">
        <f>L294/0.1</f>
        <v>4116600</v>
      </c>
      <c r="AC294" s="5" t="s">
        <v>2215</v>
      </c>
      <c r="AD294" s="4">
        <f>AB294/12</f>
        <v>343050</v>
      </c>
      <c r="AE294" s="4">
        <f t="shared" si="9"/>
        <v>-68610</v>
      </c>
    </row>
    <row r="295" spans="1:31" x14ac:dyDescent="0.25">
      <c r="A295" t="s">
        <v>0</v>
      </c>
      <c r="B295" s="3" t="s">
        <v>2219</v>
      </c>
      <c r="C295" t="s">
        <v>813</v>
      </c>
      <c r="D295" t="s">
        <v>69</v>
      </c>
      <c r="E295" t="s">
        <v>104</v>
      </c>
      <c r="F295" s="1">
        <v>45747</v>
      </c>
      <c r="G295" s="1">
        <v>45749</v>
      </c>
      <c r="H295" t="s">
        <v>128</v>
      </c>
      <c r="I295" t="s">
        <v>5</v>
      </c>
      <c r="J295" t="s">
        <v>6</v>
      </c>
      <c r="K295" t="s">
        <v>4</v>
      </c>
      <c r="L295" t="s">
        <v>817</v>
      </c>
      <c r="M295" t="s">
        <v>817</v>
      </c>
      <c r="N295" s="2">
        <v>16467</v>
      </c>
      <c r="O295" t="s">
        <v>815</v>
      </c>
      <c r="P295" t="s">
        <v>9</v>
      </c>
      <c r="Q295" t="s">
        <v>86</v>
      </c>
      <c r="R295" t="e">
        <f>VLOOKUP(Q295,#REF!,2,FALSE)</f>
        <v>#REF!</v>
      </c>
      <c r="S295">
        <v>1001</v>
      </c>
      <c r="T295" t="s">
        <v>2227</v>
      </c>
      <c r="U295" t="s">
        <v>816</v>
      </c>
      <c r="V295" s="1">
        <v>45716</v>
      </c>
      <c r="W295" s="1">
        <v>45716</v>
      </c>
      <c r="X295" t="s">
        <v>77</v>
      </c>
      <c r="Y295" t="s">
        <v>78</v>
      </c>
      <c r="Z295" t="s">
        <v>6</v>
      </c>
      <c r="AA295" t="s">
        <v>78</v>
      </c>
      <c r="AB295" s="4">
        <f>L295/0.03</f>
        <v>548900</v>
      </c>
      <c r="AC295" s="6">
        <v>0.04</v>
      </c>
      <c r="AD295" s="4">
        <f>AB295*AC295</f>
        <v>21956</v>
      </c>
      <c r="AE295" s="4">
        <f t="shared" si="9"/>
        <v>5489</v>
      </c>
    </row>
    <row r="296" spans="1:31" x14ac:dyDescent="0.25">
      <c r="A296" t="s">
        <v>0</v>
      </c>
      <c r="B296" s="3" t="s">
        <v>2219</v>
      </c>
      <c r="C296" t="s">
        <v>818</v>
      </c>
      <c r="D296" t="s">
        <v>69</v>
      </c>
      <c r="E296" t="s">
        <v>109</v>
      </c>
      <c r="F296" s="1">
        <v>45747</v>
      </c>
      <c r="G296" s="1">
        <v>45747</v>
      </c>
      <c r="H296" t="s">
        <v>400</v>
      </c>
      <c r="I296" t="s">
        <v>5</v>
      </c>
      <c r="J296" t="s">
        <v>6</v>
      </c>
      <c r="K296" t="s">
        <v>4</v>
      </c>
      <c r="L296" t="s">
        <v>819</v>
      </c>
      <c r="M296" t="s">
        <v>819</v>
      </c>
      <c r="N296" s="2">
        <v>659094</v>
      </c>
      <c r="O296" t="s">
        <v>820</v>
      </c>
      <c r="P296" t="s">
        <v>9</v>
      </c>
      <c r="Q296" t="s">
        <v>75</v>
      </c>
      <c r="R296" t="e">
        <f>VLOOKUP(Q296,#REF!,2,FALSE)</f>
        <v>#REF!</v>
      </c>
      <c r="S296">
        <v>1001</v>
      </c>
      <c r="T296" t="s">
        <v>2227</v>
      </c>
      <c r="U296" t="s">
        <v>821</v>
      </c>
      <c r="V296" s="1">
        <v>45716</v>
      </c>
      <c r="W296" s="1">
        <v>45716</v>
      </c>
      <c r="X296" t="s">
        <v>77</v>
      </c>
      <c r="Y296" t="s">
        <v>78</v>
      </c>
      <c r="Z296" t="s">
        <v>6</v>
      </c>
      <c r="AA296" t="s">
        <v>78</v>
      </c>
      <c r="AB296" s="4">
        <f>L296/0.1</f>
        <v>6590940</v>
      </c>
      <c r="AC296" s="5" t="s">
        <v>2215</v>
      </c>
      <c r="AD296" s="4">
        <f>AB296/12</f>
        <v>549245</v>
      </c>
      <c r="AE296" s="4">
        <f t="shared" si="9"/>
        <v>-109849</v>
      </c>
    </row>
    <row r="297" spans="1:31" x14ac:dyDescent="0.25">
      <c r="A297" t="s">
        <v>0</v>
      </c>
      <c r="B297" s="3" t="s">
        <v>2219</v>
      </c>
      <c r="C297" t="s">
        <v>818</v>
      </c>
      <c r="D297" t="s">
        <v>69</v>
      </c>
      <c r="E297" t="s">
        <v>203</v>
      </c>
      <c r="F297" s="1">
        <v>45747</v>
      </c>
      <c r="G297" s="1">
        <v>45749</v>
      </c>
      <c r="H297" t="s">
        <v>128</v>
      </c>
      <c r="I297" t="s">
        <v>5</v>
      </c>
      <c r="J297" t="s">
        <v>6</v>
      </c>
      <c r="K297" t="s">
        <v>4</v>
      </c>
      <c r="L297" t="s">
        <v>822</v>
      </c>
      <c r="M297" t="s">
        <v>822</v>
      </c>
      <c r="N297" s="2">
        <v>26364</v>
      </c>
      <c r="O297" t="s">
        <v>820</v>
      </c>
      <c r="P297" t="s">
        <v>9</v>
      </c>
      <c r="Q297" t="s">
        <v>86</v>
      </c>
      <c r="R297" t="e">
        <f>VLOOKUP(Q297,#REF!,2,FALSE)</f>
        <v>#REF!</v>
      </c>
      <c r="S297">
        <v>1001</v>
      </c>
      <c r="T297" t="s">
        <v>2227</v>
      </c>
      <c r="U297" t="s">
        <v>821</v>
      </c>
      <c r="V297" s="1">
        <v>45716</v>
      </c>
      <c r="W297" s="1">
        <v>45716</v>
      </c>
      <c r="X297" t="s">
        <v>77</v>
      </c>
      <c r="Y297" t="s">
        <v>78</v>
      </c>
      <c r="Z297" t="s">
        <v>6</v>
      </c>
      <c r="AA297" t="s">
        <v>78</v>
      </c>
      <c r="AB297" s="4">
        <f>L297/0.03</f>
        <v>878800</v>
      </c>
      <c r="AC297" s="6">
        <v>0.04</v>
      </c>
      <c r="AD297" s="4">
        <f>AB297*AC297</f>
        <v>35152</v>
      </c>
      <c r="AE297" s="4">
        <f t="shared" si="9"/>
        <v>8788</v>
      </c>
    </row>
    <row r="298" spans="1:31" x14ac:dyDescent="0.25">
      <c r="A298" t="s">
        <v>0</v>
      </c>
      <c r="B298" s="3" t="s">
        <v>2219</v>
      </c>
      <c r="C298" t="s">
        <v>823</v>
      </c>
      <c r="D298" t="s">
        <v>69</v>
      </c>
      <c r="E298" t="s">
        <v>67</v>
      </c>
      <c r="F298" s="1">
        <v>45722</v>
      </c>
      <c r="G298" s="1">
        <v>45727</v>
      </c>
      <c r="H298" t="s">
        <v>824</v>
      </c>
      <c r="I298" t="s">
        <v>5</v>
      </c>
      <c r="J298" t="s">
        <v>6</v>
      </c>
      <c r="K298" t="s">
        <v>4</v>
      </c>
      <c r="L298" t="s">
        <v>825</v>
      </c>
      <c r="M298" t="s">
        <v>825</v>
      </c>
      <c r="N298" s="2">
        <v>2172186</v>
      </c>
      <c r="O298" t="s">
        <v>826</v>
      </c>
      <c r="P298" t="s">
        <v>9</v>
      </c>
      <c r="Q298" t="s">
        <v>75</v>
      </c>
      <c r="R298" t="e">
        <f>VLOOKUP(Q298,#REF!,2,FALSE)</f>
        <v>#REF!</v>
      </c>
      <c r="S298">
        <v>1511</v>
      </c>
      <c r="T298" t="s">
        <v>2224</v>
      </c>
      <c r="U298" t="s">
        <v>827</v>
      </c>
      <c r="V298" s="1">
        <v>45716</v>
      </c>
      <c r="W298" s="1">
        <v>45716</v>
      </c>
      <c r="X298" t="s">
        <v>77</v>
      </c>
      <c r="Y298" t="s">
        <v>78</v>
      </c>
      <c r="Z298" t="s">
        <v>6</v>
      </c>
      <c r="AA298" t="s">
        <v>78</v>
      </c>
      <c r="AB298" s="4">
        <f>L298/0.1</f>
        <v>21721860</v>
      </c>
      <c r="AC298" s="5" t="s">
        <v>2215</v>
      </c>
      <c r="AD298" s="4">
        <f>AB298/12</f>
        <v>1810155</v>
      </c>
      <c r="AE298" s="4">
        <f t="shared" si="9"/>
        <v>-362031</v>
      </c>
    </row>
    <row r="299" spans="1:31" x14ac:dyDescent="0.25">
      <c r="A299" t="s">
        <v>0</v>
      </c>
      <c r="B299" s="3" t="s">
        <v>2219</v>
      </c>
      <c r="C299" t="s">
        <v>823</v>
      </c>
      <c r="D299" t="s">
        <v>69</v>
      </c>
      <c r="E299" t="s">
        <v>227</v>
      </c>
      <c r="F299" s="1">
        <v>45722</v>
      </c>
      <c r="G299" s="1">
        <v>45727</v>
      </c>
      <c r="H299" t="s">
        <v>824</v>
      </c>
      <c r="I299" t="s">
        <v>5</v>
      </c>
      <c r="J299" t="s">
        <v>6</v>
      </c>
      <c r="K299" t="s">
        <v>4</v>
      </c>
      <c r="L299" t="s">
        <v>828</v>
      </c>
      <c r="M299" t="s">
        <v>828</v>
      </c>
      <c r="N299" s="2">
        <v>17385</v>
      </c>
      <c r="O299" t="s">
        <v>826</v>
      </c>
      <c r="P299" t="s">
        <v>9</v>
      </c>
      <c r="Q299" t="s">
        <v>82</v>
      </c>
      <c r="R299" t="e">
        <f>VLOOKUP(Q299,#REF!,2,FALSE)</f>
        <v>#REF!</v>
      </c>
      <c r="S299">
        <v>1511</v>
      </c>
      <c r="T299" t="s">
        <v>2224</v>
      </c>
      <c r="U299" t="s">
        <v>827</v>
      </c>
      <c r="V299" s="1">
        <v>45716</v>
      </c>
      <c r="W299" s="1">
        <v>45716</v>
      </c>
      <c r="X299" t="s">
        <v>77</v>
      </c>
      <c r="Y299" t="s">
        <v>78</v>
      </c>
      <c r="Z299" t="s">
        <v>6</v>
      </c>
      <c r="AA299" t="s">
        <v>78</v>
      </c>
      <c r="AB299" s="4">
        <f>L299/0.08</f>
        <v>217312.5</v>
      </c>
      <c r="AC299" s="6">
        <v>0.1</v>
      </c>
      <c r="AD299" s="4">
        <f>AB299*AC299</f>
        <v>21731.25</v>
      </c>
      <c r="AE299" s="4">
        <f t="shared" si="9"/>
        <v>4346.25</v>
      </c>
    </row>
    <row r="300" spans="1:31" x14ac:dyDescent="0.25">
      <c r="A300" t="s">
        <v>0</v>
      </c>
      <c r="B300" s="3" t="s">
        <v>2219</v>
      </c>
      <c r="C300" t="s">
        <v>823</v>
      </c>
      <c r="D300" t="s">
        <v>69</v>
      </c>
      <c r="E300" t="s">
        <v>143</v>
      </c>
      <c r="F300" s="1">
        <v>45722</v>
      </c>
      <c r="G300" s="1">
        <v>45727</v>
      </c>
      <c r="H300" t="s">
        <v>824</v>
      </c>
      <c r="I300" t="s">
        <v>5</v>
      </c>
      <c r="J300" t="s">
        <v>6</v>
      </c>
      <c r="K300" t="s">
        <v>4</v>
      </c>
      <c r="L300" t="s">
        <v>829</v>
      </c>
      <c r="M300" t="s">
        <v>829</v>
      </c>
      <c r="N300" s="2">
        <v>87583</v>
      </c>
      <c r="O300" t="s">
        <v>826</v>
      </c>
      <c r="P300" t="s">
        <v>9</v>
      </c>
      <c r="Q300" t="s">
        <v>86</v>
      </c>
      <c r="R300" t="e">
        <f>VLOOKUP(Q300,#REF!,2,FALSE)</f>
        <v>#REF!</v>
      </c>
      <c r="S300">
        <v>1511</v>
      </c>
      <c r="T300" t="s">
        <v>2224</v>
      </c>
      <c r="U300" t="s">
        <v>827</v>
      </c>
      <c r="V300" s="1">
        <v>45716</v>
      </c>
      <c r="W300" s="1">
        <v>45716</v>
      </c>
      <c r="X300" t="s">
        <v>77</v>
      </c>
      <c r="Y300" t="s">
        <v>78</v>
      </c>
      <c r="Z300" t="s">
        <v>6</v>
      </c>
      <c r="AA300" t="s">
        <v>78</v>
      </c>
      <c r="AB300" s="4">
        <f>L300/0.03</f>
        <v>2919433.3333333335</v>
      </c>
      <c r="AC300" s="6">
        <v>0.04</v>
      </c>
      <c r="AD300" s="4">
        <f>AB300*AC300</f>
        <v>116777.33333333334</v>
      </c>
      <c r="AE300" s="4">
        <f t="shared" si="9"/>
        <v>29194.333333333343</v>
      </c>
    </row>
    <row r="301" spans="1:31" x14ac:dyDescent="0.25">
      <c r="A301" t="s">
        <v>0</v>
      </c>
      <c r="B301" s="3" t="s">
        <v>2219</v>
      </c>
      <c r="C301" t="s">
        <v>830</v>
      </c>
      <c r="D301" t="s">
        <v>69</v>
      </c>
      <c r="E301" t="s">
        <v>203</v>
      </c>
      <c r="F301" s="1">
        <v>45722</v>
      </c>
      <c r="G301" s="1">
        <v>45727</v>
      </c>
      <c r="H301" t="s">
        <v>831</v>
      </c>
      <c r="I301" t="s">
        <v>5</v>
      </c>
      <c r="J301" t="s">
        <v>6</v>
      </c>
      <c r="K301" t="s">
        <v>4</v>
      </c>
      <c r="L301" t="s">
        <v>832</v>
      </c>
      <c r="M301" t="s">
        <v>832</v>
      </c>
      <c r="N301" s="2">
        <v>85500</v>
      </c>
      <c r="O301" t="s">
        <v>833</v>
      </c>
      <c r="P301" t="s">
        <v>9</v>
      </c>
      <c r="Q301" t="s">
        <v>75</v>
      </c>
      <c r="R301" t="e">
        <f>VLOOKUP(Q301,#REF!,2,FALSE)</f>
        <v>#REF!</v>
      </c>
      <c r="S301">
        <v>1511</v>
      </c>
      <c r="T301" t="s">
        <v>2224</v>
      </c>
      <c r="U301" t="s">
        <v>834</v>
      </c>
      <c r="V301" s="1">
        <v>45716</v>
      </c>
      <c r="W301" s="1">
        <v>45716</v>
      </c>
      <c r="X301" t="s">
        <v>388</v>
      </c>
      <c r="Y301" t="s">
        <v>389</v>
      </c>
      <c r="Z301" t="s">
        <v>6</v>
      </c>
      <c r="AA301" t="s">
        <v>389</v>
      </c>
      <c r="AB301" s="4">
        <f>L301/0.1</f>
        <v>855000</v>
      </c>
      <c r="AC301" s="5" t="s">
        <v>2215</v>
      </c>
      <c r="AD301" s="4">
        <f>AB301/12</f>
        <v>71250</v>
      </c>
      <c r="AE301" s="4">
        <f t="shared" si="9"/>
        <v>-14250</v>
      </c>
    </row>
    <row r="302" spans="1:31" x14ac:dyDescent="0.25">
      <c r="A302" t="s">
        <v>0</v>
      </c>
      <c r="B302" s="3" t="s">
        <v>2219</v>
      </c>
      <c r="C302" t="s">
        <v>830</v>
      </c>
      <c r="D302" t="s">
        <v>69</v>
      </c>
      <c r="E302" t="s">
        <v>208</v>
      </c>
      <c r="F302" s="1">
        <v>45722</v>
      </c>
      <c r="G302" s="1">
        <v>45727</v>
      </c>
      <c r="H302" t="s">
        <v>831</v>
      </c>
      <c r="I302" t="s">
        <v>5</v>
      </c>
      <c r="J302" t="s">
        <v>6</v>
      </c>
      <c r="K302" t="s">
        <v>4</v>
      </c>
      <c r="L302" t="s">
        <v>835</v>
      </c>
      <c r="M302" t="s">
        <v>835</v>
      </c>
      <c r="N302" s="2">
        <v>3421</v>
      </c>
      <c r="O302" t="s">
        <v>833</v>
      </c>
      <c r="P302" t="s">
        <v>9</v>
      </c>
      <c r="Q302" t="s">
        <v>86</v>
      </c>
      <c r="R302" t="e">
        <f>VLOOKUP(Q302,#REF!,2,FALSE)</f>
        <v>#REF!</v>
      </c>
      <c r="S302">
        <v>1511</v>
      </c>
      <c r="T302" t="s">
        <v>2224</v>
      </c>
      <c r="U302" t="s">
        <v>834</v>
      </c>
      <c r="V302" s="1">
        <v>45716</v>
      </c>
      <c r="W302" s="1">
        <v>45716</v>
      </c>
      <c r="X302" t="s">
        <v>388</v>
      </c>
      <c r="Y302" t="s">
        <v>389</v>
      </c>
      <c r="Z302" t="s">
        <v>6</v>
      </c>
      <c r="AA302" t="s">
        <v>389</v>
      </c>
      <c r="AB302" s="4">
        <f>L302/0.03</f>
        <v>114033.33333333334</v>
      </c>
      <c r="AC302" s="6">
        <v>0.04</v>
      </c>
      <c r="AD302" s="4">
        <f>AB302*AC302</f>
        <v>4561.3333333333339</v>
      </c>
      <c r="AE302" s="4">
        <f t="shared" si="9"/>
        <v>1140.3333333333339</v>
      </c>
    </row>
    <row r="303" spans="1:31" x14ac:dyDescent="0.25">
      <c r="A303" t="s">
        <v>0</v>
      </c>
      <c r="B303" s="3" t="s">
        <v>2219</v>
      </c>
      <c r="C303" t="s">
        <v>836</v>
      </c>
      <c r="D303" t="s">
        <v>69</v>
      </c>
      <c r="E303" t="s">
        <v>208</v>
      </c>
      <c r="F303" s="1">
        <v>45723</v>
      </c>
      <c r="G303" s="1">
        <v>45741</v>
      </c>
      <c r="H303" t="s">
        <v>837</v>
      </c>
      <c r="I303" t="s">
        <v>5</v>
      </c>
      <c r="J303" t="s">
        <v>6</v>
      </c>
      <c r="K303" t="s">
        <v>4</v>
      </c>
      <c r="L303" t="s">
        <v>838</v>
      </c>
      <c r="M303" t="s">
        <v>838</v>
      </c>
      <c r="N303" s="2">
        <v>663675</v>
      </c>
      <c r="O303" t="s">
        <v>839</v>
      </c>
      <c r="P303" t="s">
        <v>9</v>
      </c>
      <c r="Q303" t="s">
        <v>75</v>
      </c>
      <c r="R303" t="e">
        <f>VLOOKUP(Q303,#REF!,2,FALSE)</f>
        <v>#REF!</v>
      </c>
      <c r="S303">
        <v>1408</v>
      </c>
      <c r="T303" t="s">
        <v>2223</v>
      </c>
      <c r="U303" t="s">
        <v>840</v>
      </c>
      <c r="V303" s="1">
        <v>45716</v>
      </c>
      <c r="W303" s="1">
        <v>45716</v>
      </c>
      <c r="X303" t="s">
        <v>77</v>
      </c>
      <c r="Y303" t="s">
        <v>78</v>
      </c>
      <c r="Z303" t="s">
        <v>6</v>
      </c>
      <c r="AA303" t="s">
        <v>78</v>
      </c>
      <c r="AB303" s="4">
        <f>L303/0.1</f>
        <v>6636750</v>
      </c>
      <c r="AC303" s="5" t="s">
        <v>2215</v>
      </c>
      <c r="AD303" s="4">
        <f>AB303/12</f>
        <v>553062.5</v>
      </c>
      <c r="AE303" s="4">
        <f t="shared" si="9"/>
        <v>-110612.5</v>
      </c>
    </row>
    <row r="304" spans="1:31" x14ac:dyDescent="0.25">
      <c r="A304" t="s">
        <v>0</v>
      </c>
      <c r="B304" s="3" t="s">
        <v>2219</v>
      </c>
      <c r="C304" t="s">
        <v>836</v>
      </c>
      <c r="D304" t="s">
        <v>69</v>
      </c>
      <c r="E304" t="s">
        <v>67</v>
      </c>
      <c r="F304" s="1">
        <v>45723</v>
      </c>
      <c r="G304" s="1">
        <v>45741</v>
      </c>
      <c r="H304" t="s">
        <v>837</v>
      </c>
      <c r="I304" t="s">
        <v>5</v>
      </c>
      <c r="J304" t="s">
        <v>6</v>
      </c>
      <c r="K304" t="s">
        <v>4</v>
      </c>
      <c r="L304" t="s">
        <v>841</v>
      </c>
      <c r="M304" t="s">
        <v>841</v>
      </c>
      <c r="N304" s="2">
        <v>26545</v>
      </c>
      <c r="O304" t="s">
        <v>839</v>
      </c>
      <c r="P304" t="s">
        <v>9</v>
      </c>
      <c r="Q304" t="s">
        <v>86</v>
      </c>
      <c r="R304" t="e">
        <f>VLOOKUP(Q304,#REF!,2,FALSE)</f>
        <v>#REF!</v>
      </c>
      <c r="S304">
        <v>1408</v>
      </c>
      <c r="T304" t="s">
        <v>2223</v>
      </c>
      <c r="U304" t="s">
        <v>840</v>
      </c>
      <c r="V304" s="1">
        <v>45716</v>
      </c>
      <c r="W304" s="1">
        <v>45716</v>
      </c>
      <c r="X304" t="s">
        <v>77</v>
      </c>
      <c r="Y304" t="s">
        <v>78</v>
      </c>
      <c r="Z304" t="s">
        <v>6</v>
      </c>
      <c r="AA304" t="s">
        <v>78</v>
      </c>
      <c r="AB304" s="4">
        <f>L304/0.03</f>
        <v>884833.33333333337</v>
      </c>
      <c r="AC304" s="6">
        <v>0.04</v>
      </c>
      <c r="AD304" s="4">
        <f>AB304*AC304</f>
        <v>35393.333333333336</v>
      </c>
      <c r="AE304" s="4">
        <f t="shared" si="9"/>
        <v>8848.3333333333358</v>
      </c>
    </row>
    <row r="305" spans="1:31" x14ac:dyDescent="0.25">
      <c r="A305" t="s">
        <v>0</v>
      </c>
      <c r="B305" s="3" t="s">
        <v>2219</v>
      </c>
      <c r="C305" t="s">
        <v>842</v>
      </c>
      <c r="D305" t="s">
        <v>69</v>
      </c>
      <c r="E305" t="s">
        <v>208</v>
      </c>
      <c r="F305" s="1">
        <v>45747</v>
      </c>
      <c r="G305" s="1">
        <v>45747</v>
      </c>
      <c r="H305" t="s">
        <v>400</v>
      </c>
      <c r="I305" t="s">
        <v>5</v>
      </c>
      <c r="J305" t="s">
        <v>6</v>
      </c>
      <c r="K305" t="s">
        <v>4</v>
      </c>
      <c r="L305" t="s">
        <v>843</v>
      </c>
      <c r="M305" t="s">
        <v>843</v>
      </c>
      <c r="N305" s="2">
        <v>1839242</v>
      </c>
      <c r="O305" t="s">
        <v>844</v>
      </c>
      <c r="P305" t="s">
        <v>9</v>
      </c>
      <c r="Q305" t="s">
        <v>75</v>
      </c>
      <c r="R305" t="e">
        <f>VLOOKUP(Q305,#REF!,2,FALSE)</f>
        <v>#REF!</v>
      </c>
      <c r="S305">
        <v>1004</v>
      </c>
      <c r="T305" t="s">
        <v>2225</v>
      </c>
      <c r="U305" t="s">
        <v>845</v>
      </c>
      <c r="V305" s="1">
        <v>45716</v>
      </c>
      <c r="W305" s="1">
        <v>45716</v>
      </c>
      <c r="X305" t="s">
        <v>77</v>
      </c>
      <c r="Y305" t="s">
        <v>78</v>
      </c>
      <c r="Z305" t="s">
        <v>6</v>
      </c>
      <c r="AA305" t="s">
        <v>78</v>
      </c>
      <c r="AB305" s="4">
        <f>L305/0.1</f>
        <v>18392420</v>
      </c>
      <c r="AC305" s="5" t="s">
        <v>2215</v>
      </c>
      <c r="AD305" s="4">
        <f>AB305/12</f>
        <v>1532701.6666666667</v>
      </c>
      <c r="AE305" s="4">
        <f t="shared" si="9"/>
        <v>-306540.33333333326</v>
      </c>
    </row>
    <row r="306" spans="1:31" x14ac:dyDescent="0.25">
      <c r="A306" t="s">
        <v>0</v>
      </c>
      <c r="B306" s="3" t="s">
        <v>2219</v>
      </c>
      <c r="C306" t="s">
        <v>842</v>
      </c>
      <c r="D306" t="s">
        <v>69</v>
      </c>
      <c r="E306" t="s">
        <v>67</v>
      </c>
      <c r="F306" s="1">
        <v>45747</v>
      </c>
      <c r="G306" s="1">
        <v>45749</v>
      </c>
      <c r="H306" t="s">
        <v>80</v>
      </c>
      <c r="I306" t="s">
        <v>5</v>
      </c>
      <c r="J306" t="s">
        <v>6</v>
      </c>
      <c r="K306" t="s">
        <v>4</v>
      </c>
      <c r="L306" t="s">
        <v>846</v>
      </c>
      <c r="M306" t="s">
        <v>846</v>
      </c>
      <c r="N306" s="2">
        <v>16111</v>
      </c>
      <c r="O306" t="s">
        <v>844</v>
      </c>
      <c r="P306" t="s">
        <v>9</v>
      </c>
      <c r="Q306" t="s">
        <v>82</v>
      </c>
      <c r="R306" t="e">
        <f>VLOOKUP(Q306,#REF!,2,FALSE)</f>
        <v>#REF!</v>
      </c>
      <c r="S306">
        <v>1004</v>
      </c>
      <c r="T306" t="s">
        <v>2225</v>
      </c>
      <c r="U306" t="s">
        <v>845</v>
      </c>
      <c r="V306" s="1">
        <v>45716</v>
      </c>
      <c r="W306" s="1">
        <v>45716</v>
      </c>
      <c r="X306" t="s">
        <v>77</v>
      </c>
      <c r="Y306" t="s">
        <v>78</v>
      </c>
      <c r="Z306" t="s">
        <v>6</v>
      </c>
      <c r="AA306" t="s">
        <v>78</v>
      </c>
      <c r="AB306" s="4">
        <f>L306/0.08</f>
        <v>201387.5</v>
      </c>
      <c r="AC306" s="6">
        <v>0.1</v>
      </c>
      <c r="AD306" s="4">
        <f>AB306*AC306</f>
        <v>20138.75</v>
      </c>
      <c r="AE306" s="4">
        <f t="shared" si="9"/>
        <v>4027.75</v>
      </c>
    </row>
    <row r="307" spans="1:31" x14ac:dyDescent="0.25">
      <c r="A307" t="s">
        <v>0</v>
      </c>
      <c r="B307" s="3" t="s">
        <v>2219</v>
      </c>
      <c r="C307" t="s">
        <v>842</v>
      </c>
      <c r="D307" t="s">
        <v>69</v>
      </c>
      <c r="E307" t="s">
        <v>227</v>
      </c>
      <c r="F307" s="1">
        <v>45747</v>
      </c>
      <c r="G307" s="1">
        <v>45749</v>
      </c>
      <c r="H307" t="s">
        <v>128</v>
      </c>
      <c r="I307" t="s">
        <v>5</v>
      </c>
      <c r="J307" t="s">
        <v>6</v>
      </c>
      <c r="K307" t="s">
        <v>4</v>
      </c>
      <c r="L307" t="s">
        <v>847</v>
      </c>
      <c r="M307" t="s">
        <v>847</v>
      </c>
      <c r="N307" s="2">
        <v>74217</v>
      </c>
      <c r="O307" t="s">
        <v>844</v>
      </c>
      <c r="P307" t="s">
        <v>9</v>
      </c>
      <c r="Q307" t="s">
        <v>86</v>
      </c>
      <c r="R307" t="e">
        <f>VLOOKUP(Q307,#REF!,2,FALSE)</f>
        <v>#REF!</v>
      </c>
      <c r="S307">
        <v>1004</v>
      </c>
      <c r="T307" t="s">
        <v>2225</v>
      </c>
      <c r="U307" t="s">
        <v>845</v>
      </c>
      <c r="V307" s="1">
        <v>45716</v>
      </c>
      <c r="W307" s="1">
        <v>45716</v>
      </c>
      <c r="X307" t="s">
        <v>77</v>
      </c>
      <c r="Y307" t="s">
        <v>78</v>
      </c>
      <c r="Z307" t="s">
        <v>6</v>
      </c>
      <c r="AA307" t="s">
        <v>78</v>
      </c>
      <c r="AB307" s="4">
        <f>L307/0.03</f>
        <v>2473900</v>
      </c>
      <c r="AC307" s="6">
        <v>0.04</v>
      </c>
      <c r="AD307" s="4">
        <f>AB307*AC307</f>
        <v>98956</v>
      </c>
      <c r="AE307" s="4">
        <f t="shared" si="9"/>
        <v>24739</v>
      </c>
    </row>
    <row r="308" spans="1:31" x14ac:dyDescent="0.25">
      <c r="A308" t="s">
        <v>0</v>
      </c>
      <c r="B308" s="3" t="s">
        <v>2219</v>
      </c>
      <c r="C308" t="s">
        <v>848</v>
      </c>
      <c r="D308" t="s">
        <v>69</v>
      </c>
      <c r="E308" t="s">
        <v>143</v>
      </c>
      <c r="F308" s="1">
        <v>45747</v>
      </c>
      <c r="G308" s="1">
        <v>45747</v>
      </c>
      <c r="H308" t="s">
        <v>400</v>
      </c>
      <c r="I308" t="s">
        <v>5</v>
      </c>
      <c r="J308" t="s">
        <v>6</v>
      </c>
      <c r="K308" t="s">
        <v>4</v>
      </c>
      <c r="L308" t="s">
        <v>849</v>
      </c>
      <c r="M308" t="s">
        <v>849</v>
      </c>
      <c r="N308" s="2">
        <v>1129026</v>
      </c>
      <c r="O308" t="s">
        <v>850</v>
      </c>
      <c r="P308" t="s">
        <v>9</v>
      </c>
      <c r="Q308" t="s">
        <v>75</v>
      </c>
      <c r="R308" t="e">
        <f>VLOOKUP(Q308,#REF!,2,FALSE)</f>
        <v>#REF!</v>
      </c>
      <c r="S308">
        <v>1004</v>
      </c>
      <c r="T308" t="s">
        <v>2225</v>
      </c>
      <c r="U308" t="s">
        <v>851</v>
      </c>
      <c r="V308" s="1">
        <v>45716</v>
      </c>
      <c r="W308" s="1">
        <v>45716</v>
      </c>
      <c r="X308" t="s">
        <v>77</v>
      </c>
      <c r="Y308" t="s">
        <v>78</v>
      </c>
      <c r="Z308" t="s">
        <v>6</v>
      </c>
      <c r="AA308" t="s">
        <v>78</v>
      </c>
      <c r="AB308" s="4">
        <f>L308/0.1</f>
        <v>11290260</v>
      </c>
      <c r="AC308" s="5" t="s">
        <v>2215</v>
      </c>
      <c r="AD308" s="4">
        <f>AB308/12</f>
        <v>940855</v>
      </c>
      <c r="AE308" s="4">
        <f t="shared" si="9"/>
        <v>-188171</v>
      </c>
    </row>
    <row r="309" spans="1:31" x14ac:dyDescent="0.25">
      <c r="A309" t="s">
        <v>0</v>
      </c>
      <c r="B309" s="3" t="s">
        <v>2219</v>
      </c>
      <c r="C309" t="s">
        <v>848</v>
      </c>
      <c r="D309" t="s">
        <v>69</v>
      </c>
      <c r="E309" t="s">
        <v>147</v>
      </c>
      <c r="F309" s="1">
        <v>45747</v>
      </c>
      <c r="G309" s="1">
        <v>45749</v>
      </c>
      <c r="H309" t="s">
        <v>80</v>
      </c>
      <c r="I309" t="s">
        <v>5</v>
      </c>
      <c r="J309" t="s">
        <v>6</v>
      </c>
      <c r="K309" t="s">
        <v>4</v>
      </c>
      <c r="L309" t="s">
        <v>658</v>
      </c>
      <c r="M309" t="s">
        <v>658</v>
      </c>
      <c r="N309" s="2">
        <v>16223</v>
      </c>
      <c r="O309" t="s">
        <v>850</v>
      </c>
      <c r="P309" t="s">
        <v>9</v>
      </c>
      <c r="Q309" t="s">
        <v>82</v>
      </c>
      <c r="R309" t="e">
        <f>VLOOKUP(Q309,#REF!,2,FALSE)</f>
        <v>#REF!</v>
      </c>
      <c r="S309">
        <v>1004</v>
      </c>
      <c r="T309" t="s">
        <v>2225</v>
      </c>
      <c r="U309" t="s">
        <v>851</v>
      </c>
      <c r="V309" s="1">
        <v>45716</v>
      </c>
      <c r="W309" s="1">
        <v>45716</v>
      </c>
      <c r="X309" t="s">
        <v>77</v>
      </c>
      <c r="Y309" t="s">
        <v>78</v>
      </c>
      <c r="Z309" t="s">
        <v>6</v>
      </c>
      <c r="AA309" t="s">
        <v>78</v>
      </c>
      <c r="AB309" s="4">
        <f>L309/0.08</f>
        <v>202787.5</v>
      </c>
      <c r="AC309" s="6">
        <v>0.1</v>
      </c>
      <c r="AD309" s="4">
        <f>AB309*AC309</f>
        <v>20278.75</v>
      </c>
      <c r="AE309" s="4">
        <f t="shared" si="9"/>
        <v>4055.75</v>
      </c>
    </row>
    <row r="310" spans="1:31" x14ac:dyDescent="0.25">
      <c r="A310" t="s">
        <v>0</v>
      </c>
      <c r="B310" s="3" t="s">
        <v>2219</v>
      </c>
      <c r="C310" t="s">
        <v>848</v>
      </c>
      <c r="D310" t="s">
        <v>69</v>
      </c>
      <c r="E310" t="s">
        <v>149</v>
      </c>
      <c r="F310" s="1">
        <v>45747</v>
      </c>
      <c r="G310" s="1">
        <v>45749</v>
      </c>
      <c r="H310" t="s">
        <v>128</v>
      </c>
      <c r="I310" t="s">
        <v>5</v>
      </c>
      <c r="J310" t="s">
        <v>6</v>
      </c>
      <c r="K310" t="s">
        <v>4</v>
      </c>
      <c r="L310" t="s">
        <v>852</v>
      </c>
      <c r="M310" t="s">
        <v>852</v>
      </c>
      <c r="N310" s="2">
        <v>45814</v>
      </c>
      <c r="O310" t="s">
        <v>850</v>
      </c>
      <c r="P310" t="s">
        <v>9</v>
      </c>
      <c r="Q310" t="s">
        <v>86</v>
      </c>
      <c r="R310" t="e">
        <f>VLOOKUP(Q310,#REF!,2,FALSE)</f>
        <v>#REF!</v>
      </c>
      <c r="S310">
        <v>1004</v>
      </c>
      <c r="T310" t="s">
        <v>2225</v>
      </c>
      <c r="U310" t="s">
        <v>851</v>
      </c>
      <c r="V310" s="1">
        <v>45716</v>
      </c>
      <c r="W310" s="1">
        <v>45716</v>
      </c>
      <c r="X310" t="s">
        <v>77</v>
      </c>
      <c r="Y310" t="s">
        <v>78</v>
      </c>
      <c r="Z310" t="s">
        <v>6</v>
      </c>
      <c r="AA310" t="s">
        <v>78</v>
      </c>
      <c r="AB310" s="4">
        <f>L310/0.03</f>
        <v>1527133.3333333335</v>
      </c>
      <c r="AC310" s="6">
        <v>0.04</v>
      </c>
      <c r="AD310" s="4">
        <f>AB310*AC310</f>
        <v>61085.333333333343</v>
      </c>
      <c r="AE310" s="4">
        <f t="shared" si="9"/>
        <v>15271.333333333343</v>
      </c>
    </row>
    <row r="311" spans="1:31" x14ac:dyDescent="0.25">
      <c r="A311" t="s">
        <v>0</v>
      </c>
      <c r="B311" s="3" t="s">
        <v>2219</v>
      </c>
      <c r="C311" t="s">
        <v>853</v>
      </c>
      <c r="D311" t="s">
        <v>69</v>
      </c>
      <c r="E311" t="s">
        <v>295</v>
      </c>
      <c r="F311" s="1">
        <v>45747</v>
      </c>
      <c r="G311" s="1">
        <v>45747</v>
      </c>
      <c r="H311" t="s">
        <v>400</v>
      </c>
      <c r="I311" t="s">
        <v>5</v>
      </c>
      <c r="J311" t="s">
        <v>6</v>
      </c>
      <c r="K311" t="s">
        <v>4</v>
      </c>
      <c r="L311" t="s">
        <v>854</v>
      </c>
      <c r="M311" t="s">
        <v>854</v>
      </c>
      <c r="N311" s="2">
        <v>23890258</v>
      </c>
      <c r="O311" t="s">
        <v>855</v>
      </c>
      <c r="P311" t="s">
        <v>9</v>
      </c>
      <c r="Q311" t="s">
        <v>75</v>
      </c>
      <c r="R311" t="e">
        <f>VLOOKUP(Q311,#REF!,2,FALSE)</f>
        <v>#REF!</v>
      </c>
      <c r="S311">
        <v>1004</v>
      </c>
      <c r="T311" t="s">
        <v>2225</v>
      </c>
      <c r="U311" t="s">
        <v>856</v>
      </c>
      <c r="V311" s="1">
        <v>45716</v>
      </c>
      <c r="W311" s="1">
        <v>45716</v>
      </c>
      <c r="X311" t="s">
        <v>77</v>
      </c>
      <c r="Y311" t="s">
        <v>646</v>
      </c>
      <c r="Z311" t="s">
        <v>6</v>
      </c>
      <c r="AA311" t="s">
        <v>646</v>
      </c>
      <c r="AB311" s="4">
        <f>L311/0.1</f>
        <v>238902580</v>
      </c>
      <c r="AC311" s="5" t="s">
        <v>2215</v>
      </c>
      <c r="AD311" s="4">
        <f>AB311/12</f>
        <v>19908548.333333332</v>
      </c>
      <c r="AE311" s="4">
        <f t="shared" si="9"/>
        <v>-3981709.6666666679</v>
      </c>
    </row>
    <row r="312" spans="1:31" x14ac:dyDescent="0.25">
      <c r="A312" t="s">
        <v>0</v>
      </c>
      <c r="B312" s="3" t="s">
        <v>2219</v>
      </c>
      <c r="C312" t="s">
        <v>853</v>
      </c>
      <c r="D312" t="s">
        <v>69</v>
      </c>
      <c r="E312" t="s">
        <v>119</v>
      </c>
      <c r="F312" s="1">
        <v>45747</v>
      </c>
      <c r="G312" s="1">
        <v>45749</v>
      </c>
      <c r="H312" t="s">
        <v>80</v>
      </c>
      <c r="I312" t="s">
        <v>5</v>
      </c>
      <c r="J312" t="s">
        <v>6</v>
      </c>
      <c r="K312" t="s">
        <v>4</v>
      </c>
      <c r="L312" t="s">
        <v>857</v>
      </c>
      <c r="M312" t="s">
        <v>857</v>
      </c>
      <c r="N312" s="2">
        <v>1168005</v>
      </c>
      <c r="O312" t="s">
        <v>855</v>
      </c>
      <c r="P312" t="s">
        <v>9</v>
      </c>
      <c r="Q312" t="s">
        <v>82</v>
      </c>
      <c r="R312" t="e">
        <f>VLOOKUP(Q312,#REF!,2,FALSE)</f>
        <v>#REF!</v>
      </c>
      <c r="S312">
        <v>1004</v>
      </c>
      <c r="T312" t="s">
        <v>2225</v>
      </c>
      <c r="U312" t="s">
        <v>856</v>
      </c>
      <c r="V312" s="1">
        <v>45716</v>
      </c>
      <c r="W312" s="1">
        <v>45716</v>
      </c>
      <c r="X312" t="s">
        <v>77</v>
      </c>
      <c r="Y312" t="s">
        <v>646</v>
      </c>
      <c r="Z312" t="s">
        <v>6</v>
      </c>
      <c r="AA312" t="s">
        <v>646</v>
      </c>
      <c r="AB312" s="4">
        <f>L312/0.08</f>
        <v>14600062.5</v>
      </c>
      <c r="AC312" s="6">
        <v>0.1</v>
      </c>
      <c r="AD312" s="4">
        <f>AB312*AC312</f>
        <v>1460006.25</v>
      </c>
      <c r="AE312" s="4">
        <f t="shared" si="9"/>
        <v>292001.25</v>
      </c>
    </row>
    <row r="313" spans="1:31" x14ac:dyDescent="0.25">
      <c r="A313" t="s">
        <v>0</v>
      </c>
      <c r="B313" s="3" t="s">
        <v>2219</v>
      </c>
      <c r="C313" t="s">
        <v>853</v>
      </c>
      <c r="D313" t="s">
        <v>69</v>
      </c>
      <c r="E313" t="s">
        <v>125</v>
      </c>
      <c r="F313" s="1">
        <v>45747</v>
      </c>
      <c r="G313" s="1">
        <v>45749</v>
      </c>
      <c r="H313" t="s">
        <v>128</v>
      </c>
      <c r="I313" t="s">
        <v>5</v>
      </c>
      <c r="J313" t="s">
        <v>6</v>
      </c>
      <c r="K313" t="s">
        <v>4</v>
      </c>
      <c r="L313" t="s">
        <v>858</v>
      </c>
      <c r="M313" t="s">
        <v>858</v>
      </c>
      <c r="N313" s="2">
        <v>1002337</v>
      </c>
      <c r="O313" t="s">
        <v>855</v>
      </c>
      <c r="P313" t="s">
        <v>9</v>
      </c>
      <c r="Q313" t="s">
        <v>86</v>
      </c>
      <c r="R313" t="e">
        <f>VLOOKUP(Q313,#REF!,2,FALSE)</f>
        <v>#REF!</v>
      </c>
      <c r="S313">
        <v>1004</v>
      </c>
      <c r="T313" t="s">
        <v>2225</v>
      </c>
      <c r="U313" t="s">
        <v>856</v>
      </c>
      <c r="V313" s="1">
        <v>45716</v>
      </c>
      <c r="W313" s="1">
        <v>45716</v>
      </c>
      <c r="X313" t="s">
        <v>77</v>
      </c>
      <c r="Y313" t="s">
        <v>646</v>
      </c>
      <c r="Z313" t="s">
        <v>6</v>
      </c>
      <c r="AA313" t="s">
        <v>646</v>
      </c>
      <c r="AB313" s="4">
        <f>L313/0.03</f>
        <v>33411233.333333336</v>
      </c>
      <c r="AC313" s="6">
        <v>0.04</v>
      </c>
      <c r="AD313" s="4">
        <f>AB313*AC313</f>
        <v>1336449.3333333335</v>
      </c>
      <c r="AE313" s="4">
        <f t="shared" si="9"/>
        <v>334112.33333333349</v>
      </c>
    </row>
    <row r="314" spans="1:31" x14ac:dyDescent="0.25">
      <c r="A314" t="s">
        <v>0</v>
      </c>
      <c r="B314" s="3" t="s">
        <v>2219</v>
      </c>
      <c r="C314" t="s">
        <v>859</v>
      </c>
      <c r="D314" t="s">
        <v>69</v>
      </c>
      <c r="E314" t="s">
        <v>43</v>
      </c>
      <c r="F314" s="1">
        <v>45777</v>
      </c>
      <c r="G314" s="1">
        <v>45777</v>
      </c>
      <c r="H314" t="s">
        <v>860</v>
      </c>
      <c r="I314" t="s">
        <v>5</v>
      </c>
      <c r="J314" t="s">
        <v>6</v>
      </c>
      <c r="K314" t="s">
        <v>4</v>
      </c>
      <c r="L314" t="s">
        <v>861</v>
      </c>
      <c r="M314" t="s">
        <v>861</v>
      </c>
      <c r="N314" s="2">
        <v>410947</v>
      </c>
      <c r="O314" t="s">
        <v>862</v>
      </c>
      <c r="P314" t="s">
        <v>9</v>
      </c>
      <c r="Q314" t="s">
        <v>75</v>
      </c>
      <c r="R314" t="e">
        <f>VLOOKUP(Q314,#REF!,2,FALSE)</f>
        <v>#REF!</v>
      </c>
      <c r="S314">
        <v>1511</v>
      </c>
      <c r="T314" t="s">
        <v>2224</v>
      </c>
      <c r="U314" t="s">
        <v>863</v>
      </c>
      <c r="V314" s="1">
        <v>45746</v>
      </c>
      <c r="W314" s="1">
        <v>45746</v>
      </c>
      <c r="X314" t="s">
        <v>77</v>
      </c>
      <c r="Y314" t="s">
        <v>78</v>
      </c>
      <c r="Z314" t="s">
        <v>6</v>
      </c>
      <c r="AA314" t="s">
        <v>78</v>
      </c>
      <c r="AB314" s="4">
        <f>L314/0.1</f>
        <v>4109470</v>
      </c>
      <c r="AC314" s="5" t="s">
        <v>2215</v>
      </c>
      <c r="AD314" s="4">
        <f>AB314/12</f>
        <v>342455.83333333331</v>
      </c>
      <c r="AE314" s="4">
        <f t="shared" si="9"/>
        <v>-68491.166666666686</v>
      </c>
    </row>
    <row r="315" spans="1:31" x14ac:dyDescent="0.25">
      <c r="A315" t="s">
        <v>0</v>
      </c>
      <c r="B315" s="3" t="s">
        <v>2219</v>
      </c>
      <c r="C315" t="s">
        <v>859</v>
      </c>
      <c r="D315" t="s">
        <v>69</v>
      </c>
      <c r="E315" t="s">
        <v>104</v>
      </c>
      <c r="F315" s="1">
        <v>45777</v>
      </c>
      <c r="G315" s="1">
        <v>45777</v>
      </c>
      <c r="H315" t="s">
        <v>860</v>
      </c>
      <c r="I315" t="s">
        <v>5</v>
      </c>
      <c r="J315" t="s">
        <v>6</v>
      </c>
      <c r="K315" t="s">
        <v>4</v>
      </c>
      <c r="L315" t="s">
        <v>864</v>
      </c>
      <c r="M315" t="s">
        <v>864</v>
      </c>
      <c r="N315" s="2">
        <v>16438</v>
      </c>
      <c r="O315" t="s">
        <v>862</v>
      </c>
      <c r="P315" t="s">
        <v>9</v>
      </c>
      <c r="Q315" t="s">
        <v>86</v>
      </c>
      <c r="R315" t="e">
        <f>VLOOKUP(Q315,#REF!,2,FALSE)</f>
        <v>#REF!</v>
      </c>
      <c r="S315">
        <v>1511</v>
      </c>
      <c r="T315" t="s">
        <v>2224</v>
      </c>
      <c r="U315" t="s">
        <v>863</v>
      </c>
      <c r="V315" s="1">
        <v>45746</v>
      </c>
      <c r="W315" s="1">
        <v>45746</v>
      </c>
      <c r="X315" t="s">
        <v>77</v>
      </c>
      <c r="Y315" t="s">
        <v>78</v>
      </c>
      <c r="Z315" t="s">
        <v>6</v>
      </c>
      <c r="AA315" t="s">
        <v>78</v>
      </c>
      <c r="AB315" s="4">
        <f>L315/0.03</f>
        <v>547933.33333333337</v>
      </c>
      <c r="AC315" s="6">
        <v>0.04</v>
      </c>
      <c r="AD315" s="4">
        <f>AB315*AC315</f>
        <v>21917.333333333336</v>
      </c>
      <c r="AE315" s="4">
        <f t="shared" si="9"/>
        <v>5479.3333333333358</v>
      </c>
    </row>
    <row r="316" spans="1:31" x14ac:dyDescent="0.25">
      <c r="A316" t="s">
        <v>0</v>
      </c>
      <c r="B316" s="3" t="s">
        <v>2219</v>
      </c>
      <c r="C316" t="s">
        <v>865</v>
      </c>
      <c r="D316" t="s">
        <v>69</v>
      </c>
      <c r="E316" t="s">
        <v>43</v>
      </c>
      <c r="F316" s="1">
        <v>45791</v>
      </c>
      <c r="G316" s="1">
        <v>45791</v>
      </c>
      <c r="H316" t="s">
        <v>866</v>
      </c>
      <c r="I316" t="s">
        <v>5</v>
      </c>
      <c r="J316" t="s">
        <v>6</v>
      </c>
      <c r="K316" t="s">
        <v>4</v>
      </c>
      <c r="L316" t="s">
        <v>867</v>
      </c>
      <c r="M316" t="s">
        <v>867</v>
      </c>
      <c r="N316" s="2">
        <v>295797</v>
      </c>
      <c r="O316" t="s">
        <v>868</v>
      </c>
      <c r="P316" t="s">
        <v>9</v>
      </c>
      <c r="Q316" t="s">
        <v>75</v>
      </c>
      <c r="R316" t="e">
        <f>VLOOKUP(Q316,#REF!,2,FALSE)</f>
        <v>#REF!</v>
      </c>
      <c r="S316">
        <v>1511</v>
      </c>
      <c r="T316" t="s">
        <v>2224</v>
      </c>
      <c r="U316" t="s">
        <v>869</v>
      </c>
      <c r="V316" s="1">
        <v>45746</v>
      </c>
      <c r="W316" s="1">
        <v>45746</v>
      </c>
      <c r="X316" t="s">
        <v>388</v>
      </c>
      <c r="Y316" t="s">
        <v>389</v>
      </c>
      <c r="Z316" t="s">
        <v>6</v>
      </c>
      <c r="AA316" t="s">
        <v>389</v>
      </c>
      <c r="AB316" s="4">
        <f>L316/0.1</f>
        <v>2957970</v>
      </c>
      <c r="AC316" s="5" t="s">
        <v>2215</v>
      </c>
      <c r="AD316" s="4">
        <f>AB316/12</f>
        <v>246497.5</v>
      </c>
      <c r="AE316" s="4">
        <f t="shared" si="9"/>
        <v>-49299.5</v>
      </c>
    </row>
    <row r="317" spans="1:31" x14ac:dyDescent="0.25">
      <c r="A317" t="s">
        <v>0</v>
      </c>
      <c r="B317" s="3" t="s">
        <v>2219</v>
      </c>
      <c r="C317" t="s">
        <v>865</v>
      </c>
      <c r="D317" t="s">
        <v>69</v>
      </c>
      <c r="E317" t="s">
        <v>104</v>
      </c>
      <c r="F317" s="1">
        <v>45791</v>
      </c>
      <c r="G317" s="1">
        <v>45791</v>
      </c>
      <c r="H317" t="s">
        <v>866</v>
      </c>
      <c r="I317" t="s">
        <v>5</v>
      </c>
      <c r="J317" t="s">
        <v>6</v>
      </c>
      <c r="K317" t="s">
        <v>4</v>
      </c>
      <c r="L317" t="s">
        <v>870</v>
      </c>
      <c r="M317" t="s">
        <v>870</v>
      </c>
      <c r="N317" s="2">
        <v>11833</v>
      </c>
      <c r="O317" t="s">
        <v>868</v>
      </c>
      <c r="P317" t="s">
        <v>9</v>
      </c>
      <c r="Q317" t="s">
        <v>86</v>
      </c>
      <c r="R317" t="e">
        <f>VLOOKUP(Q317,#REF!,2,FALSE)</f>
        <v>#REF!</v>
      </c>
      <c r="S317">
        <v>1511</v>
      </c>
      <c r="T317" t="s">
        <v>2224</v>
      </c>
      <c r="U317" t="s">
        <v>869</v>
      </c>
      <c r="V317" s="1">
        <v>45746</v>
      </c>
      <c r="W317" s="1">
        <v>45746</v>
      </c>
      <c r="X317" t="s">
        <v>388</v>
      </c>
      <c r="Y317" t="s">
        <v>389</v>
      </c>
      <c r="Z317" t="s">
        <v>6</v>
      </c>
      <c r="AA317" t="s">
        <v>389</v>
      </c>
      <c r="AB317" s="4">
        <f>L317/0.03</f>
        <v>394433.33333333337</v>
      </c>
      <c r="AC317" s="6">
        <v>0.04</v>
      </c>
      <c r="AD317" s="4">
        <f>AB317*AC317</f>
        <v>15777.333333333336</v>
      </c>
      <c r="AE317" s="4">
        <f t="shared" si="9"/>
        <v>3944.3333333333358</v>
      </c>
    </row>
    <row r="318" spans="1:31" x14ac:dyDescent="0.25">
      <c r="A318" t="s">
        <v>0</v>
      </c>
      <c r="B318" s="3" t="s">
        <v>2219</v>
      </c>
      <c r="C318" t="s">
        <v>871</v>
      </c>
      <c r="D318" t="s">
        <v>69</v>
      </c>
      <c r="E318" t="s">
        <v>43</v>
      </c>
      <c r="F318" s="1">
        <v>45784</v>
      </c>
      <c r="G318" s="1">
        <v>45799</v>
      </c>
      <c r="H318" t="s">
        <v>872</v>
      </c>
      <c r="I318" t="s">
        <v>5</v>
      </c>
      <c r="J318" t="s">
        <v>6</v>
      </c>
      <c r="K318" t="s">
        <v>4</v>
      </c>
      <c r="L318" t="s">
        <v>873</v>
      </c>
      <c r="M318" t="s">
        <v>873</v>
      </c>
      <c r="N318" s="2">
        <v>341816</v>
      </c>
      <c r="O318" t="s">
        <v>874</v>
      </c>
      <c r="P318" t="s">
        <v>9</v>
      </c>
      <c r="Q318" t="s">
        <v>75</v>
      </c>
      <c r="R318" t="e">
        <f>VLOOKUP(Q318,#REF!,2,FALSE)</f>
        <v>#REF!</v>
      </c>
      <c r="S318">
        <v>1408</v>
      </c>
      <c r="T318" t="s">
        <v>2223</v>
      </c>
      <c r="U318" t="s">
        <v>875</v>
      </c>
      <c r="V318" s="1">
        <v>45746</v>
      </c>
      <c r="W318" s="1">
        <v>45746</v>
      </c>
      <c r="X318" t="s">
        <v>77</v>
      </c>
      <c r="Y318" t="s">
        <v>78</v>
      </c>
      <c r="Z318" t="s">
        <v>6</v>
      </c>
      <c r="AA318" t="s">
        <v>78</v>
      </c>
      <c r="AB318" s="4">
        <f>L318/0.1</f>
        <v>3418160</v>
      </c>
      <c r="AC318" s="5" t="s">
        <v>2215</v>
      </c>
      <c r="AD318" s="4">
        <f>AB318/12</f>
        <v>284846.66666666669</v>
      </c>
      <c r="AE318" s="4">
        <f t="shared" si="9"/>
        <v>-56969.333333333314</v>
      </c>
    </row>
    <row r="319" spans="1:31" x14ac:dyDescent="0.25">
      <c r="A319" t="s">
        <v>0</v>
      </c>
      <c r="B319" s="3" t="s">
        <v>2219</v>
      </c>
      <c r="C319" t="s">
        <v>871</v>
      </c>
      <c r="D319" t="s">
        <v>69</v>
      </c>
      <c r="E319" t="s">
        <v>104</v>
      </c>
      <c r="F319" s="1">
        <v>45784</v>
      </c>
      <c r="G319" s="1">
        <v>45799</v>
      </c>
      <c r="H319" t="s">
        <v>876</v>
      </c>
      <c r="I319" t="s">
        <v>5</v>
      </c>
      <c r="J319" t="s">
        <v>6</v>
      </c>
      <c r="K319" t="s">
        <v>4</v>
      </c>
      <c r="L319" t="s">
        <v>877</v>
      </c>
      <c r="M319" t="s">
        <v>877</v>
      </c>
      <c r="N319" s="2">
        <v>13672</v>
      </c>
      <c r="O319" t="s">
        <v>874</v>
      </c>
      <c r="P319" t="s">
        <v>9</v>
      </c>
      <c r="Q319" t="s">
        <v>86</v>
      </c>
      <c r="R319" t="e">
        <f>VLOOKUP(Q319,#REF!,2,FALSE)</f>
        <v>#REF!</v>
      </c>
      <c r="S319">
        <v>1408</v>
      </c>
      <c r="T319" t="s">
        <v>2223</v>
      </c>
      <c r="U319" t="s">
        <v>875</v>
      </c>
      <c r="V319" s="1">
        <v>45746</v>
      </c>
      <c r="W319" s="1">
        <v>45746</v>
      </c>
      <c r="X319" t="s">
        <v>77</v>
      </c>
      <c r="Y319" t="s">
        <v>78</v>
      </c>
      <c r="Z319" t="s">
        <v>6</v>
      </c>
      <c r="AA319" t="s">
        <v>78</v>
      </c>
      <c r="AB319" s="4">
        <f>L319/0.03</f>
        <v>455733.33333333337</v>
      </c>
      <c r="AC319" s="6">
        <v>0.04</v>
      </c>
      <c r="AD319" s="4">
        <f>AB319*AC319</f>
        <v>18229.333333333336</v>
      </c>
      <c r="AE319" s="4">
        <f t="shared" si="9"/>
        <v>4557.3333333333358</v>
      </c>
    </row>
    <row r="320" spans="1:31" x14ac:dyDescent="0.25">
      <c r="A320" t="s">
        <v>0</v>
      </c>
      <c r="B320" s="3" t="s">
        <v>2219</v>
      </c>
      <c r="C320" t="s">
        <v>880</v>
      </c>
      <c r="D320" t="s">
        <v>160</v>
      </c>
      <c r="E320" t="s">
        <v>881</v>
      </c>
      <c r="F320" s="1">
        <v>46060</v>
      </c>
      <c r="G320" s="1">
        <v>46063</v>
      </c>
      <c r="H320" t="s">
        <v>882</v>
      </c>
      <c r="I320" t="s">
        <v>5</v>
      </c>
      <c r="J320" t="s">
        <v>6</v>
      </c>
      <c r="K320" t="s">
        <v>4</v>
      </c>
      <c r="L320" t="s">
        <v>883</v>
      </c>
      <c r="M320" t="s">
        <v>883</v>
      </c>
      <c r="N320" s="2">
        <v>9392</v>
      </c>
      <c r="O320" t="s">
        <v>884</v>
      </c>
      <c r="P320" t="s">
        <v>9</v>
      </c>
      <c r="Q320" t="s">
        <v>75</v>
      </c>
      <c r="R320" t="e">
        <f>VLOOKUP(Q320,#REF!,2,FALSE)</f>
        <v>#REF!</v>
      </c>
      <c r="S320">
        <v>1408</v>
      </c>
      <c r="T320" t="s">
        <v>2223</v>
      </c>
      <c r="U320" t="s">
        <v>885</v>
      </c>
      <c r="V320" s="1">
        <v>46053</v>
      </c>
      <c r="W320" s="1">
        <v>46053</v>
      </c>
      <c r="X320" t="s">
        <v>77</v>
      </c>
      <c r="Y320" t="s">
        <v>78</v>
      </c>
      <c r="Z320" t="s">
        <v>6</v>
      </c>
      <c r="AA320" t="s">
        <v>78</v>
      </c>
      <c r="AB320" s="4">
        <f t="shared" ref="AB320:AB327" si="10">L320/0.1</f>
        <v>93920</v>
      </c>
      <c r="AC320" s="5" t="s">
        <v>2215</v>
      </c>
      <c r="AD320" s="4">
        <f t="shared" ref="AD320:AD327" si="11">AB320/12</f>
        <v>7826.666666666667</v>
      </c>
      <c r="AE320" s="4">
        <f t="shared" si="9"/>
        <v>-1565.333333333333</v>
      </c>
    </row>
    <row r="321" spans="1:31" x14ac:dyDescent="0.25">
      <c r="A321" t="s">
        <v>0</v>
      </c>
      <c r="B321" s="3" t="s">
        <v>2219</v>
      </c>
      <c r="C321" t="s">
        <v>880</v>
      </c>
      <c r="D321" t="s">
        <v>160</v>
      </c>
      <c r="E321" t="s">
        <v>886</v>
      </c>
      <c r="F321" s="1">
        <v>46060</v>
      </c>
      <c r="G321" s="1">
        <v>46063</v>
      </c>
      <c r="H321" t="s">
        <v>882</v>
      </c>
      <c r="I321" t="s">
        <v>5</v>
      </c>
      <c r="J321" t="s">
        <v>6</v>
      </c>
      <c r="K321" t="s">
        <v>4</v>
      </c>
      <c r="L321" t="s">
        <v>887</v>
      </c>
      <c r="M321" t="s">
        <v>887</v>
      </c>
      <c r="N321" s="2">
        <v>41060</v>
      </c>
      <c r="O321" t="s">
        <v>884</v>
      </c>
      <c r="P321" t="s">
        <v>9</v>
      </c>
      <c r="Q321" t="s">
        <v>75</v>
      </c>
      <c r="R321" t="e">
        <f>VLOOKUP(Q321,#REF!,2,FALSE)</f>
        <v>#REF!</v>
      </c>
      <c r="S321">
        <v>1408</v>
      </c>
      <c r="T321" t="s">
        <v>2223</v>
      </c>
      <c r="U321" t="s">
        <v>885</v>
      </c>
      <c r="V321" s="1">
        <v>46053</v>
      </c>
      <c r="W321" s="1">
        <v>46053</v>
      </c>
      <c r="X321" t="s">
        <v>77</v>
      </c>
      <c r="Y321" t="s">
        <v>78</v>
      </c>
      <c r="Z321" t="s">
        <v>6</v>
      </c>
      <c r="AA321" t="s">
        <v>78</v>
      </c>
      <c r="AB321" s="4">
        <f t="shared" si="10"/>
        <v>410600</v>
      </c>
      <c r="AC321" s="5" t="s">
        <v>2215</v>
      </c>
      <c r="AD321" s="4">
        <f t="shared" si="11"/>
        <v>34216.666666666664</v>
      </c>
      <c r="AE321" s="4">
        <f t="shared" si="9"/>
        <v>-6843.3333333333358</v>
      </c>
    </row>
    <row r="322" spans="1:31" x14ac:dyDescent="0.25">
      <c r="A322" t="s">
        <v>0</v>
      </c>
      <c r="B322" s="3" t="s">
        <v>2219</v>
      </c>
      <c r="C322" t="s">
        <v>880</v>
      </c>
      <c r="D322" t="s">
        <v>160</v>
      </c>
      <c r="E322" t="s">
        <v>888</v>
      </c>
      <c r="F322" s="1">
        <v>46060</v>
      </c>
      <c r="G322" s="1">
        <v>46063</v>
      </c>
      <c r="H322" t="s">
        <v>882</v>
      </c>
      <c r="I322" t="s">
        <v>5</v>
      </c>
      <c r="J322" t="s">
        <v>6</v>
      </c>
      <c r="K322" t="s">
        <v>4</v>
      </c>
      <c r="L322" t="s">
        <v>889</v>
      </c>
      <c r="M322" t="s">
        <v>889</v>
      </c>
      <c r="N322" s="2">
        <v>37604</v>
      </c>
      <c r="O322" t="s">
        <v>884</v>
      </c>
      <c r="P322" t="s">
        <v>9</v>
      </c>
      <c r="Q322" t="s">
        <v>75</v>
      </c>
      <c r="R322" t="e">
        <f>VLOOKUP(Q322,#REF!,2,FALSE)</f>
        <v>#REF!</v>
      </c>
      <c r="S322">
        <v>1408</v>
      </c>
      <c r="T322" t="s">
        <v>2223</v>
      </c>
      <c r="U322" t="s">
        <v>885</v>
      </c>
      <c r="V322" s="1">
        <v>46053</v>
      </c>
      <c r="W322" s="1">
        <v>46053</v>
      </c>
      <c r="X322" t="s">
        <v>77</v>
      </c>
      <c r="Y322" t="s">
        <v>78</v>
      </c>
      <c r="Z322" t="s">
        <v>6</v>
      </c>
      <c r="AA322" t="s">
        <v>78</v>
      </c>
      <c r="AB322" s="4">
        <f t="shared" si="10"/>
        <v>376040</v>
      </c>
      <c r="AC322" s="5" t="s">
        <v>2215</v>
      </c>
      <c r="AD322" s="4">
        <f t="shared" si="11"/>
        <v>31336.666666666668</v>
      </c>
      <c r="AE322" s="4">
        <f t="shared" ref="AE322:AE385" si="12">AD322-L322</f>
        <v>-6267.3333333333321</v>
      </c>
    </row>
    <row r="323" spans="1:31" x14ac:dyDescent="0.25">
      <c r="A323" t="s">
        <v>0</v>
      </c>
      <c r="B323" s="3" t="s">
        <v>2219</v>
      </c>
      <c r="C323" t="s">
        <v>880</v>
      </c>
      <c r="D323" t="s">
        <v>160</v>
      </c>
      <c r="E323" t="s">
        <v>890</v>
      </c>
      <c r="F323" s="1">
        <v>46060</v>
      </c>
      <c r="G323" s="1">
        <v>46063</v>
      </c>
      <c r="H323" t="s">
        <v>882</v>
      </c>
      <c r="I323" t="s">
        <v>5</v>
      </c>
      <c r="J323" t="s">
        <v>6</v>
      </c>
      <c r="K323" t="s">
        <v>4</v>
      </c>
      <c r="L323" t="s">
        <v>891</v>
      </c>
      <c r="M323" t="s">
        <v>891</v>
      </c>
      <c r="N323" s="2">
        <v>12993</v>
      </c>
      <c r="O323" t="s">
        <v>884</v>
      </c>
      <c r="P323" t="s">
        <v>9</v>
      </c>
      <c r="Q323" t="s">
        <v>75</v>
      </c>
      <c r="R323" t="e">
        <f>VLOOKUP(Q323,#REF!,2,FALSE)</f>
        <v>#REF!</v>
      </c>
      <c r="S323">
        <v>1408</v>
      </c>
      <c r="T323" t="s">
        <v>2223</v>
      </c>
      <c r="U323" t="s">
        <v>885</v>
      </c>
      <c r="V323" s="1">
        <v>46053</v>
      </c>
      <c r="W323" s="1">
        <v>46053</v>
      </c>
      <c r="X323" t="s">
        <v>77</v>
      </c>
      <c r="Y323" t="s">
        <v>78</v>
      </c>
      <c r="Z323" t="s">
        <v>6</v>
      </c>
      <c r="AA323" t="s">
        <v>78</v>
      </c>
      <c r="AB323" s="4">
        <f t="shared" si="10"/>
        <v>129930</v>
      </c>
      <c r="AC323" s="5" t="s">
        <v>2215</v>
      </c>
      <c r="AD323" s="4">
        <f t="shared" si="11"/>
        <v>10827.5</v>
      </c>
      <c r="AE323" s="4">
        <f t="shared" si="12"/>
        <v>-2165.5</v>
      </c>
    </row>
    <row r="324" spans="1:31" x14ac:dyDescent="0.25">
      <c r="A324" t="s">
        <v>0</v>
      </c>
      <c r="B324" s="3" t="s">
        <v>2219</v>
      </c>
      <c r="C324" t="s">
        <v>880</v>
      </c>
      <c r="D324" t="s">
        <v>160</v>
      </c>
      <c r="E324" t="s">
        <v>892</v>
      </c>
      <c r="F324" s="1">
        <v>46060</v>
      </c>
      <c r="G324" s="1">
        <v>46063</v>
      </c>
      <c r="H324" t="s">
        <v>882</v>
      </c>
      <c r="I324" t="s">
        <v>5</v>
      </c>
      <c r="J324" t="s">
        <v>6</v>
      </c>
      <c r="K324" t="s">
        <v>4</v>
      </c>
      <c r="L324" t="s">
        <v>893</v>
      </c>
      <c r="M324" t="s">
        <v>893</v>
      </c>
      <c r="N324" s="2">
        <v>71169</v>
      </c>
      <c r="O324" t="s">
        <v>884</v>
      </c>
      <c r="P324" t="s">
        <v>9</v>
      </c>
      <c r="Q324" t="s">
        <v>75</v>
      </c>
      <c r="R324" t="e">
        <f>VLOOKUP(Q324,#REF!,2,FALSE)</f>
        <v>#REF!</v>
      </c>
      <c r="S324">
        <v>1408</v>
      </c>
      <c r="T324" t="s">
        <v>2223</v>
      </c>
      <c r="U324" t="s">
        <v>885</v>
      </c>
      <c r="V324" s="1">
        <v>46053</v>
      </c>
      <c r="W324" s="1">
        <v>46053</v>
      </c>
      <c r="X324" t="s">
        <v>77</v>
      </c>
      <c r="Y324" t="s">
        <v>78</v>
      </c>
      <c r="Z324" t="s">
        <v>6</v>
      </c>
      <c r="AA324" t="s">
        <v>78</v>
      </c>
      <c r="AB324" s="4">
        <f t="shared" si="10"/>
        <v>711690</v>
      </c>
      <c r="AC324" s="5" t="s">
        <v>2215</v>
      </c>
      <c r="AD324" s="4">
        <f t="shared" si="11"/>
        <v>59307.5</v>
      </c>
      <c r="AE324" s="4">
        <f t="shared" si="12"/>
        <v>-11861.5</v>
      </c>
    </row>
    <row r="325" spans="1:31" x14ac:dyDescent="0.25">
      <c r="A325" t="s">
        <v>0</v>
      </c>
      <c r="B325" s="3" t="s">
        <v>2219</v>
      </c>
      <c r="C325" t="s">
        <v>880</v>
      </c>
      <c r="D325" t="s">
        <v>160</v>
      </c>
      <c r="E325" t="s">
        <v>894</v>
      </c>
      <c r="F325" s="1">
        <v>46060</v>
      </c>
      <c r="G325" s="1">
        <v>46063</v>
      </c>
      <c r="H325" t="s">
        <v>882</v>
      </c>
      <c r="I325" t="s">
        <v>5</v>
      </c>
      <c r="J325" t="s">
        <v>6</v>
      </c>
      <c r="K325" t="s">
        <v>4</v>
      </c>
      <c r="L325" t="s">
        <v>895</v>
      </c>
      <c r="M325" t="s">
        <v>895</v>
      </c>
      <c r="N325" s="2">
        <v>94363</v>
      </c>
      <c r="O325" t="s">
        <v>884</v>
      </c>
      <c r="P325" t="s">
        <v>9</v>
      </c>
      <c r="Q325" t="s">
        <v>75</v>
      </c>
      <c r="R325" t="e">
        <f>VLOOKUP(Q325,#REF!,2,FALSE)</f>
        <v>#REF!</v>
      </c>
      <c r="S325">
        <v>1408</v>
      </c>
      <c r="T325" t="s">
        <v>2223</v>
      </c>
      <c r="U325" t="s">
        <v>885</v>
      </c>
      <c r="V325" s="1">
        <v>46053</v>
      </c>
      <c r="W325" s="1">
        <v>46053</v>
      </c>
      <c r="X325" t="s">
        <v>77</v>
      </c>
      <c r="Y325" t="s">
        <v>78</v>
      </c>
      <c r="Z325" t="s">
        <v>6</v>
      </c>
      <c r="AA325" t="s">
        <v>78</v>
      </c>
      <c r="AB325" s="4">
        <f t="shared" si="10"/>
        <v>943630</v>
      </c>
      <c r="AC325" s="5" t="s">
        <v>2215</v>
      </c>
      <c r="AD325" s="4">
        <f t="shared" si="11"/>
        <v>78635.833333333328</v>
      </c>
      <c r="AE325" s="4">
        <f t="shared" si="12"/>
        <v>-15727.166666666672</v>
      </c>
    </row>
    <row r="326" spans="1:31" x14ac:dyDescent="0.25">
      <c r="A326" t="s">
        <v>0</v>
      </c>
      <c r="B326" s="3" t="s">
        <v>2219</v>
      </c>
      <c r="C326" t="s">
        <v>880</v>
      </c>
      <c r="D326" t="s">
        <v>160</v>
      </c>
      <c r="E326" t="s">
        <v>896</v>
      </c>
      <c r="F326" s="1">
        <v>46060</v>
      </c>
      <c r="G326" s="1">
        <v>46063</v>
      </c>
      <c r="H326" t="s">
        <v>882</v>
      </c>
      <c r="I326" t="s">
        <v>5</v>
      </c>
      <c r="J326" t="s">
        <v>6</v>
      </c>
      <c r="K326" t="s">
        <v>4</v>
      </c>
      <c r="L326" t="s">
        <v>897</v>
      </c>
      <c r="M326" t="s">
        <v>897</v>
      </c>
      <c r="N326" s="2">
        <v>14383</v>
      </c>
      <c r="O326" t="s">
        <v>884</v>
      </c>
      <c r="P326" t="s">
        <v>9</v>
      </c>
      <c r="Q326" t="s">
        <v>75</v>
      </c>
      <c r="R326" t="e">
        <f>VLOOKUP(Q326,#REF!,2,FALSE)</f>
        <v>#REF!</v>
      </c>
      <c r="S326">
        <v>1408</v>
      </c>
      <c r="T326" t="s">
        <v>2223</v>
      </c>
      <c r="U326" t="s">
        <v>885</v>
      </c>
      <c r="V326" s="1">
        <v>46053</v>
      </c>
      <c r="W326" s="1">
        <v>46053</v>
      </c>
      <c r="X326" t="s">
        <v>77</v>
      </c>
      <c r="Y326" t="s">
        <v>78</v>
      </c>
      <c r="Z326" t="s">
        <v>6</v>
      </c>
      <c r="AA326" t="s">
        <v>78</v>
      </c>
      <c r="AB326" s="4">
        <f t="shared" si="10"/>
        <v>143830</v>
      </c>
      <c r="AC326" s="5" t="s">
        <v>2215</v>
      </c>
      <c r="AD326" s="4">
        <f t="shared" si="11"/>
        <v>11985.833333333334</v>
      </c>
      <c r="AE326" s="4">
        <f t="shared" si="12"/>
        <v>-2397.1666666666661</v>
      </c>
    </row>
    <row r="327" spans="1:31" x14ac:dyDescent="0.25">
      <c r="A327" t="s">
        <v>0</v>
      </c>
      <c r="B327" s="3" t="s">
        <v>2219</v>
      </c>
      <c r="C327" t="s">
        <v>880</v>
      </c>
      <c r="D327" t="s">
        <v>160</v>
      </c>
      <c r="E327" t="s">
        <v>898</v>
      </c>
      <c r="F327" s="1">
        <v>46060</v>
      </c>
      <c r="G327" s="1">
        <v>46063</v>
      </c>
      <c r="H327" t="s">
        <v>882</v>
      </c>
      <c r="I327" t="s">
        <v>5</v>
      </c>
      <c r="J327" t="s">
        <v>6</v>
      </c>
      <c r="K327" t="s">
        <v>4</v>
      </c>
      <c r="L327" t="s">
        <v>899</v>
      </c>
      <c r="M327" t="s">
        <v>899</v>
      </c>
      <c r="N327" s="2">
        <v>81082</v>
      </c>
      <c r="O327" t="s">
        <v>884</v>
      </c>
      <c r="P327" t="s">
        <v>9</v>
      </c>
      <c r="Q327" t="s">
        <v>75</v>
      </c>
      <c r="R327" t="e">
        <f>VLOOKUP(Q327,#REF!,2,FALSE)</f>
        <v>#REF!</v>
      </c>
      <c r="S327">
        <v>1408</v>
      </c>
      <c r="T327" t="s">
        <v>2223</v>
      </c>
      <c r="U327" t="s">
        <v>885</v>
      </c>
      <c r="V327" s="1">
        <v>46053</v>
      </c>
      <c r="W327" s="1">
        <v>46053</v>
      </c>
      <c r="X327" t="s">
        <v>77</v>
      </c>
      <c r="Y327" t="s">
        <v>78</v>
      </c>
      <c r="Z327" t="s">
        <v>6</v>
      </c>
      <c r="AA327" t="s">
        <v>78</v>
      </c>
      <c r="AB327" s="4">
        <f t="shared" si="10"/>
        <v>810820</v>
      </c>
      <c r="AC327" s="5" t="s">
        <v>2215</v>
      </c>
      <c r="AD327" s="4">
        <f t="shared" si="11"/>
        <v>67568.333333333328</v>
      </c>
      <c r="AE327" s="4">
        <f t="shared" si="12"/>
        <v>-13513.666666666672</v>
      </c>
    </row>
    <row r="328" spans="1:31" x14ac:dyDescent="0.25">
      <c r="A328" t="s">
        <v>0</v>
      </c>
      <c r="B328" s="3" t="s">
        <v>2219</v>
      </c>
      <c r="C328" t="s">
        <v>880</v>
      </c>
      <c r="D328" t="s">
        <v>160</v>
      </c>
      <c r="E328" t="s">
        <v>900</v>
      </c>
      <c r="F328" s="1">
        <v>46060</v>
      </c>
      <c r="G328" s="1">
        <v>46063</v>
      </c>
      <c r="H328" t="s">
        <v>901</v>
      </c>
      <c r="I328" t="s">
        <v>5</v>
      </c>
      <c r="J328" t="s">
        <v>6</v>
      </c>
      <c r="K328" t="s">
        <v>4</v>
      </c>
      <c r="L328" t="s">
        <v>902</v>
      </c>
      <c r="M328" t="s">
        <v>902</v>
      </c>
      <c r="N328" s="2">
        <v>9740</v>
      </c>
      <c r="O328" t="s">
        <v>884</v>
      </c>
      <c r="P328" t="s">
        <v>9</v>
      </c>
      <c r="Q328" t="s">
        <v>82</v>
      </c>
      <c r="R328" t="e">
        <f>VLOOKUP(Q328,#REF!,2,FALSE)</f>
        <v>#REF!</v>
      </c>
      <c r="S328">
        <v>1408</v>
      </c>
      <c r="T328" t="s">
        <v>2223</v>
      </c>
      <c r="U328" t="s">
        <v>885</v>
      </c>
      <c r="V328" s="1">
        <v>46053</v>
      </c>
      <c r="W328" s="1">
        <v>46053</v>
      </c>
      <c r="X328" t="s">
        <v>77</v>
      </c>
      <c r="Y328" t="s">
        <v>78</v>
      </c>
      <c r="Z328" t="s">
        <v>6</v>
      </c>
      <c r="AA328" t="s">
        <v>78</v>
      </c>
      <c r="AB328" s="4">
        <f>L328/0.08</f>
        <v>121750</v>
      </c>
      <c r="AC328" s="6">
        <v>0.1</v>
      </c>
      <c r="AD328" s="4">
        <f>AB328*AC328</f>
        <v>12175</v>
      </c>
      <c r="AE328" s="4">
        <f t="shared" si="12"/>
        <v>2435</v>
      </c>
    </row>
    <row r="329" spans="1:31" x14ac:dyDescent="0.25">
      <c r="A329" t="s">
        <v>0</v>
      </c>
      <c r="B329" s="3" t="s">
        <v>2219</v>
      </c>
      <c r="C329" t="s">
        <v>880</v>
      </c>
      <c r="D329" t="s">
        <v>160</v>
      </c>
      <c r="E329" t="s">
        <v>903</v>
      </c>
      <c r="F329" s="1">
        <v>46060</v>
      </c>
      <c r="G329" s="1">
        <v>46063</v>
      </c>
      <c r="H329" t="s">
        <v>904</v>
      </c>
      <c r="I329" t="s">
        <v>5</v>
      </c>
      <c r="J329" t="s">
        <v>6</v>
      </c>
      <c r="K329" t="s">
        <v>4</v>
      </c>
      <c r="L329" t="s">
        <v>905</v>
      </c>
      <c r="M329" t="s">
        <v>905</v>
      </c>
      <c r="N329" s="2">
        <v>376</v>
      </c>
      <c r="O329" t="s">
        <v>884</v>
      </c>
      <c r="P329" t="s">
        <v>9</v>
      </c>
      <c r="Q329" t="s">
        <v>86</v>
      </c>
      <c r="R329" t="e">
        <f>VLOOKUP(Q329,#REF!,2,FALSE)</f>
        <v>#REF!</v>
      </c>
      <c r="S329">
        <v>1408</v>
      </c>
      <c r="T329" t="s">
        <v>2223</v>
      </c>
      <c r="U329" t="s">
        <v>885</v>
      </c>
      <c r="V329" s="1">
        <v>46053</v>
      </c>
      <c r="W329" s="1">
        <v>46053</v>
      </c>
      <c r="X329" t="s">
        <v>77</v>
      </c>
      <c r="Y329" t="s">
        <v>78</v>
      </c>
      <c r="Z329" t="s">
        <v>6</v>
      </c>
      <c r="AA329" t="s">
        <v>78</v>
      </c>
      <c r="AB329" s="4">
        <f t="shared" ref="AB329:AB336" si="13">L329/0.03</f>
        <v>12533.333333333334</v>
      </c>
      <c r="AC329" s="6">
        <v>0.04</v>
      </c>
      <c r="AD329" s="4">
        <f t="shared" ref="AD329:AD336" si="14">AB329*AC329</f>
        <v>501.33333333333337</v>
      </c>
      <c r="AE329" s="4">
        <f t="shared" si="12"/>
        <v>125.33333333333337</v>
      </c>
    </row>
    <row r="330" spans="1:31" x14ac:dyDescent="0.25">
      <c r="A330" t="s">
        <v>0</v>
      </c>
      <c r="B330" s="3" t="s">
        <v>2219</v>
      </c>
      <c r="C330" t="s">
        <v>880</v>
      </c>
      <c r="D330" t="s">
        <v>160</v>
      </c>
      <c r="E330" t="s">
        <v>906</v>
      </c>
      <c r="F330" s="1">
        <v>46060</v>
      </c>
      <c r="G330" s="1">
        <v>46063</v>
      </c>
      <c r="H330" t="s">
        <v>904</v>
      </c>
      <c r="I330" t="s">
        <v>5</v>
      </c>
      <c r="J330" t="s">
        <v>6</v>
      </c>
      <c r="K330" t="s">
        <v>4</v>
      </c>
      <c r="L330" t="s">
        <v>907</v>
      </c>
      <c r="M330" t="s">
        <v>907</v>
      </c>
      <c r="N330" s="2">
        <v>1643</v>
      </c>
      <c r="O330" t="s">
        <v>884</v>
      </c>
      <c r="P330" t="s">
        <v>9</v>
      </c>
      <c r="Q330" t="s">
        <v>86</v>
      </c>
      <c r="R330" t="e">
        <f>VLOOKUP(Q330,#REF!,2,FALSE)</f>
        <v>#REF!</v>
      </c>
      <c r="S330">
        <v>1408</v>
      </c>
      <c r="T330" t="s">
        <v>2223</v>
      </c>
      <c r="U330" t="s">
        <v>885</v>
      </c>
      <c r="V330" s="1">
        <v>46053</v>
      </c>
      <c r="W330" s="1">
        <v>46053</v>
      </c>
      <c r="X330" t="s">
        <v>77</v>
      </c>
      <c r="Y330" t="s">
        <v>78</v>
      </c>
      <c r="Z330" t="s">
        <v>6</v>
      </c>
      <c r="AA330" t="s">
        <v>78</v>
      </c>
      <c r="AB330" s="4">
        <f t="shared" si="13"/>
        <v>54766.666666666672</v>
      </c>
      <c r="AC330" s="6">
        <v>0.04</v>
      </c>
      <c r="AD330" s="4">
        <f t="shared" si="14"/>
        <v>2190.666666666667</v>
      </c>
      <c r="AE330" s="4">
        <f t="shared" si="12"/>
        <v>547.66666666666697</v>
      </c>
    </row>
    <row r="331" spans="1:31" x14ac:dyDescent="0.25">
      <c r="A331" t="s">
        <v>0</v>
      </c>
      <c r="B331" s="3" t="s">
        <v>2219</v>
      </c>
      <c r="C331" t="s">
        <v>880</v>
      </c>
      <c r="D331" t="s">
        <v>160</v>
      </c>
      <c r="E331" t="s">
        <v>908</v>
      </c>
      <c r="F331" s="1">
        <v>46060</v>
      </c>
      <c r="G331" s="1">
        <v>46063</v>
      </c>
      <c r="H331" t="s">
        <v>904</v>
      </c>
      <c r="I331" t="s">
        <v>5</v>
      </c>
      <c r="J331" t="s">
        <v>6</v>
      </c>
      <c r="K331" t="s">
        <v>4</v>
      </c>
      <c r="L331" t="s">
        <v>909</v>
      </c>
      <c r="M331" t="s">
        <v>909</v>
      </c>
      <c r="N331" s="2">
        <v>1505</v>
      </c>
      <c r="O331" t="s">
        <v>884</v>
      </c>
      <c r="P331" t="s">
        <v>9</v>
      </c>
      <c r="Q331" t="s">
        <v>86</v>
      </c>
      <c r="R331" t="e">
        <f>VLOOKUP(Q331,#REF!,2,FALSE)</f>
        <v>#REF!</v>
      </c>
      <c r="S331">
        <v>1408</v>
      </c>
      <c r="T331" t="s">
        <v>2223</v>
      </c>
      <c r="U331" t="s">
        <v>885</v>
      </c>
      <c r="V331" s="1">
        <v>46053</v>
      </c>
      <c r="W331" s="1">
        <v>46053</v>
      </c>
      <c r="X331" t="s">
        <v>77</v>
      </c>
      <c r="Y331" t="s">
        <v>78</v>
      </c>
      <c r="Z331" t="s">
        <v>6</v>
      </c>
      <c r="AA331" t="s">
        <v>78</v>
      </c>
      <c r="AB331" s="4">
        <f t="shared" si="13"/>
        <v>50166.666666666672</v>
      </c>
      <c r="AC331" s="6">
        <v>0.04</v>
      </c>
      <c r="AD331" s="4">
        <f t="shared" si="14"/>
        <v>2006.666666666667</v>
      </c>
      <c r="AE331" s="4">
        <f t="shared" si="12"/>
        <v>501.66666666666697</v>
      </c>
    </row>
    <row r="332" spans="1:31" x14ac:dyDescent="0.25">
      <c r="A332" t="s">
        <v>0</v>
      </c>
      <c r="B332" s="3" t="s">
        <v>2219</v>
      </c>
      <c r="C332" t="s">
        <v>880</v>
      </c>
      <c r="D332" t="s">
        <v>160</v>
      </c>
      <c r="E332" t="s">
        <v>910</v>
      </c>
      <c r="F332" s="1">
        <v>46060</v>
      </c>
      <c r="G332" s="1">
        <v>46063</v>
      </c>
      <c r="H332" t="s">
        <v>904</v>
      </c>
      <c r="I332" t="s">
        <v>5</v>
      </c>
      <c r="J332" t="s">
        <v>6</v>
      </c>
      <c r="K332" t="s">
        <v>4</v>
      </c>
      <c r="L332" t="s">
        <v>911</v>
      </c>
      <c r="M332" t="s">
        <v>911</v>
      </c>
      <c r="N332" s="2">
        <v>520</v>
      </c>
      <c r="O332" t="s">
        <v>884</v>
      </c>
      <c r="P332" t="s">
        <v>9</v>
      </c>
      <c r="Q332" t="s">
        <v>86</v>
      </c>
      <c r="R332" t="e">
        <f>VLOOKUP(Q332,#REF!,2,FALSE)</f>
        <v>#REF!</v>
      </c>
      <c r="S332">
        <v>1408</v>
      </c>
      <c r="T332" t="s">
        <v>2223</v>
      </c>
      <c r="U332" t="s">
        <v>885</v>
      </c>
      <c r="V332" s="1">
        <v>46053</v>
      </c>
      <c r="W332" s="1">
        <v>46053</v>
      </c>
      <c r="X332" t="s">
        <v>77</v>
      </c>
      <c r="Y332" t="s">
        <v>78</v>
      </c>
      <c r="Z332" t="s">
        <v>6</v>
      </c>
      <c r="AA332" t="s">
        <v>78</v>
      </c>
      <c r="AB332" s="4">
        <f t="shared" si="13"/>
        <v>17333.333333333336</v>
      </c>
      <c r="AC332" s="6">
        <v>0.04</v>
      </c>
      <c r="AD332" s="4">
        <f t="shared" si="14"/>
        <v>693.33333333333348</v>
      </c>
      <c r="AE332" s="4">
        <f t="shared" si="12"/>
        <v>173.33333333333348</v>
      </c>
    </row>
    <row r="333" spans="1:31" x14ac:dyDescent="0.25">
      <c r="A333" t="s">
        <v>0</v>
      </c>
      <c r="B333" s="3" t="s">
        <v>2219</v>
      </c>
      <c r="C333" t="s">
        <v>880</v>
      </c>
      <c r="D333" t="s">
        <v>160</v>
      </c>
      <c r="E333" t="s">
        <v>912</v>
      </c>
      <c r="F333" s="1">
        <v>46060</v>
      </c>
      <c r="G333" s="1">
        <v>46063</v>
      </c>
      <c r="H333" t="s">
        <v>904</v>
      </c>
      <c r="I333" t="s">
        <v>5</v>
      </c>
      <c r="J333" t="s">
        <v>6</v>
      </c>
      <c r="K333" t="s">
        <v>4</v>
      </c>
      <c r="L333" t="s">
        <v>913</v>
      </c>
      <c r="M333" t="s">
        <v>913</v>
      </c>
      <c r="N333" s="2">
        <v>2847</v>
      </c>
      <c r="O333" t="s">
        <v>884</v>
      </c>
      <c r="P333" t="s">
        <v>9</v>
      </c>
      <c r="Q333" t="s">
        <v>86</v>
      </c>
      <c r="R333" t="e">
        <f>VLOOKUP(Q333,#REF!,2,FALSE)</f>
        <v>#REF!</v>
      </c>
      <c r="S333">
        <v>1408</v>
      </c>
      <c r="T333" t="s">
        <v>2223</v>
      </c>
      <c r="U333" t="s">
        <v>885</v>
      </c>
      <c r="V333" s="1">
        <v>46053</v>
      </c>
      <c r="W333" s="1">
        <v>46053</v>
      </c>
      <c r="X333" t="s">
        <v>77</v>
      </c>
      <c r="Y333" t="s">
        <v>78</v>
      </c>
      <c r="Z333" t="s">
        <v>6</v>
      </c>
      <c r="AA333" t="s">
        <v>78</v>
      </c>
      <c r="AB333" s="4">
        <f t="shared" si="13"/>
        <v>94900</v>
      </c>
      <c r="AC333" s="6">
        <v>0.04</v>
      </c>
      <c r="AD333" s="4">
        <f t="shared" si="14"/>
        <v>3796</v>
      </c>
      <c r="AE333" s="4">
        <f t="shared" si="12"/>
        <v>949</v>
      </c>
    </row>
    <row r="334" spans="1:31" x14ac:dyDescent="0.25">
      <c r="A334" t="s">
        <v>0</v>
      </c>
      <c r="B334" s="3" t="s">
        <v>2219</v>
      </c>
      <c r="C334" t="s">
        <v>880</v>
      </c>
      <c r="D334" t="s">
        <v>160</v>
      </c>
      <c r="E334" t="s">
        <v>914</v>
      </c>
      <c r="F334" s="1">
        <v>46060</v>
      </c>
      <c r="G334" s="1">
        <v>46063</v>
      </c>
      <c r="H334" t="s">
        <v>904</v>
      </c>
      <c r="I334" t="s">
        <v>5</v>
      </c>
      <c r="J334" t="s">
        <v>6</v>
      </c>
      <c r="K334" t="s">
        <v>4</v>
      </c>
      <c r="L334" t="s">
        <v>915</v>
      </c>
      <c r="M334" t="s">
        <v>915</v>
      </c>
      <c r="N334" s="2">
        <v>4164</v>
      </c>
      <c r="O334" t="s">
        <v>884</v>
      </c>
      <c r="P334" t="s">
        <v>9</v>
      </c>
      <c r="Q334" t="s">
        <v>86</v>
      </c>
      <c r="R334" t="e">
        <f>VLOOKUP(Q334,#REF!,2,FALSE)</f>
        <v>#REF!</v>
      </c>
      <c r="S334">
        <v>1408</v>
      </c>
      <c r="T334" t="s">
        <v>2223</v>
      </c>
      <c r="U334" t="s">
        <v>885</v>
      </c>
      <c r="V334" s="1">
        <v>46053</v>
      </c>
      <c r="W334" s="1">
        <v>46053</v>
      </c>
      <c r="X334" t="s">
        <v>77</v>
      </c>
      <c r="Y334" t="s">
        <v>78</v>
      </c>
      <c r="Z334" t="s">
        <v>6</v>
      </c>
      <c r="AA334" t="s">
        <v>78</v>
      </c>
      <c r="AB334" s="4">
        <f t="shared" si="13"/>
        <v>138800</v>
      </c>
      <c r="AC334" s="6">
        <v>0.04</v>
      </c>
      <c r="AD334" s="4">
        <f t="shared" si="14"/>
        <v>5552</v>
      </c>
      <c r="AE334" s="4">
        <f t="shared" si="12"/>
        <v>1388</v>
      </c>
    </row>
    <row r="335" spans="1:31" x14ac:dyDescent="0.25">
      <c r="A335" t="s">
        <v>0</v>
      </c>
      <c r="B335" s="3" t="s">
        <v>2219</v>
      </c>
      <c r="C335" t="s">
        <v>880</v>
      </c>
      <c r="D335" t="s">
        <v>160</v>
      </c>
      <c r="E335" t="s">
        <v>916</v>
      </c>
      <c r="F335" s="1">
        <v>46060</v>
      </c>
      <c r="G335" s="1">
        <v>46063</v>
      </c>
      <c r="H335" t="s">
        <v>904</v>
      </c>
      <c r="I335" t="s">
        <v>5</v>
      </c>
      <c r="J335" t="s">
        <v>6</v>
      </c>
      <c r="K335" t="s">
        <v>4</v>
      </c>
      <c r="L335" t="s">
        <v>917</v>
      </c>
      <c r="M335" t="s">
        <v>917</v>
      </c>
      <c r="N335" s="2">
        <v>575</v>
      </c>
      <c r="O335" t="s">
        <v>884</v>
      </c>
      <c r="P335" t="s">
        <v>9</v>
      </c>
      <c r="Q335" t="s">
        <v>86</v>
      </c>
      <c r="R335" t="e">
        <f>VLOOKUP(Q335,#REF!,2,FALSE)</f>
        <v>#REF!</v>
      </c>
      <c r="S335">
        <v>1408</v>
      </c>
      <c r="T335" t="s">
        <v>2223</v>
      </c>
      <c r="U335" t="s">
        <v>885</v>
      </c>
      <c r="V335" s="1">
        <v>46053</v>
      </c>
      <c r="W335" s="1">
        <v>46053</v>
      </c>
      <c r="X335" t="s">
        <v>77</v>
      </c>
      <c r="Y335" t="s">
        <v>78</v>
      </c>
      <c r="Z335" t="s">
        <v>6</v>
      </c>
      <c r="AA335" t="s">
        <v>78</v>
      </c>
      <c r="AB335" s="4">
        <f t="shared" si="13"/>
        <v>19166.666666666668</v>
      </c>
      <c r="AC335" s="6">
        <v>0.04</v>
      </c>
      <c r="AD335" s="4">
        <f t="shared" si="14"/>
        <v>766.66666666666674</v>
      </c>
      <c r="AE335" s="4">
        <f t="shared" si="12"/>
        <v>191.66666666666674</v>
      </c>
    </row>
    <row r="336" spans="1:31" x14ac:dyDescent="0.25">
      <c r="A336" t="s">
        <v>0</v>
      </c>
      <c r="B336" s="3" t="s">
        <v>2219</v>
      </c>
      <c r="C336" t="s">
        <v>880</v>
      </c>
      <c r="D336" t="s">
        <v>160</v>
      </c>
      <c r="E336" t="s">
        <v>918</v>
      </c>
      <c r="F336" s="1">
        <v>46060</v>
      </c>
      <c r="G336" s="1">
        <v>46063</v>
      </c>
      <c r="H336" t="s">
        <v>904</v>
      </c>
      <c r="I336" t="s">
        <v>5</v>
      </c>
      <c r="J336" t="s">
        <v>6</v>
      </c>
      <c r="K336" t="s">
        <v>4</v>
      </c>
      <c r="L336" t="s">
        <v>919</v>
      </c>
      <c r="M336" t="s">
        <v>919</v>
      </c>
      <c r="N336" s="2">
        <v>3243</v>
      </c>
      <c r="O336" t="s">
        <v>884</v>
      </c>
      <c r="P336" t="s">
        <v>9</v>
      </c>
      <c r="Q336" t="s">
        <v>86</v>
      </c>
      <c r="R336" t="e">
        <f>VLOOKUP(Q336,#REF!,2,FALSE)</f>
        <v>#REF!</v>
      </c>
      <c r="S336">
        <v>1408</v>
      </c>
      <c r="T336" t="s">
        <v>2223</v>
      </c>
      <c r="U336" t="s">
        <v>885</v>
      </c>
      <c r="V336" s="1">
        <v>46053</v>
      </c>
      <c r="W336" s="1">
        <v>46053</v>
      </c>
      <c r="X336" t="s">
        <v>77</v>
      </c>
      <c r="Y336" t="s">
        <v>78</v>
      </c>
      <c r="Z336" t="s">
        <v>6</v>
      </c>
      <c r="AA336" t="s">
        <v>78</v>
      </c>
      <c r="AB336" s="4">
        <f t="shared" si="13"/>
        <v>108100</v>
      </c>
      <c r="AC336" s="6">
        <v>0.04</v>
      </c>
      <c r="AD336" s="4">
        <f t="shared" si="14"/>
        <v>4324</v>
      </c>
      <c r="AE336" s="4">
        <f t="shared" si="12"/>
        <v>1081</v>
      </c>
    </row>
    <row r="337" spans="1:31" x14ac:dyDescent="0.25">
      <c r="A337" t="s">
        <v>0</v>
      </c>
      <c r="B337" s="3" t="s">
        <v>2219</v>
      </c>
      <c r="C337" t="s">
        <v>920</v>
      </c>
      <c r="D337" t="s">
        <v>160</v>
      </c>
      <c r="E337" t="s">
        <v>921</v>
      </c>
      <c r="F337" s="1">
        <v>46060</v>
      </c>
      <c r="G337" s="1">
        <v>46063</v>
      </c>
      <c r="H337" t="s">
        <v>882</v>
      </c>
      <c r="I337" t="s">
        <v>5</v>
      </c>
      <c r="J337" t="s">
        <v>6</v>
      </c>
      <c r="K337" t="s">
        <v>4</v>
      </c>
      <c r="L337" t="s">
        <v>922</v>
      </c>
      <c r="M337" t="s">
        <v>922</v>
      </c>
      <c r="N337" s="2">
        <v>41351</v>
      </c>
      <c r="O337" t="s">
        <v>923</v>
      </c>
      <c r="P337" t="s">
        <v>9</v>
      </c>
      <c r="Q337" t="s">
        <v>75</v>
      </c>
      <c r="R337" t="e">
        <f>VLOOKUP(Q337,#REF!,2,FALSE)</f>
        <v>#REF!</v>
      </c>
      <c r="S337">
        <v>1408</v>
      </c>
      <c r="T337" t="s">
        <v>2223</v>
      </c>
      <c r="U337" t="s">
        <v>924</v>
      </c>
      <c r="V337" s="1">
        <v>46053</v>
      </c>
      <c r="W337" s="1">
        <v>46053</v>
      </c>
      <c r="X337" t="s">
        <v>77</v>
      </c>
      <c r="Y337" t="s">
        <v>78</v>
      </c>
      <c r="Z337" t="s">
        <v>6</v>
      </c>
      <c r="AA337" t="s">
        <v>78</v>
      </c>
      <c r="AB337" s="4">
        <f t="shared" ref="AB337:AB345" si="15">L337/0.1</f>
        <v>413510</v>
      </c>
      <c r="AC337" s="5" t="s">
        <v>2215</v>
      </c>
      <c r="AD337" s="4">
        <f t="shared" ref="AD337:AD345" si="16">AB337/12</f>
        <v>34459.166666666664</v>
      </c>
      <c r="AE337" s="4">
        <f t="shared" si="12"/>
        <v>-6891.8333333333358</v>
      </c>
    </row>
    <row r="338" spans="1:31" x14ac:dyDescent="0.25">
      <c r="A338" t="s">
        <v>0</v>
      </c>
      <c r="B338" s="3" t="s">
        <v>2219</v>
      </c>
      <c r="C338" t="s">
        <v>920</v>
      </c>
      <c r="D338" t="s">
        <v>160</v>
      </c>
      <c r="E338" t="s">
        <v>925</v>
      </c>
      <c r="F338" s="1">
        <v>46060</v>
      </c>
      <c r="G338" s="1">
        <v>46063</v>
      </c>
      <c r="H338" t="s">
        <v>882</v>
      </c>
      <c r="I338" t="s">
        <v>5</v>
      </c>
      <c r="J338" t="s">
        <v>6</v>
      </c>
      <c r="K338" t="s">
        <v>4</v>
      </c>
      <c r="L338" t="s">
        <v>926</v>
      </c>
      <c r="M338" t="s">
        <v>926</v>
      </c>
      <c r="N338" s="2">
        <v>46860</v>
      </c>
      <c r="O338" t="s">
        <v>923</v>
      </c>
      <c r="P338" t="s">
        <v>9</v>
      </c>
      <c r="Q338" t="s">
        <v>75</v>
      </c>
      <c r="R338" t="e">
        <f>VLOOKUP(Q338,#REF!,2,FALSE)</f>
        <v>#REF!</v>
      </c>
      <c r="S338">
        <v>1408</v>
      </c>
      <c r="T338" t="s">
        <v>2223</v>
      </c>
      <c r="U338" t="s">
        <v>924</v>
      </c>
      <c r="V338" s="1">
        <v>46053</v>
      </c>
      <c r="W338" s="1">
        <v>46053</v>
      </c>
      <c r="X338" t="s">
        <v>77</v>
      </c>
      <c r="Y338" t="s">
        <v>78</v>
      </c>
      <c r="Z338" t="s">
        <v>6</v>
      </c>
      <c r="AA338" t="s">
        <v>78</v>
      </c>
      <c r="AB338" s="4">
        <f t="shared" si="15"/>
        <v>468600</v>
      </c>
      <c r="AC338" s="5" t="s">
        <v>2215</v>
      </c>
      <c r="AD338" s="4">
        <f t="shared" si="16"/>
        <v>39050</v>
      </c>
      <c r="AE338" s="4">
        <f t="shared" si="12"/>
        <v>-7810</v>
      </c>
    </row>
    <row r="339" spans="1:31" x14ac:dyDescent="0.25">
      <c r="A339" t="s">
        <v>0</v>
      </c>
      <c r="B339" s="3" t="s">
        <v>2219</v>
      </c>
      <c r="C339" t="s">
        <v>920</v>
      </c>
      <c r="D339" t="s">
        <v>160</v>
      </c>
      <c r="E339" t="s">
        <v>927</v>
      </c>
      <c r="F339" s="1">
        <v>46060</v>
      </c>
      <c r="G339" s="1">
        <v>46063</v>
      </c>
      <c r="H339" t="s">
        <v>882</v>
      </c>
      <c r="I339" t="s">
        <v>5</v>
      </c>
      <c r="J339" t="s">
        <v>6</v>
      </c>
      <c r="K339" t="s">
        <v>4</v>
      </c>
      <c r="L339" t="s">
        <v>928</v>
      </c>
      <c r="M339" t="s">
        <v>928</v>
      </c>
      <c r="N339" s="2">
        <v>14653</v>
      </c>
      <c r="O339" t="s">
        <v>923</v>
      </c>
      <c r="P339" t="s">
        <v>9</v>
      </c>
      <c r="Q339" t="s">
        <v>75</v>
      </c>
      <c r="R339" t="e">
        <f>VLOOKUP(Q339,#REF!,2,FALSE)</f>
        <v>#REF!</v>
      </c>
      <c r="S339">
        <v>1408</v>
      </c>
      <c r="T339" t="s">
        <v>2223</v>
      </c>
      <c r="U339" t="s">
        <v>924</v>
      </c>
      <c r="V339" s="1">
        <v>46053</v>
      </c>
      <c r="W339" s="1">
        <v>46053</v>
      </c>
      <c r="X339" t="s">
        <v>77</v>
      </c>
      <c r="Y339" t="s">
        <v>78</v>
      </c>
      <c r="Z339" t="s">
        <v>6</v>
      </c>
      <c r="AA339" t="s">
        <v>78</v>
      </c>
      <c r="AB339" s="4">
        <f t="shared" si="15"/>
        <v>146530</v>
      </c>
      <c r="AC339" s="5" t="s">
        <v>2215</v>
      </c>
      <c r="AD339" s="4">
        <f t="shared" si="16"/>
        <v>12210.833333333334</v>
      </c>
      <c r="AE339" s="4">
        <f t="shared" si="12"/>
        <v>-2442.1666666666661</v>
      </c>
    </row>
    <row r="340" spans="1:31" x14ac:dyDescent="0.25">
      <c r="A340" t="s">
        <v>0</v>
      </c>
      <c r="B340" s="3" t="s">
        <v>2219</v>
      </c>
      <c r="C340" t="s">
        <v>920</v>
      </c>
      <c r="D340" t="s">
        <v>160</v>
      </c>
      <c r="E340" t="s">
        <v>929</v>
      </c>
      <c r="F340" s="1">
        <v>46060</v>
      </c>
      <c r="G340" s="1">
        <v>46063</v>
      </c>
      <c r="H340" t="s">
        <v>882</v>
      </c>
      <c r="I340" t="s">
        <v>5</v>
      </c>
      <c r="J340" t="s">
        <v>6</v>
      </c>
      <c r="K340" t="s">
        <v>4</v>
      </c>
      <c r="L340" t="s">
        <v>930</v>
      </c>
      <c r="M340" t="s">
        <v>930</v>
      </c>
      <c r="N340" s="2">
        <v>32788</v>
      </c>
      <c r="O340" t="s">
        <v>923</v>
      </c>
      <c r="P340" t="s">
        <v>9</v>
      </c>
      <c r="Q340" t="s">
        <v>75</v>
      </c>
      <c r="R340" t="e">
        <f>VLOOKUP(Q340,#REF!,2,FALSE)</f>
        <v>#REF!</v>
      </c>
      <c r="S340">
        <v>1408</v>
      </c>
      <c r="T340" t="s">
        <v>2223</v>
      </c>
      <c r="U340" t="s">
        <v>924</v>
      </c>
      <c r="V340" s="1">
        <v>46053</v>
      </c>
      <c r="W340" s="1">
        <v>46053</v>
      </c>
      <c r="X340" t="s">
        <v>77</v>
      </c>
      <c r="Y340" t="s">
        <v>78</v>
      </c>
      <c r="Z340" t="s">
        <v>6</v>
      </c>
      <c r="AA340" t="s">
        <v>78</v>
      </c>
      <c r="AB340" s="4">
        <f t="shared" si="15"/>
        <v>327880</v>
      </c>
      <c r="AC340" s="5" t="s">
        <v>2215</v>
      </c>
      <c r="AD340" s="4">
        <f t="shared" si="16"/>
        <v>27323.333333333332</v>
      </c>
      <c r="AE340" s="4">
        <f t="shared" si="12"/>
        <v>-5464.6666666666679</v>
      </c>
    </row>
    <row r="341" spans="1:31" x14ac:dyDescent="0.25">
      <c r="A341" t="s">
        <v>0</v>
      </c>
      <c r="B341" s="3" t="s">
        <v>2219</v>
      </c>
      <c r="C341" t="s">
        <v>920</v>
      </c>
      <c r="D341" t="s">
        <v>160</v>
      </c>
      <c r="E341" t="s">
        <v>931</v>
      </c>
      <c r="F341" s="1">
        <v>46060</v>
      </c>
      <c r="G341" s="1">
        <v>46063</v>
      </c>
      <c r="H341" t="s">
        <v>882</v>
      </c>
      <c r="I341" t="s">
        <v>5</v>
      </c>
      <c r="J341" t="s">
        <v>6</v>
      </c>
      <c r="K341" t="s">
        <v>4</v>
      </c>
      <c r="L341" t="s">
        <v>932</v>
      </c>
      <c r="M341" t="s">
        <v>932</v>
      </c>
      <c r="N341" s="2">
        <v>8751</v>
      </c>
      <c r="O341" t="s">
        <v>923</v>
      </c>
      <c r="P341" t="s">
        <v>9</v>
      </c>
      <c r="Q341" t="s">
        <v>75</v>
      </c>
      <c r="R341" t="e">
        <f>VLOOKUP(Q341,#REF!,2,FALSE)</f>
        <v>#REF!</v>
      </c>
      <c r="S341">
        <v>1408</v>
      </c>
      <c r="T341" t="s">
        <v>2223</v>
      </c>
      <c r="U341" t="s">
        <v>924</v>
      </c>
      <c r="V341" s="1">
        <v>46053</v>
      </c>
      <c r="W341" s="1">
        <v>46053</v>
      </c>
      <c r="X341" t="s">
        <v>77</v>
      </c>
      <c r="Y341" t="s">
        <v>78</v>
      </c>
      <c r="Z341" t="s">
        <v>6</v>
      </c>
      <c r="AA341" t="s">
        <v>78</v>
      </c>
      <c r="AB341" s="4">
        <f t="shared" si="15"/>
        <v>87510</v>
      </c>
      <c r="AC341" s="5" t="s">
        <v>2215</v>
      </c>
      <c r="AD341" s="4">
        <f t="shared" si="16"/>
        <v>7292.5</v>
      </c>
      <c r="AE341" s="4">
        <f t="shared" si="12"/>
        <v>-1458.5</v>
      </c>
    </row>
    <row r="342" spans="1:31" x14ac:dyDescent="0.25">
      <c r="A342" t="s">
        <v>0</v>
      </c>
      <c r="B342" s="3" t="s">
        <v>2219</v>
      </c>
      <c r="C342" t="s">
        <v>920</v>
      </c>
      <c r="D342" t="s">
        <v>160</v>
      </c>
      <c r="E342" t="s">
        <v>933</v>
      </c>
      <c r="F342" s="1">
        <v>46060</v>
      </c>
      <c r="G342" s="1">
        <v>46063</v>
      </c>
      <c r="H342" t="s">
        <v>882</v>
      </c>
      <c r="I342" t="s">
        <v>5</v>
      </c>
      <c r="J342" t="s">
        <v>6</v>
      </c>
      <c r="K342" t="s">
        <v>4</v>
      </c>
      <c r="L342" t="s">
        <v>934</v>
      </c>
      <c r="M342" t="s">
        <v>934</v>
      </c>
      <c r="N342" s="2">
        <v>54790</v>
      </c>
      <c r="O342" t="s">
        <v>923</v>
      </c>
      <c r="P342" t="s">
        <v>9</v>
      </c>
      <c r="Q342" t="s">
        <v>75</v>
      </c>
      <c r="R342" t="e">
        <f>VLOOKUP(Q342,#REF!,2,FALSE)</f>
        <v>#REF!</v>
      </c>
      <c r="S342">
        <v>1408</v>
      </c>
      <c r="T342" t="s">
        <v>2223</v>
      </c>
      <c r="U342" t="s">
        <v>924</v>
      </c>
      <c r="V342" s="1">
        <v>46053</v>
      </c>
      <c r="W342" s="1">
        <v>46053</v>
      </c>
      <c r="X342" t="s">
        <v>77</v>
      </c>
      <c r="Y342" t="s">
        <v>78</v>
      </c>
      <c r="Z342" t="s">
        <v>6</v>
      </c>
      <c r="AA342" t="s">
        <v>78</v>
      </c>
      <c r="AB342" s="4">
        <f t="shared" si="15"/>
        <v>547900</v>
      </c>
      <c r="AC342" s="5" t="s">
        <v>2215</v>
      </c>
      <c r="AD342" s="4">
        <f t="shared" si="16"/>
        <v>45658.333333333336</v>
      </c>
      <c r="AE342" s="4">
        <f t="shared" si="12"/>
        <v>-9131.6666666666642</v>
      </c>
    </row>
    <row r="343" spans="1:31" x14ac:dyDescent="0.25">
      <c r="A343" t="s">
        <v>0</v>
      </c>
      <c r="B343" s="3" t="s">
        <v>2219</v>
      </c>
      <c r="C343" t="s">
        <v>920</v>
      </c>
      <c r="D343" t="s">
        <v>160</v>
      </c>
      <c r="E343" t="s">
        <v>935</v>
      </c>
      <c r="F343" s="1">
        <v>46060</v>
      </c>
      <c r="G343" s="1">
        <v>46063</v>
      </c>
      <c r="H343" t="s">
        <v>882</v>
      </c>
      <c r="I343" t="s">
        <v>5</v>
      </c>
      <c r="J343" t="s">
        <v>6</v>
      </c>
      <c r="K343" t="s">
        <v>4</v>
      </c>
      <c r="L343" t="s">
        <v>936</v>
      </c>
      <c r="M343" t="s">
        <v>936</v>
      </c>
      <c r="N343" s="2">
        <v>11762</v>
      </c>
      <c r="O343" t="s">
        <v>923</v>
      </c>
      <c r="P343" t="s">
        <v>9</v>
      </c>
      <c r="Q343" t="s">
        <v>75</v>
      </c>
      <c r="R343" t="e">
        <f>VLOOKUP(Q343,#REF!,2,FALSE)</f>
        <v>#REF!</v>
      </c>
      <c r="S343">
        <v>1408</v>
      </c>
      <c r="T343" t="s">
        <v>2223</v>
      </c>
      <c r="U343" t="s">
        <v>924</v>
      </c>
      <c r="V343" s="1">
        <v>46053</v>
      </c>
      <c r="W343" s="1">
        <v>46053</v>
      </c>
      <c r="X343" t="s">
        <v>77</v>
      </c>
      <c r="Y343" t="s">
        <v>78</v>
      </c>
      <c r="Z343" t="s">
        <v>6</v>
      </c>
      <c r="AA343" t="s">
        <v>78</v>
      </c>
      <c r="AB343" s="4">
        <f t="shared" si="15"/>
        <v>117620</v>
      </c>
      <c r="AC343" s="5" t="s">
        <v>2215</v>
      </c>
      <c r="AD343" s="4">
        <f t="shared" si="16"/>
        <v>9801.6666666666661</v>
      </c>
      <c r="AE343" s="4">
        <f t="shared" si="12"/>
        <v>-1960.3333333333339</v>
      </c>
    </row>
    <row r="344" spans="1:31" x14ac:dyDescent="0.25">
      <c r="A344" t="s">
        <v>0</v>
      </c>
      <c r="B344" s="3" t="s">
        <v>2219</v>
      </c>
      <c r="C344" t="s">
        <v>920</v>
      </c>
      <c r="D344" t="s">
        <v>160</v>
      </c>
      <c r="E344" t="s">
        <v>937</v>
      </c>
      <c r="F344" s="1">
        <v>46060</v>
      </c>
      <c r="G344" s="1">
        <v>46063</v>
      </c>
      <c r="H344" t="s">
        <v>882</v>
      </c>
      <c r="I344" t="s">
        <v>5</v>
      </c>
      <c r="J344" t="s">
        <v>6</v>
      </c>
      <c r="K344" t="s">
        <v>4</v>
      </c>
      <c r="L344" t="s">
        <v>938</v>
      </c>
      <c r="M344" t="s">
        <v>938</v>
      </c>
      <c r="N344" s="2">
        <v>76668</v>
      </c>
      <c r="O344" t="s">
        <v>923</v>
      </c>
      <c r="P344" t="s">
        <v>9</v>
      </c>
      <c r="Q344" t="s">
        <v>75</v>
      </c>
      <c r="R344" t="e">
        <f>VLOOKUP(Q344,#REF!,2,FALSE)</f>
        <v>#REF!</v>
      </c>
      <c r="S344">
        <v>1408</v>
      </c>
      <c r="T344" t="s">
        <v>2223</v>
      </c>
      <c r="U344" t="s">
        <v>924</v>
      </c>
      <c r="V344" s="1">
        <v>46053</v>
      </c>
      <c r="W344" s="1">
        <v>46053</v>
      </c>
      <c r="X344" t="s">
        <v>77</v>
      </c>
      <c r="Y344" t="s">
        <v>78</v>
      </c>
      <c r="Z344" t="s">
        <v>6</v>
      </c>
      <c r="AA344" t="s">
        <v>78</v>
      </c>
      <c r="AB344" s="4">
        <f t="shared" si="15"/>
        <v>766680</v>
      </c>
      <c r="AC344" s="5" t="s">
        <v>2215</v>
      </c>
      <c r="AD344" s="4">
        <f t="shared" si="16"/>
        <v>63890</v>
      </c>
      <c r="AE344" s="4">
        <f t="shared" si="12"/>
        <v>-12778</v>
      </c>
    </row>
    <row r="345" spans="1:31" x14ac:dyDescent="0.25">
      <c r="A345" t="s">
        <v>0</v>
      </c>
      <c r="B345" s="3" t="s">
        <v>2219</v>
      </c>
      <c r="C345" t="s">
        <v>920</v>
      </c>
      <c r="D345" t="s">
        <v>160</v>
      </c>
      <c r="E345" t="s">
        <v>939</v>
      </c>
      <c r="F345" s="1">
        <v>46060</v>
      </c>
      <c r="G345" s="1">
        <v>46063</v>
      </c>
      <c r="H345" t="s">
        <v>882</v>
      </c>
      <c r="I345" t="s">
        <v>5</v>
      </c>
      <c r="J345" t="s">
        <v>6</v>
      </c>
      <c r="K345" t="s">
        <v>4</v>
      </c>
      <c r="L345" t="s">
        <v>940</v>
      </c>
      <c r="M345" t="s">
        <v>940</v>
      </c>
      <c r="N345" s="2">
        <v>7799</v>
      </c>
      <c r="O345" t="s">
        <v>923</v>
      </c>
      <c r="P345" t="s">
        <v>9</v>
      </c>
      <c r="Q345" t="s">
        <v>75</v>
      </c>
      <c r="R345" t="e">
        <f>VLOOKUP(Q345,#REF!,2,FALSE)</f>
        <v>#REF!</v>
      </c>
      <c r="S345">
        <v>1408</v>
      </c>
      <c r="T345" t="s">
        <v>2223</v>
      </c>
      <c r="U345" t="s">
        <v>924</v>
      </c>
      <c r="V345" s="1">
        <v>46053</v>
      </c>
      <c r="W345" s="1">
        <v>46053</v>
      </c>
      <c r="X345" t="s">
        <v>77</v>
      </c>
      <c r="Y345" t="s">
        <v>78</v>
      </c>
      <c r="Z345" t="s">
        <v>6</v>
      </c>
      <c r="AA345" t="s">
        <v>78</v>
      </c>
      <c r="AB345" s="4">
        <f t="shared" si="15"/>
        <v>77990</v>
      </c>
      <c r="AC345" s="5" t="s">
        <v>2215</v>
      </c>
      <c r="AD345" s="4">
        <f t="shared" si="16"/>
        <v>6499.166666666667</v>
      </c>
      <c r="AE345" s="4">
        <f t="shared" si="12"/>
        <v>-1299.833333333333</v>
      </c>
    </row>
    <row r="346" spans="1:31" x14ac:dyDescent="0.25">
      <c r="A346" t="s">
        <v>0</v>
      </c>
      <c r="B346" s="3" t="s">
        <v>2219</v>
      </c>
      <c r="C346" t="s">
        <v>920</v>
      </c>
      <c r="D346" t="s">
        <v>160</v>
      </c>
      <c r="E346" t="s">
        <v>941</v>
      </c>
      <c r="F346" s="1">
        <v>46060</v>
      </c>
      <c r="G346" s="1">
        <v>46063</v>
      </c>
      <c r="H346" t="s">
        <v>904</v>
      </c>
      <c r="I346" t="s">
        <v>5</v>
      </c>
      <c r="J346" t="s">
        <v>6</v>
      </c>
      <c r="K346" t="s">
        <v>4</v>
      </c>
      <c r="L346" t="s">
        <v>942</v>
      </c>
      <c r="M346" t="s">
        <v>942</v>
      </c>
      <c r="N346" s="2">
        <v>1654</v>
      </c>
      <c r="O346" t="s">
        <v>923</v>
      </c>
      <c r="P346" t="s">
        <v>9</v>
      </c>
      <c r="Q346" t="s">
        <v>86</v>
      </c>
      <c r="R346" t="e">
        <f>VLOOKUP(Q346,#REF!,2,FALSE)</f>
        <v>#REF!</v>
      </c>
      <c r="S346">
        <v>1408</v>
      </c>
      <c r="T346" t="s">
        <v>2223</v>
      </c>
      <c r="U346" t="s">
        <v>924</v>
      </c>
      <c r="V346" s="1">
        <v>46053</v>
      </c>
      <c r="W346" s="1">
        <v>46053</v>
      </c>
      <c r="X346" t="s">
        <v>77</v>
      </c>
      <c r="Y346" t="s">
        <v>78</v>
      </c>
      <c r="Z346" t="s">
        <v>6</v>
      </c>
      <c r="AA346" t="s">
        <v>78</v>
      </c>
      <c r="AB346" s="4">
        <f t="shared" ref="AB346:AB354" si="17">L346/0.03</f>
        <v>55133.333333333336</v>
      </c>
      <c r="AC346" s="6">
        <v>0.04</v>
      </c>
      <c r="AD346" s="4">
        <f t="shared" ref="AD346:AD354" si="18">AB346*AC346</f>
        <v>2205.3333333333335</v>
      </c>
      <c r="AE346" s="4">
        <f t="shared" si="12"/>
        <v>551.33333333333348</v>
      </c>
    </row>
    <row r="347" spans="1:31" x14ac:dyDescent="0.25">
      <c r="A347" t="s">
        <v>0</v>
      </c>
      <c r="B347" s="3" t="s">
        <v>2219</v>
      </c>
      <c r="C347" t="s">
        <v>920</v>
      </c>
      <c r="D347" t="s">
        <v>160</v>
      </c>
      <c r="E347" t="s">
        <v>943</v>
      </c>
      <c r="F347" s="1">
        <v>46060</v>
      </c>
      <c r="G347" s="1">
        <v>46063</v>
      </c>
      <c r="H347" t="s">
        <v>904</v>
      </c>
      <c r="I347" t="s">
        <v>5</v>
      </c>
      <c r="J347" t="s">
        <v>6</v>
      </c>
      <c r="K347" t="s">
        <v>4</v>
      </c>
      <c r="L347" t="s">
        <v>944</v>
      </c>
      <c r="M347" t="s">
        <v>944</v>
      </c>
      <c r="N347" s="2">
        <v>1874</v>
      </c>
      <c r="O347" t="s">
        <v>923</v>
      </c>
      <c r="P347" t="s">
        <v>9</v>
      </c>
      <c r="Q347" t="s">
        <v>86</v>
      </c>
      <c r="R347" t="e">
        <f>VLOOKUP(Q347,#REF!,2,FALSE)</f>
        <v>#REF!</v>
      </c>
      <c r="S347">
        <v>1408</v>
      </c>
      <c r="T347" t="s">
        <v>2223</v>
      </c>
      <c r="U347" t="s">
        <v>924</v>
      </c>
      <c r="V347" s="1">
        <v>46053</v>
      </c>
      <c r="W347" s="1">
        <v>46053</v>
      </c>
      <c r="X347" t="s">
        <v>77</v>
      </c>
      <c r="Y347" t="s">
        <v>78</v>
      </c>
      <c r="Z347" t="s">
        <v>6</v>
      </c>
      <c r="AA347" t="s">
        <v>78</v>
      </c>
      <c r="AB347" s="4">
        <f t="shared" si="17"/>
        <v>62466.666666666672</v>
      </c>
      <c r="AC347" s="6">
        <v>0.04</v>
      </c>
      <c r="AD347" s="4">
        <f t="shared" si="18"/>
        <v>2498.666666666667</v>
      </c>
      <c r="AE347" s="4">
        <f t="shared" si="12"/>
        <v>624.66666666666697</v>
      </c>
    </row>
    <row r="348" spans="1:31" x14ac:dyDescent="0.25">
      <c r="A348" t="s">
        <v>0</v>
      </c>
      <c r="B348" s="3" t="s">
        <v>2219</v>
      </c>
      <c r="C348" t="s">
        <v>920</v>
      </c>
      <c r="D348" t="s">
        <v>160</v>
      </c>
      <c r="E348" t="s">
        <v>945</v>
      </c>
      <c r="F348" s="1">
        <v>46060</v>
      </c>
      <c r="G348" s="1">
        <v>46063</v>
      </c>
      <c r="H348" t="s">
        <v>904</v>
      </c>
      <c r="I348" t="s">
        <v>5</v>
      </c>
      <c r="J348" t="s">
        <v>6</v>
      </c>
      <c r="K348" t="s">
        <v>4</v>
      </c>
      <c r="L348" t="s">
        <v>946</v>
      </c>
      <c r="M348" t="s">
        <v>946</v>
      </c>
      <c r="N348" s="2">
        <v>586</v>
      </c>
      <c r="O348" t="s">
        <v>923</v>
      </c>
      <c r="P348" t="s">
        <v>9</v>
      </c>
      <c r="Q348" t="s">
        <v>86</v>
      </c>
      <c r="R348" t="e">
        <f>VLOOKUP(Q348,#REF!,2,FALSE)</f>
        <v>#REF!</v>
      </c>
      <c r="S348">
        <v>1408</v>
      </c>
      <c r="T348" t="s">
        <v>2223</v>
      </c>
      <c r="U348" t="s">
        <v>924</v>
      </c>
      <c r="V348" s="1">
        <v>46053</v>
      </c>
      <c r="W348" s="1">
        <v>46053</v>
      </c>
      <c r="X348" t="s">
        <v>77</v>
      </c>
      <c r="Y348" t="s">
        <v>78</v>
      </c>
      <c r="Z348" t="s">
        <v>6</v>
      </c>
      <c r="AA348" t="s">
        <v>78</v>
      </c>
      <c r="AB348" s="4">
        <f t="shared" si="17"/>
        <v>19533.333333333336</v>
      </c>
      <c r="AC348" s="6">
        <v>0.04</v>
      </c>
      <c r="AD348" s="4">
        <f t="shared" si="18"/>
        <v>781.33333333333348</v>
      </c>
      <c r="AE348" s="4">
        <f t="shared" si="12"/>
        <v>195.33333333333348</v>
      </c>
    </row>
    <row r="349" spans="1:31" x14ac:dyDescent="0.25">
      <c r="A349" t="s">
        <v>0</v>
      </c>
      <c r="B349" s="3" t="s">
        <v>2219</v>
      </c>
      <c r="C349" t="s">
        <v>920</v>
      </c>
      <c r="D349" t="s">
        <v>160</v>
      </c>
      <c r="E349" t="s">
        <v>947</v>
      </c>
      <c r="F349" s="1">
        <v>46060</v>
      </c>
      <c r="G349" s="1">
        <v>46063</v>
      </c>
      <c r="H349" t="s">
        <v>904</v>
      </c>
      <c r="I349" t="s">
        <v>5</v>
      </c>
      <c r="J349" t="s">
        <v>6</v>
      </c>
      <c r="K349" t="s">
        <v>4</v>
      </c>
      <c r="L349" t="s">
        <v>948</v>
      </c>
      <c r="M349" t="s">
        <v>948</v>
      </c>
      <c r="N349" s="2">
        <v>1312</v>
      </c>
      <c r="O349" t="s">
        <v>923</v>
      </c>
      <c r="P349" t="s">
        <v>9</v>
      </c>
      <c r="Q349" t="s">
        <v>86</v>
      </c>
      <c r="R349" t="e">
        <f>VLOOKUP(Q349,#REF!,2,FALSE)</f>
        <v>#REF!</v>
      </c>
      <c r="S349">
        <v>1408</v>
      </c>
      <c r="T349" t="s">
        <v>2223</v>
      </c>
      <c r="U349" t="s">
        <v>924</v>
      </c>
      <c r="V349" s="1">
        <v>46053</v>
      </c>
      <c r="W349" s="1">
        <v>46053</v>
      </c>
      <c r="X349" t="s">
        <v>77</v>
      </c>
      <c r="Y349" t="s">
        <v>78</v>
      </c>
      <c r="Z349" t="s">
        <v>6</v>
      </c>
      <c r="AA349" t="s">
        <v>78</v>
      </c>
      <c r="AB349" s="4">
        <f t="shared" si="17"/>
        <v>43733.333333333336</v>
      </c>
      <c r="AC349" s="6">
        <v>0.04</v>
      </c>
      <c r="AD349" s="4">
        <f t="shared" si="18"/>
        <v>1749.3333333333335</v>
      </c>
      <c r="AE349" s="4">
        <f t="shared" si="12"/>
        <v>437.33333333333348</v>
      </c>
    </row>
    <row r="350" spans="1:31" x14ac:dyDescent="0.25">
      <c r="A350" t="s">
        <v>0</v>
      </c>
      <c r="B350" s="3" t="s">
        <v>2219</v>
      </c>
      <c r="C350" t="s">
        <v>920</v>
      </c>
      <c r="D350" t="s">
        <v>160</v>
      </c>
      <c r="E350" t="s">
        <v>949</v>
      </c>
      <c r="F350" s="1">
        <v>46060</v>
      </c>
      <c r="G350" s="1">
        <v>46063</v>
      </c>
      <c r="H350" t="s">
        <v>904</v>
      </c>
      <c r="I350" t="s">
        <v>5</v>
      </c>
      <c r="J350" t="s">
        <v>6</v>
      </c>
      <c r="K350" t="s">
        <v>4</v>
      </c>
      <c r="L350" t="s">
        <v>950</v>
      </c>
      <c r="M350" t="s">
        <v>950</v>
      </c>
      <c r="N350" s="2">
        <v>350</v>
      </c>
      <c r="O350" t="s">
        <v>923</v>
      </c>
      <c r="P350" t="s">
        <v>9</v>
      </c>
      <c r="Q350" t="s">
        <v>86</v>
      </c>
      <c r="R350" t="e">
        <f>VLOOKUP(Q350,#REF!,2,FALSE)</f>
        <v>#REF!</v>
      </c>
      <c r="S350">
        <v>1408</v>
      </c>
      <c r="T350" t="s">
        <v>2223</v>
      </c>
      <c r="U350" t="s">
        <v>924</v>
      </c>
      <c r="V350" s="1">
        <v>46053</v>
      </c>
      <c r="W350" s="1">
        <v>46053</v>
      </c>
      <c r="X350" t="s">
        <v>77</v>
      </c>
      <c r="Y350" t="s">
        <v>78</v>
      </c>
      <c r="Z350" t="s">
        <v>6</v>
      </c>
      <c r="AA350" t="s">
        <v>78</v>
      </c>
      <c r="AB350" s="4">
        <f t="shared" si="17"/>
        <v>11666.666666666668</v>
      </c>
      <c r="AC350" s="6">
        <v>0.04</v>
      </c>
      <c r="AD350" s="4">
        <f t="shared" si="18"/>
        <v>466.66666666666674</v>
      </c>
      <c r="AE350" s="4">
        <f t="shared" si="12"/>
        <v>116.66666666666674</v>
      </c>
    </row>
    <row r="351" spans="1:31" x14ac:dyDescent="0.25">
      <c r="A351" t="s">
        <v>0</v>
      </c>
      <c r="B351" s="3" t="s">
        <v>2219</v>
      </c>
      <c r="C351" t="s">
        <v>920</v>
      </c>
      <c r="D351" t="s">
        <v>160</v>
      </c>
      <c r="E351" t="s">
        <v>951</v>
      </c>
      <c r="F351" s="1">
        <v>46060</v>
      </c>
      <c r="G351" s="1">
        <v>46063</v>
      </c>
      <c r="H351" t="s">
        <v>904</v>
      </c>
      <c r="I351" t="s">
        <v>5</v>
      </c>
      <c r="J351" t="s">
        <v>6</v>
      </c>
      <c r="K351" t="s">
        <v>4</v>
      </c>
      <c r="L351" t="s">
        <v>952</v>
      </c>
      <c r="M351" t="s">
        <v>952</v>
      </c>
      <c r="N351" s="2">
        <v>2192</v>
      </c>
      <c r="O351" t="s">
        <v>923</v>
      </c>
      <c r="P351" t="s">
        <v>9</v>
      </c>
      <c r="Q351" t="s">
        <v>86</v>
      </c>
      <c r="R351" t="e">
        <f>VLOOKUP(Q351,#REF!,2,FALSE)</f>
        <v>#REF!</v>
      </c>
      <c r="S351">
        <v>1408</v>
      </c>
      <c r="T351" t="s">
        <v>2223</v>
      </c>
      <c r="U351" t="s">
        <v>924</v>
      </c>
      <c r="V351" s="1">
        <v>46053</v>
      </c>
      <c r="W351" s="1">
        <v>46053</v>
      </c>
      <c r="X351" t="s">
        <v>77</v>
      </c>
      <c r="Y351" t="s">
        <v>78</v>
      </c>
      <c r="Z351" t="s">
        <v>6</v>
      </c>
      <c r="AA351" t="s">
        <v>78</v>
      </c>
      <c r="AB351" s="4">
        <f t="shared" si="17"/>
        <v>73066.666666666672</v>
      </c>
      <c r="AC351" s="6">
        <v>0.04</v>
      </c>
      <c r="AD351" s="4">
        <f t="shared" si="18"/>
        <v>2922.666666666667</v>
      </c>
      <c r="AE351" s="4">
        <f t="shared" si="12"/>
        <v>730.66666666666697</v>
      </c>
    </row>
    <row r="352" spans="1:31" x14ac:dyDescent="0.25">
      <c r="A352" t="s">
        <v>0</v>
      </c>
      <c r="B352" s="3" t="s">
        <v>2219</v>
      </c>
      <c r="C352" t="s">
        <v>920</v>
      </c>
      <c r="D352" t="s">
        <v>160</v>
      </c>
      <c r="E352" t="s">
        <v>953</v>
      </c>
      <c r="F352" s="1">
        <v>46060</v>
      </c>
      <c r="G352" s="1">
        <v>46063</v>
      </c>
      <c r="H352" t="s">
        <v>904</v>
      </c>
      <c r="I352" t="s">
        <v>5</v>
      </c>
      <c r="J352" t="s">
        <v>6</v>
      </c>
      <c r="K352" t="s">
        <v>4</v>
      </c>
      <c r="L352" t="s">
        <v>954</v>
      </c>
      <c r="M352" t="s">
        <v>954</v>
      </c>
      <c r="N352" s="2">
        <v>470</v>
      </c>
      <c r="O352" t="s">
        <v>923</v>
      </c>
      <c r="P352" t="s">
        <v>9</v>
      </c>
      <c r="Q352" t="s">
        <v>86</v>
      </c>
      <c r="R352" t="e">
        <f>VLOOKUP(Q352,#REF!,2,FALSE)</f>
        <v>#REF!</v>
      </c>
      <c r="S352">
        <v>1408</v>
      </c>
      <c r="T352" t="s">
        <v>2223</v>
      </c>
      <c r="U352" t="s">
        <v>924</v>
      </c>
      <c r="V352" s="1">
        <v>46053</v>
      </c>
      <c r="W352" s="1">
        <v>46053</v>
      </c>
      <c r="X352" t="s">
        <v>77</v>
      </c>
      <c r="Y352" t="s">
        <v>78</v>
      </c>
      <c r="Z352" t="s">
        <v>6</v>
      </c>
      <c r="AA352" t="s">
        <v>78</v>
      </c>
      <c r="AB352" s="4">
        <f t="shared" si="17"/>
        <v>15666.666666666668</v>
      </c>
      <c r="AC352" s="6">
        <v>0.04</v>
      </c>
      <c r="AD352" s="4">
        <f t="shared" si="18"/>
        <v>626.66666666666674</v>
      </c>
      <c r="AE352" s="4">
        <f t="shared" si="12"/>
        <v>156.66666666666674</v>
      </c>
    </row>
    <row r="353" spans="1:31" x14ac:dyDescent="0.25">
      <c r="A353" t="s">
        <v>0</v>
      </c>
      <c r="B353" s="3" t="s">
        <v>2219</v>
      </c>
      <c r="C353" t="s">
        <v>920</v>
      </c>
      <c r="D353" t="s">
        <v>160</v>
      </c>
      <c r="E353" t="s">
        <v>955</v>
      </c>
      <c r="F353" s="1">
        <v>46060</v>
      </c>
      <c r="G353" s="1">
        <v>46063</v>
      </c>
      <c r="H353" t="s">
        <v>904</v>
      </c>
      <c r="I353" t="s">
        <v>5</v>
      </c>
      <c r="J353" t="s">
        <v>6</v>
      </c>
      <c r="K353" t="s">
        <v>4</v>
      </c>
      <c r="L353" t="s">
        <v>956</v>
      </c>
      <c r="M353" t="s">
        <v>956</v>
      </c>
      <c r="N353" s="2">
        <v>3067</v>
      </c>
      <c r="O353" t="s">
        <v>923</v>
      </c>
      <c r="P353" t="s">
        <v>9</v>
      </c>
      <c r="Q353" t="s">
        <v>86</v>
      </c>
      <c r="R353" t="e">
        <f>VLOOKUP(Q353,#REF!,2,FALSE)</f>
        <v>#REF!</v>
      </c>
      <c r="S353">
        <v>1408</v>
      </c>
      <c r="T353" t="s">
        <v>2223</v>
      </c>
      <c r="U353" t="s">
        <v>924</v>
      </c>
      <c r="V353" s="1">
        <v>46053</v>
      </c>
      <c r="W353" s="1">
        <v>46053</v>
      </c>
      <c r="X353" t="s">
        <v>77</v>
      </c>
      <c r="Y353" t="s">
        <v>78</v>
      </c>
      <c r="Z353" t="s">
        <v>6</v>
      </c>
      <c r="AA353" t="s">
        <v>78</v>
      </c>
      <c r="AB353" s="4">
        <f t="shared" si="17"/>
        <v>102233.33333333334</v>
      </c>
      <c r="AC353" s="6">
        <v>0.04</v>
      </c>
      <c r="AD353" s="4">
        <f t="shared" si="18"/>
        <v>4089.3333333333339</v>
      </c>
      <c r="AE353" s="4">
        <f t="shared" si="12"/>
        <v>1022.3333333333339</v>
      </c>
    </row>
    <row r="354" spans="1:31" x14ac:dyDescent="0.25">
      <c r="A354" t="s">
        <v>0</v>
      </c>
      <c r="B354" s="3" t="s">
        <v>2219</v>
      </c>
      <c r="C354" t="s">
        <v>920</v>
      </c>
      <c r="D354" t="s">
        <v>160</v>
      </c>
      <c r="E354" t="s">
        <v>957</v>
      </c>
      <c r="F354" s="1">
        <v>46060</v>
      </c>
      <c r="G354" s="1">
        <v>46063</v>
      </c>
      <c r="H354" t="s">
        <v>904</v>
      </c>
      <c r="I354" t="s">
        <v>5</v>
      </c>
      <c r="J354" t="s">
        <v>6</v>
      </c>
      <c r="K354" t="s">
        <v>4</v>
      </c>
      <c r="L354" t="s">
        <v>958</v>
      </c>
      <c r="M354" t="s">
        <v>958</v>
      </c>
      <c r="N354" s="2">
        <v>312</v>
      </c>
      <c r="O354" t="s">
        <v>923</v>
      </c>
      <c r="P354" t="s">
        <v>9</v>
      </c>
      <c r="Q354" t="s">
        <v>86</v>
      </c>
      <c r="R354" t="e">
        <f>VLOOKUP(Q354,#REF!,2,FALSE)</f>
        <v>#REF!</v>
      </c>
      <c r="S354">
        <v>1408</v>
      </c>
      <c r="T354" t="s">
        <v>2223</v>
      </c>
      <c r="U354" t="s">
        <v>924</v>
      </c>
      <c r="V354" s="1">
        <v>46053</v>
      </c>
      <c r="W354" s="1">
        <v>46053</v>
      </c>
      <c r="X354" t="s">
        <v>77</v>
      </c>
      <c r="Y354" t="s">
        <v>78</v>
      </c>
      <c r="Z354" t="s">
        <v>6</v>
      </c>
      <c r="AA354" t="s">
        <v>78</v>
      </c>
      <c r="AB354" s="4">
        <f t="shared" si="17"/>
        <v>10400</v>
      </c>
      <c r="AC354" s="6">
        <v>0.04</v>
      </c>
      <c r="AD354" s="4">
        <f t="shared" si="18"/>
        <v>416</v>
      </c>
      <c r="AE354" s="4">
        <f t="shared" si="12"/>
        <v>104</v>
      </c>
    </row>
    <row r="355" spans="1:31" x14ac:dyDescent="0.25">
      <c r="A355" t="s">
        <v>0</v>
      </c>
      <c r="B355" s="3" t="s">
        <v>2219</v>
      </c>
      <c r="C355" t="s">
        <v>959</v>
      </c>
      <c r="D355" t="s">
        <v>160</v>
      </c>
      <c r="E355" t="s">
        <v>960</v>
      </c>
      <c r="F355" s="1">
        <v>46060</v>
      </c>
      <c r="G355" s="1">
        <v>46063</v>
      </c>
      <c r="H355" t="s">
        <v>882</v>
      </c>
      <c r="I355" t="s">
        <v>5</v>
      </c>
      <c r="J355" t="s">
        <v>6</v>
      </c>
      <c r="K355" t="s">
        <v>4</v>
      </c>
      <c r="L355" t="s">
        <v>961</v>
      </c>
      <c r="M355" t="s">
        <v>961</v>
      </c>
      <c r="N355" s="2">
        <v>8970</v>
      </c>
      <c r="O355" t="s">
        <v>962</v>
      </c>
      <c r="P355" t="s">
        <v>9</v>
      </c>
      <c r="Q355" t="s">
        <v>75</v>
      </c>
      <c r="R355" t="e">
        <f>VLOOKUP(Q355,#REF!,2,FALSE)</f>
        <v>#REF!</v>
      </c>
      <c r="S355">
        <v>1511</v>
      </c>
      <c r="T355" t="s">
        <v>2224</v>
      </c>
      <c r="U355" t="s">
        <v>963</v>
      </c>
      <c r="V355" s="1">
        <v>46053</v>
      </c>
      <c r="W355" s="1">
        <v>46053</v>
      </c>
      <c r="X355" t="s">
        <v>77</v>
      </c>
      <c r="Y355" t="s">
        <v>78</v>
      </c>
      <c r="Z355" t="s">
        <v>6</v>
      </c>
      <c r="AA355" t="s">
        <v>78</v>
      </c>
      <c r="AB355" s="4">
        <f t="shared" ref="AB355:AB363" si="19">L355/0.1</f>
        <v>89700</v>
      </c>
      <c r="AC355" s="5" t="s">
        <v>2215</v>
      </c>
      <c r="AD355" s="4">
        <f t="shared" ref="AD355:AD363" si="20">AB355/12</f>
        <v>7475</v>
      </c>
      <c r="AE355" s="4">
        <f t="shared" si="12"/>
        <v>-1495</v>
      </c>
    </row>
    <row r="356" spans="1:31" x14ac:dyDescent="0.25">
      <c r="A356" t="s">
        <v>0</v>
      </c>
      <c r="B356" s="3" t="s">
        <v>2219</v>
      </c>
      <c r="C356" t="s">
        <v>959</v>
      </c>
      <c r="D356" t="s">
        <v>160</v>
      </c>
      <c r="E356" t="s">
        <v>964</v>
      </c>
      <c r="F356" s="1">
        <v>46060</v>
      </c>
      <c r="G356" s="1">
        <v>46063</v>
      </c>
      <c r="H356" t="s">
        <v>882</v>
      </c>
      <c r="I356" t="s">
        <v>5</v>
      </c>
      <c r="J356" t="s">
        <v>6</v>
      </c>
      <c r="K356" t="s">
        <v>4</v>
      </c>
      <c r="L356" t="s">
        <v>965</v>
      </c>
      <c r="M356" t="s">
        <v>965</v>
      </c>
      <c r="N356" s="2">
        <v>8202</v>
      </c>
      <c r="O356" t="s">
        <v>962</v>
      </c>
      <c r="P356" t="s">
        <v>9</v>
      </c>
      <c r="Q356" t="s">
        <v>75</v>
      </c>
      <c r="R356" t="e">
        <f>VLOOKUP(Q356,#REF!,2,FALSE)</f>
        <v>#REF!</v>
      </c>
      <c r="S356">
        <v>1511</v>
      </c>
      <c r="T356" t="s">
        <v>2224</v>
      </c>
      <c r="U356" t="s">
        <v>963</v>
      </c>
      <c r="V356" s="1">
        <v>46053</v>
      </c>
      <c r="W356" s="1">
        <v>46053</v>
      </c>
      <c r="X356" t="s">
        <v>77</v>
      </c>
      <c r="Y356" t="s">
        <v>78</v>
      </c>
      <c r="Z356" t="s">
        <v>6</v>
      </c>
      <c r="AA356" t="s">
        <v>78</v>
      </c>
      <c r="AB356" s="4">
        <f t="shared" si="19"/>
        <v>82020</v>
      </c>
      <c r="AC356" s="5" t="s">
        <v>2215</v>
      </c>
      <c r="AD356" s="4">
        <f t="shared" si="20"/>
        <v>6835</v>
      </c>
      <c r="AE356" s="4">
        <f t="shared" si="12"/>
        <v>-1367</v>
      </c>
    </row>
    <row r="357" spans="1:31" x14ac:dyDescent="0.25">
      <c r="A357" t="s">
        <v>0</v>
      </c>
      <c r="B357" s="3" t="s">
        <v>2219</v>
      </c>
      <c r="C357" t="s">
        <v>959</v>
      </c>
      <c r="D357" t="s">
        <v>160</v>
      </c>
      <c r="E357" t="s">
        <v>966</v>
      </c>
      <c r="F357" s="1">
        <v>46060</v>
      </c>
      <c r="G357" s="1">
        <v>46063</v>
      </c>
      <c r="H357" t="s">
        <v>882</v>
      </c>
      <c r="I357" t="s">
        <v>5</v>
      </c>
      <c r="J357" t="s">
        <v>6</v>
      </c>
      <c r="K357" t="s">
        <v>4</v>
      </c>
      <c r="L357" t="s">
        <v>967</v>
      </c>
      <c r="M357" t="s">
        <v>967</v>
      </c>
      <c r="N357" s="2">
        <v>29318</v>
      </c>
      <c r="O357" t="s">
        <v>962</v>
      </c>
      <c r="P357" t="s">
        <v>9</v>
      </c>
      <c r="Q357" t="s">
        <v>75</v>
      </c>
      <c r="R357" t="e">
        <f>VLOOKUP(Q357,#REF!,2,FALSE)</f>
        <v>#REF!</v>
      </c>
      <c r="S357">
        <v>1511</v>
      </c>
      <c r="T357" t="s">
        <v>2224</v>
      </c>
      <c r="U357" t="s">
        <v>963</v>
      </c>
      <c r="V357" s="1">
        <v>46053</v>
      </c>
      <c r="W357" s="1">
        <v>46053</v>
      </c>
      <c r="X357" t="s">
        <v>77</v>
      </c>
      <c r="Y357" t="s">
        <v>78</v>
      </c>
      <c r="Z357" t="s">
        <v>6</v>
      </c>
      <c r="AA357" t="s">
        <v>78</v>
      </c>
      <c r="AB357" s="4">
        <f t="shared" si="19"/>
        <v>293180</v>
      </c>
      <c r="AC357" s="5" t="s">
        <v>2215</v>
      </c>
      <c r="AD357" s="4">
        <f t="shared" si="20"/>
        <v>24431.666666666668</v>
      </c>
      <c r="AE357" s="4">
        <f t="shared" si="12"/>
        <v>-4886.3333333333321</v>
      </c>
    </row>
    <row r="358" spans="1:31" x14ac:dyDescent="0.25">
      <c r="A358" t="s">
        <v>0</v>
      </c>
      <c r="B358" s="3" t="s">
        <v>2219</v>
      </c>
      <c r="C358" t="s">
        <v>959</v>
      </c>
      <c r="D358" t="s">
        <v>160</v>
      </c>
      <c r="E358" t="s">
        <v>968</v>
      </c>
      <c r="F358" s="1">
        <v>46060</v>
      </c>
      <c r="G358" s="1">
        <v>46063</v>
      </c>
      <c r="H358" t="s">
        <v>882</v>
      </c>
      <c r="I358" t="s">
        <v>5</v>
      </c>
      <c r="J358" t="s">
        <v>6</v>
      </c>
      <c r="K358" t="s">
        <v>4</v>
      </c>
      <c r="L358" t="s">
        <v>969</v>
      </c>
      <c r="M358" t="s">
        <v>969</v>
      </c>
      <c r="N358" s="2">
        <v>2762</v>
      </c>
      <c r="O358" t="s">
        <v>962</v>
      </c>
      <c r="P358" t="s">
        <v>9</v>
      </c>
      <c r="Q358" t="s">
        <v>75</v>
      </c>
      <c r="R358" t="e">
        <f>VLOOKUP(Q358,#REF!,2,FALSE)</f>
        <v>#REF!</v>
      </c>
      <c r="S358">
        <v>1511</v>
      </c>
      <c r="T358" t="s">
        <v>2224</v>
      </c>
      <c r="U358" t="s">
        <v>963</v>
      </c>
      <c r="V358" s="1">
        <v>46053</v>
      </c>
      <c r="W358" s="1">
        <v>46053</v>
      </c>
      <c r="X358" t="s">
        <v>77</v>
      </c>
      <c r="Y358" t="s">
        <v>78</v>
      </c>
      <c r="Z358" t="s">
        <v>6</v>
      </c>
      <c r="AA358" t="s">
        <v>78</v>
      </c>
      <c r="AB358" s="4">
        <f t="shared" si="19"/>
        <v>27620</v>
      </c>
      <c r="AC358" s="5" t="s">
        <v>2215</v>
      </c>
      <c r="AD358" s="4">
        <f t="shared" si="20"/>
        <v>2301.6666666666665</v>
      </c>
      <c r="AE358" s="4">
        <f t="shared" si="12"/>
        <v>-460.33333333333348</v>
      </c>
    </row>
    <row r="359" spans="1:31" x14ac:dyDescent="0.25">
      <c r="A359" t="s">
        <v>0</v>
      </c>
      <c r="B359" s="3" t="s">
        <v>2219</v>
      </c>
      <c r="C359" t="s">
        <v>959</v>
      </c>
      <c r="D359" t="s">
        <v>160</v>
      </c>
      <c r="E359" t="s">
        <v>970</v>
      </c>
      <c r="F359" s="1">
        <v>46060</v>
      </c>
      <c r="G359" s="1">
        <v>46063</v>
      </c>
      <c r="H359" t="s">
        <v>882</v>
      </c>
      <c r="I359" t="s">
        <v>5</v>
      </c>
      <c r="J359" t="s">
        <v>6</v>
      </c>
      <c r="K359" t="s">
        <v>4</v>
      </c>
      <c r="L359" t="s">
        <v>971</v>
      </c>
      <c r="M359" t="s">
        <v>971</v>
      </c>
      <c r="N359" s="2">
        <v>28307</v>
      </c>
      <c r="O359" t="s">
        <v>962</v>
      </c>
      <c r="P359" t="s">
        <v>9</v>
      </c>
      <c r="Q359" t="s">
        <v>75</v>
      </c>
      <c r="R359" t="e">
        <f>VLOOKUP(Q359,#REF!,2,FALSE)</f>
        <v>#REF!</v>
      </c>
      <c r="S359">
        <v>1511</v>
      </c>
      <c r="T359" t="s">
        <v>2224</v>
      </c>
      <c r="U359" t="s">
        <v>963</v>
      </c>
      <c r="V359" s="1">
        <v>46053</v>
      </c>
      <c r="W359" s="1">
        <v>46053</v>
      </c>
      <c r="X359" t="s">
        <v>77</v>
      </c>
      <c r="Y359" t="s">
        <v>78</v>
      </c>
      <c r="Z359" t="s">
        <v>6</v>
      </c>
      <c r="AA359" t="s">
        <v>78</v>
      </c>
      <c r="AB359" s="4">
        <f t="shared" si="19"/>
        <v>283070</v>
      </c>
      <c r="AC359" s="5" t="s">
        <v>2215</v>
      </c>
      <c r="AD359" s="4">
        <f t="shared" si="20"/>
        <v>23589.166666666668</v>
      </c>
      <c r="AE359" s="4">
        <f t="shared" si="12"/>
        <v>-4717.8333333333321</v>
      </c>
    </row>
    <row r="360" spans="1:31" x14ac:dyDescent="0.25">
      <c r="A360" t="s">
        <v>0</v>
      </c>
      <c r="B360" s="3" t="s">
        <v>2219</v>
      </c>
      <c r="C360" t="s">
        <v>959</v>
      </c>
      <c r="D360" t="s">
        <v>160</v>
      </c>
      <c r="E360" t="s">
        <v>972</v>
      </c>
      <c r="F360" s="1">
        <v>46060</v>
      </c>
      <c r="G360" s="1">
        <v>46063</v>
      </c>
      <c r="H360" t="s">
        <v>882</v>
      </c>
      <c r="I360" t="s">
        <v>5</v>
      </c>
      <c r="J360" t="s">
        <v>6</v>
      </c>
      <c r="K360" t="s">
        <v>4</v>
      </c>
      <c r="L360" t="s">
        <v>973</v>
      </c>
      <c r="M360" t="s">
        <v>973</v>
      </c>
      <c r="N360" s="2">
        <v>49826</v>
      </c>
      <c r="O360" t="s">
        <v>962</v>
      </c>
      <c r="P360" t="s">
        <v>9</v>
      </c>
      <c r="Q360" t="s">
        <v>75</v>
      </c>
      <c r="R360" t="e">
        <f>VLOOKUP(Q360,#REF!,2,FALSE)</f>
        <v>#REF!</v>
      </c>
      <c r="S360">
        <v>1511</v>
      </c>
      <c r="T360" t="s">
        <v>2224</v>
      </c>
      <c r="U360" t="s">
        <v>963</v>
      </c>
      <c r="V360" s="1">
        <v>46053</v>
      </c>
      <c r="W360" s="1">
        <v>46053</v>
      </c>
      <c r="X360" t="s">
        <v>77</v>
      </c>
      <c r="Y360" t="s">
        <v>78</v>
      </c>
      <c r="Z360" t="s">
        <v>6</v>
      </c>
      <c r="AA360" t="s">
        <v>78</v>
      </c>
      <c r="AB360" s="4">
        <f t="shared" si="19"/>
        <v>498260</v>
      </c>
      <c r="AC360" s="5" t="s">
        <v>2215</v>
      </c>
      <c r="AD360" s="4">
        <f t="shared" si="20"/>
        <v>41521.666666666664</v>
      </c>
      <c r="AE360" s="4">
        <f t="shared" si="12"/>
        <v>-8304.3333333333358</v>
      </c>
    </row>
    <row r="361" spans="1:31" x14ac:dyDescent="0.25">
      <c r="A361" t="s">
        <v>0</v>
      </c>
      <c r="B361" s="3" t="s">
        <v>2219</v>
      </c>
      <c r="C361" t="s">
        <v>959</v>
      </c>
      <c r="D361" t="s">
        <v>160</v>
      </c>
      <c r="E361" t="s">
        <v>974</v>
      </c>
      <c r="F361" s="1">
        <v>46060</v>
      </c>
      <c r="G361" s="1">
        <v>46063</v>
      </c>
      <c r="H361" t="s">
        <v>882</v>
      </c>
      <c r="I361" t="s">
        <v>5</v>
      </c>
      <c r="J361" t="s">
        <v>6</v>
      </c>
      <c r="K361" t="s">
        <v>4</v>
      </c>
      <c r="L361" t="s">
        <v>975</v>
      </c>
      <c r="M361" t="s">
        <v>975</v>
      </c>
      <c r="N361" s="2">
        <v>39058</v>
      </c>
      <c r="O361" t="s">
        <v>962</v>
      </c>
      <c r="P361" t="s">
        <v>9</v>
      </c>
      <c r="Q361" t="s">
        <v>75</v>
      </c>
      <c r="R361" t="e">
        <f>VLOOKUP(Q361,#REF!,2,FALSE)</f>
        <v>#REF!</v>
      </c>
      <c r="S361">
        <v>1511</v>
      </c>
      <c r="T361" t="s">
        <v>2224</v>
      </c>
      <c r="U361" t="s">
        <v>963</v>
      </c>
      <c r="V361" s="1">
        <v>46053</v>
      </c>
      <c r="W361" s="1">
        <v>46053</v>
      </c>
      <c r="X361" t="s">
        <v>77</v>
      </c>
      <c r="Y361" t="s">
        <v>78</v>
      </c>
      <c r="Z361" t="s">
        <v>6</v>
      </c>
      <c r="AA361" t="s">
        <v>78</v>
      </c>
      <c r="AB361" s="4">
        <f t="shared" si="19"/>
        <v>390580</v>
      </c>
      <c r="AC361" s="5" t="s">
        <v>2215</v>
      </c>
      <c r="AD361" s="4">
        <f t="shared" si="20"/>
        <v>32548.333333333332</v>
      </c>
      <c r="AE361" s="4">
        <f t="shared" si="12"/>
        <v>-6509.6666666666679</v>
      </c>
    </row>
    <row r="362" spans="1:31" x14ac:dyDescent="0.25">
      <c r="A362" t="s">
        <v>0</v>
      </c>
      <c r="B362" s="3" t="s">
        <v>2219</v>
      </c>
      <c r="C362" t="s">
        <v>959</v>
      </c>
      <c r="D362" t="s">
        <v>160</v>
      </c>
      <c r="E362" t="s">
        <v>976</v>
      </c>
      <c r="F362" s="1">
        <v>46060</v>
      </c>
      <c r="G362" s="1">
        <v>46063</v>
      </c>
      <c r="H362" t="s">
        <v>882</v>
      </c>
      <c r="I362" t="s">
        <v>5</v>
      </c>
      <c r="J362" t="s">
        <v>6</v>
      </c>
      <c r="K362" t="s">
        <v>4</v>
      </c>
      <c r="L362" t="s">
        <v>977</v>
      </c>
      <c r="M362" t="s">
        <v>977</v>
      </c>
      <c r="N362" s="2">
        <v>7290</v>
      </c>
      <c r="O362" t="s">
        <v>962</v>
      </c>
      <c r="P362" t="s">
        <v>9</v>
      </c>
      <c r="Q362" t="s">
        <v>75</v>
      </c>
      <c r="R362" t="e">
        <f>VLOOKUP(Q362,#REF!,2,FALSE)</f>
        <v>#REF!</v>
      </c>
      <c r="S362">
        <v>1511</v>
      </c>
      <c r="T362" t="s">
        <v>2224</v>
      </c>
      <c r="U362" t="s">
        <v>963</v>
      </c>
      <c r="V362" s="1">
        <v>46053</v>
      </c>
      <c r="W362" s="1">
        <v>46053</v>
      </c>
      <c r="X362" t="s">
        <v>77</v>
      </c>
      <c r="Y362" t="s">
        <v>78</v>
      </c>
      <c r="Z362" t="s">
        <v>6</v>
      </c>
      <c r="AA362" t="s">
        <v>78</v>
      </c>
      <c r="AB362" s="4">
        <f t="shared" si="19"/>
        <v>72900</v>
      </c>
      <c r="AC362" s="5" t="s">
        <v>2215</v>
      </c>
      <c r="AD362" s="4">
        <f t="shared" si="20"/>
        <v>6075</v>
      </c>
      <c r="AE362" s="4">
        <f t="shared" si="12"/>
        <v>-1215</v>
      </c>
    </row>
    <row r="363" spans="1:31" x14ac:dyDescent="0.25">
      <c r="A363" t="s">
        <v>0</v>
      </c>
      <c r="B363" s="3" t="s">
        <v>2219</v>
      </c>
      <c r="C363" t="s">
        <v>959</v>
      </c>
      <c r="D363" t="s">
        <v>160</v>
      </c>
      <c r="E363" t="s">
        <v>978</v>
      </c>
      <c r="F363" s="1">
        <v>46060</v>
      </c>
      <c r="G363" s="1">
        <v>46063</v>
      </c>
      <c r="H363" t="s">
        <v>882</v>
      </c>
      <c r="I363" t="s">
        <v>5</v>
      </c>
      <c r="J363" t="s">
        <v>6</v>
      </c>
      <c r="K363" t="s">
        <v>4</v>
      </c>
      <c r="L363" t="s">
        <v>979</v>
      </c>
      <c r="M363" t="s">
        <v>979</v>
      </c>
      <c r="N363" s="2">
        <v>11447</v>
      </c>
      <c r="O363" t="s">
        <v>962</v>
      </c>
      <c r="P363" t="s">
        <v>9</v>
      </c>
      <c r="Q363" t="s">
        <v>75</v>
      </c>
      <c r="R363" t="e">
        <f>VLOOKUP(Q363,#REF!,2,FALSE)</f>
        <v>#REF!</v>
      </c>
      <c r="S363">
        <v>1511</v>
      </c>
      <c r="T363" t="s">
        <v>2224</v>
      </c>
      <c r="U363" t="s">
        <v>963</v>
      </c>
      <c r="V363" s="1">
        <v>46053</v>
      </c>
      <c r="W363" s="1">
        <v>46053</v>
      </c>
      <c r="X363" t="s">
        <v>77</v>
      </c>
      <c r="Y363" t="s">
        <v>78</v>
      </c>
      <c r="Z363" t="s">
        <v>6</v>
      </c>
      <c r="AA363" t="s">
        <v>78</v>
      </c>
      <c r="AB363" s="4">
        <f t="shared" si="19"/>
        <v>114470</v>
      </c>
      <c r="AC363" s="5" t="s">
        <v>2215</v>
      </c>
      <c r="AD363" s="4">
        <f t="shared" si="20"/>
        <v>9539.1666666666661</v>
      </c>
      <c r="AE363" s="4">
        <f t="shared" si="12"/>
        <v>-1907.8333333333339</v>
      </c>
    </row>
    <row r="364" spans="1:31" x14ac:dyDescent="0.25">
      <c r="A364" t="s">
        <v>0</v>
      </c>
      <c r="B364" s="3" t="s">
        <v>2219</v>
      </c>
      <c r="C364" t="s">
        <v>959</v>
      </c>
      <c r="D364" t="s">
        <v>160</v>
      </c>
      <c r="E364" t="s">
        <v>980</v>
      </c>
      <c r="F364" s="1">
        <v>46060</v>
      </c>
      <c r="G364" s="1">
        <v>46063</v>
      </c>
      <c r="H364" t="s">
        <v>904</v>
      </c>
      <c r="I364" t="s">
        <v>5</v>
      </c>
      <c r="J364" t="s">
        <v>6</v>
      </c>
      <c r="K364" t="s">
        <v>4</v>
      </c>
      <c r="L364" t="s">
        <v>981</v>
      </c>
      <c r="M364" t="s">
        <v>981</v>
      </c>
      <c r="N364" s="2">
        <v>359</v>
      </c>
      <c r="O364" t="s">
        <v>962</v>
      </c>
      <c r="P364" t="s">
        <v>9</v>
      </c>
      <c r="Q364" t="s">
        <v>86</v>
      </c>
      <c r="R364" t="e">
        <f>VLOOKUP(Q364,#REF!,2,FALSE)</f>
        <v>#REF!</v>
      </c>
      <c r="S364">
        <v>1511</v>
      </c>
      <c r="T364" t="s">
        <v>2224</v>
      </c>
      <c r="U364" t="s">
        <v>963</v>
      </c>
      <c r="V364" s="1">
        <v>46053</v>
      </c>
      <c r="W364" s="1">
        <v>46053</v>
      </c>
      <c r="X364" t="s">
        <v>77</v>
      </c>
      <c r="Y364" t="s">
        <v>78</v>
      </c>
      <c r="Z364" t="s">
        <v>6</v>
      </c>
      <c r="AA364" t="s">
        <v>78</v>
      </c>
      <c r="AB364" s="4">
        <f t="shared" ref="AB364:AB372" si="21">L364/0.03</f>
        <v>11966.666666666668</v>
      </c>
      <c r="AC364" s="6">
        <v>0.04</v>
      </c>
      <c r="AD364" s="4">
        <f t="shared" ref="AD364:AD372" si="22">AB364*AC364</f>
        <v>478.66666666666674</v>
      </c>
      <c r="AE364" s="4">
        <f t="shared" si="12"/>
        <v>119.66666666666674</v>
      </c>
    </row>
    <row r="365" spans="1:31" x14ac:dyDescent="0.25">
      <c r="A365" t="s">
        <v>0</v>
      </c>
      <c r="B365" s="3" t="s">
        <v>2219</v>
      </c>
      <c r="C365" t="s">
        <v>959</v>
      </c>
      <c r="D365" t="s">
        <v>160</v>
      </c>
      <c r="E365" t="s">
        <v>982</v>
      </c>
      <c r="F365" s="1">
        <v>46060</v>
      </c>
      <c r="G365" s="1">
        <v>46063</v>
      </c>
      <c r="H365" t="s">
        <v>904</v>
      </c>
      <c r="I365" t="s">
        <v>5</v>
      </c>
      <c r="J365" t="s">
        <v>6</v>
      </c>
      <c r="K365" t="s">
        <v>4</v>
      </c>
      <c r="L365" t="s">
        <v>983</v>
      </c>
      <c r="M365" t="s">
        <v>983</v>
      </c>
      <c r="N365" s="2">
        <v>328</v>
      </c>
      <c r="O365" t="s">
        <v>962</v>
      </c>
      <c r="P365" t="s">
        <v>9</v>
      </c>
      <c r="Q365" t="s">
        <v>86</v>
      </c>
      <c r="R365" t="e">
        <f>VLOOKUP(Q365,#REF!,2,FALSE)</f>
        <v>#REF!</v>
      </c>
      <c r="S365">
        <v>1511</v>
      </c>
      <c r="T365" t="s">
        <v>2224</v>
      </c>
      <c r="U365" t="s">
        <v>963</v>
      </c>
      <c r="V365" s="1">
        <v>46053</v>
      </c>
      <c r="W365" s="1">
        <v>46053</v>
      </c>
      <c r="X365" t="s">
        <v>77</v>
      </c>
      <c r="Y365" t="s">
        <v>78</v>
      </c>
      <c r="Z365" t="s">
        <v>6</v>
      </c>
      <c r="AA365" t="s">
        <v>78</v>
      </c>
      <c r="AB365" s="4">
        <f t="shared" si="21"/>
        <v>10933.333333333334</v>
      </c>
      <c r="AC365" s="6">
        <v>0.04</v>
      </c>
      <c r="AD365" s="4">
        <f t="shared" si="22"/>
        <v>437.33333333333337</v>
      </c>
      <c r="AE365" s="4">
        <f t="shared" si="12"/>
        <v>109.33333333333337</v>
      </c>
    </row>
    <row r="366" spans="1:31" x14ac:dyDescent="0.25">
      <c r="A366" t="s">
        <v>0</v>
      </c>
      <c r="B366" s="3" t="s">
        <v>2219</v>
      </c>
      <c r="C366" t="s">
        <v>959</v>
      </c>
      <c r="D366" t="s">
        <v>160</v>
      </c>
      <c r="E366" t="s">
        <v>984</v>
      </c>
      <c r="F366" s="1">
        <v>46060</v>
      </c>
      <c r="G366" s="1">
        <v>46063</v>
      </c>
      <c r="H366" t="s">
        <v>904</v>
      </c>
      <c r="I366" t="s">
        <v>5</v>
      </c>
      <c r="J366" t="s">
        <v>6</v>
      </c>
      <c r="K366" t="s">
        <v>4</v>
      </c>
      <c r="L366" t="s">
        <v>985</v>
      </c>
      <c r="M366" t="s">
        <v>985</v>
      </c>
      <c r="N366" s="2">
        <v>1172</v>
      </c>
      <c r="O366" t="s">
        <v>962</v>
      </c>
      <c r="P366" t="s">
        <v>9</v>
      </c>
      <c r="Q366" t="s">
        <v>86</v>
      </c>
      <c r="R366" t="e">
        <f>VLOOKUP(Q366,#REF!,2,FALSE)</f>
        <v>#REF!</v>
      </c>
      <c r="S366">
        <v>1511</v>
      </c>
      <c r="T366" t="s">
        <v>2224</v>
      </c>
      <c r="U366" t="s">
        <v>963</v>
      </c>
      <c r="V366" s="1">
        <v>46053</v>
      </c>
      <c r="W366" s="1">
        <v>46053</v>
      </c>
      <c r="X366" t="s">
        <v>77</v>
      </c>
      <c r="Y366" t="s">
        <v>78</v>
      </c>
      <c r="Z366" t="s">
        <v>6</v>
      </c>
      <c r="AA366" t="s">
        <v>78</v>
      </c>
      <c r="AB366" s="4">
        <f t="shared" si="21"/>
        <v>39066.666666666672</v>
      </c>
      <c r="AC366" s="6">
        <v>0.04</v>
      </c>
      <c r="AD366" s="4">
        <f t="shared" si="22"/>
        <v>1562.666666666667</v>
      </c>
      <c r="AE366" s="4">
        <f t="shared" si="12"/>
        <v>390.66666666666697</v>
      </c>
    </row>
    <row r="367" spans="1:31" x14ac:dyDescent="0.25">
      <c r="A367" t="s">
        <v>0</v>
      </c>
      <c r="B367" s="3" t="s">
        <v>2219</v>
      </c>
      <c r="C367" t="s">
        <v>959</v>
      </c>
      <c r="D367" t="s">
        <v>160</v>
      </c>
      <c r="E367" t="s">
        <v>986</v>
      </c>
      <c r="F367" s="1">
        <v>46060</v>
      </c>
      <c r="G367" s="1">
        <v>46063</v>
      </c>
      <c r="H367" t="s">
        <v>904</v>
      </c>
      <c r="I367" t="s">
        <v>5</v>
      </c>
      <c r="J367" t="s">
        <v>6</v>
      </c>
      <c r="K367" t="s">
        <v>4</v>
      </c>
      <c r="L367" t="s">
        <v>987</v>
      </c>
      <c r="M367" t="s">
        <v>987</v>
      </c>
      <c r="N367" s="2">
        <v>110</v>
      </c>
      <c r="O367" t="s">
        <v>962</v>
      </c>
      <c r="P367" t="s">
        <v>9</v>
      </c>
      <c r="Q367" t="s">
        <v>86</v>
      </c>
      <c r="R367" t="e">
        <f>VLOOKUP(Q367,#REF!,2,FALSE)</f>
        <v>#REF!</v>
      </c>
      <c r="S367">
        <v>1511</v>
      </c>
      <c r="T367" t="s">
        <v>2224</v>
      </c>
      <c r="U367" t="s">
        <v>963</v>
      </c>
      <c r="V367" s="1">
        <v>46053</v>
      </c>
      <c r="W367" s="1">
        <v>46053</v>
      </c>
      <c r="X367" t="s">
        <v>77</v>
      </c>
      <c r="Y367" t="s">
        <v>78</v>
      </c>
      <c r="Z367" t="s">
        <v>6</v>
      </c>
      <c r="AA367" t="s">
        <v>78</v>
      </c>
      <c r="AB367" s="4">
        <f t="shared" si="21"/>
        <v>3666.666666666667</v>
      </c>
      <c r="AC367" s="6">
        <v>0.04</v>
      </c>
      <c r="AD367" s="4">
        <f t="shared" si="22"/>
        <v>146.66666666666669</v>
      </c>
      <c r="AE367" s="4">
        <f t="shared" si="12"/>
        <v>36.666666666666686</v>
      </c>
    </row>
    <row r="368" spans="1:31" x14ac:dyDescent="0.25">
      <c r="A368" t="s">
        <v>0</v>
      </c>
      <c r="B368" s="3" t="s">
        <v>2219</v>
      </c>
      <c r="C368" t="s">
        <v>959</v>
      </c>
      <c r="D368" t="s">
        <v>160</v>
      </c>
      <c r="E368" t="s">
        <v>988</v>
      </c>
      <c r="F368" s="1">
        <v>46060</v>
      </c>
      <c r="G368" s="1">
        <v>46063</v>
      </c>
      <c r="H368" t="s">
        <v>904</v>
      </c>
      <c r="I368" t="s">
        <v>5</v>
      </c>
      <c r="J368" t="s">
        <v>6</v>
      </c>
      <c r="K368" t="s">
        <v>4</v>
      </c>
      <c r="L368" t="s">
        <v>989</v>
      </c>
      <c r="M368" t="s">
        <v>989</v>
      </c>
      <c r="N368" s="2">
        <v>1132</v>
      </c>
      <c r="O368" t="s">
        <v>962</v>
      </c>
      <c r="P368" t="s">
        <v>9</v>
      </c>
      <c r="Q368" t="s">
        <v>86</v>
      </c>
      <c r="R368" t="e">
        <f>VLOOKUP(Q368,#REF!,2,FALSE)</f>
        <v>#REF!</v>
      </c>
      <c r="S368">
        <v>1511</v>
      </c>
      <c r="T368" t="s">
        <v>2224</v>
      </c>
      <c r="U368" t="s">
        <v>963</v>
      </c>
      <c r="V368" s="1">
        <v>46053</v>
      </c>
      <c r="W368" s="1">
        <v>46053</v>
      </c>
      <c r="X368" t="s">
        <v>77</v>
      </c>
      <c r="Y368" t="s">
        <v>78</v>
      </c>
      <c r="Z368" t="s">
        <v>6</v>
      </c>
      <c r="AA368" t="s">
        <v>78</v>
      </c>
      <c r="AB368" s="4">
        <f t="shared" si="21"/>
        <v>37733.333333333336</v>
      </c>
      <c r="AC368" s="6">
        <v>0.04</v>
      </c>
      <c r="AD368" s="4">
        <f t="shared" si="22"/>
        <v>1509.3333333333335</v>
      </c>
      <c r="AE368" s="4">
        <f t="shared" si="12"/>
        <v>377.33333333333348</v>
      </c>
    </row>
    <row r="369" spans="1:31" x14ac:dyDescent="0.25">
      <c r="A369" t="s">
        <v>0</v>
      </c>
      <c r="B369" s="3" t="s">
        <v>2219</v>
      </c>
      <c r="C369" t="s">
        <v>959</v>
      </c>
      <c r="D369" t="s">
        <v>160</v>
      </c>
      <c r="E369" t="s">
        <v>990</v>
      </c>
      <c r="F369" s="1">
        <v>46060</v>
      </c>
      <c r="G369" s="1">
        <v>46063</v>
      </c>
      <c r="H369" t="s">
        <v>904</v>
      </c>
      <c r="I369" t="s">
        <v>5</v>
      </c>
      <c r="J369" t="s">
        <v>6</v>
      </c>
      <c r="K369" t="s">
        <v>4</v>
      </c>
      <c r="L369" t="s">
        <v>991</v>
      </c>
      <c r="M369" t="s">
        <v>991</v>
      </c>
      <c r="N369" s="2">
        <v>1993</v>
      </c>
      <c r="O369" t="s">
        <v>962</v>
      </c>
      <c r="P369" t="s">
        <v>9</v>
      </c>
      <c r="Q369" t="s">
        <v>86</v>
      </c>
      <c r="R369" t="e">
        <f>VLOOKUP(Q369,#REF!,2,FALSE)</f>
        <v>#REF!</v>
      </c>
      <c r="S369">
        <v>1511</v>
      </c>
      <c r="T369" t="s">
        <v>2224</v>
      </c>
      <c r="U369" t="s">
        <v>963</v>
      </c>
      <c r="V369" s="1">
        <v>46053</v>
      </c>
      <c r="W369" s="1">
        <v>46053</v>
      </c>
      <c r="X369" t="s">
        <v>77</v>
      </c>
      <c r="Y369" t="s">
        <v>78</v>
      </c>
      <c r="Z369" t="s">
        <v>6</v>
      </c>
      <c r="AA369" t="s">
        <v>78</v>
      </c>
      <c r="AB369" s="4">
        <f t="shared" si="21"/>
        <v>66433.333333333343</v>
      </c>
      <c r="AC369" s="6">
        <v>0.04</v>
      </c>
      <c r="AD369" s="4">
        <f t="shared" si="22"/>
        <v>2657.3333333333339</v>
      </c>
      <c r="AE369" s="4">
        <f t="shared" si="12"/>
        <v>664.33333333333394</v>
      </c>
    </row>
    <row r="370" spans="1:31" x14ac:dyDescent="0.25">
      <c r="A370" t="s">
        <v>0</v>
      </c>
      <c r="B370" s="3" t="s">
        <v>2219</v>
      </c>
      <c r="C370" t="s">
        <v>959</v>
      </c>
      <c r="D370" t="s">
        <v>160</v>
      </c>
      <c r="E370" t="s">
        <v>992</v>
      </c>
      <c r="F370" s="1">
        <v>46060</v>
      </c>
      <c r="G370" s="1">
        <v>46063</v>
      </c>
      <c r="H370" t="s">
        <v>904</v>
      </c>
      <c r="I370" t="s">
        <v>5</v>
      </c>
      <c r="J370" t="s">
        <v>6</v>
      </c>
      <c r="K370" t="s">
        <v>4</v>
      </c>
      <c r="L370" t="s">
        <v>993</v>
      </c>
      <c r="M370" t="s">
        <v>993</v>
      </c>
      <c r="N370" s="2">
        <v>1562</v>
      </c>
      <c r="O370" t="s">
        <v>962</v>
      </c>
      <c r="P370" t="s">
        <v>9</v>
      </c>
      <c r="Q370" t="s">
        <v>86</v>
      </c>
      <c r="R370" t="e">
        <f>VLOOKUP(Q370,#REF!,2,FALSE)</f>
        <v>#REF!</v>
      </c>
      <c r="S370">
        <v>1511</v>
      </c>
      <c r="T370" t="s">
        <v>2224</v>
      </c>
      <c r="U370" t="s">
        <v>963</v>
      </c>
      <c r="V370" s="1">
        <v>46053</v>
      </c>
      <c r="W370" s="1">
        <v>46053</v>
      </c>
      <c r="X370" t="s">
        <v>77</v>
      </c>
      <c r="Y370" t="s">
        <v>78</v>
      </c>
      <c r="Z370" t="s">
        <v>6</v>
      </c>
      <c r="AA370" t="s">
        <v>78</v>
      </c>
      <c r="AB370" s="4">
        <f t="shared" si="21"/>
        <v>52066.666666666672</v>
      </c>
      <c r="AC370" s="6">
        <v>0.04</v>
      </c>
      <c r="AD370" s="4">
        <f t="shared" si="22"/>
        <v>2082.666666666667</v>
      </c>
      <c r="AE370" s="4">
        <f t="shared" si="12"/>
        <v>520.66666666666697</v>
      </c>
    </row>
    <row r="371" spans="1:31" x14ac:dyDescent="0.25">
      <c r="A371" t="s">
        <v>0</v>
      </c>
      <c r="B371" s="3" t="s">
        <v>2219</v>
      </c>
      <c r="C371" t="s">
        <v>959</v>
      </c>
      <c r="D371" t="s">
        <v>160</v>
      </c>
      <c r="E371" t="s">
        <v>994</v>
      </c>
      <c r="F371" s="1">
        <v>46060</v>
      </c>
      <c r="G371" s="1">
        <v>46063</v>
      </c>
      <c r="H371" t="s">
        <v>904</v>
      </c>
      <c r="I371" t="s">
        <v>5</v>
      </c>
      <c r="J371" t="s">
        <v>6</v>
      </c>
      <c r="K371" t="s">
        <v>4</v>
      </c>
      <c r="L371" t="s">
        <v>995</v>
      </c>
      <c r="M371" t="s">
        <v>995</v>
      </c>
      <c r="N371" s="2">
        <v>292</v>
      </c>
      <c r="O371" t="s">
        <v>962</v>
      </c>
      <c r="P371" t="s">
        <v>9</v>
      </c>
      <c r="Q371" t="s">
        <v>86</v>
      </c>
      <c r="R371" t="e">
        <f>VLOOKUP(Q371,#REF!,2,FALSE)</f>
        <v>#REF!</v>
      </c>
      <c r="S371">
        <v>1511</v>
      </c>
      <c r="T371" t="s">
        <v>2224</v>
      </c>
      <c r="U371" t="s">
        <v>963</v>
      </c>
      <c r="V371" s="1">
        <v>46053</v>
      </c>
      <c r="W371" s="1">
        <v>46053</v>
      </c>
      <c r="X371" t="s">
        <v>77</v>
      </c>
      <c r="Y371" t="s">
        <v>78</v>
      </c>
      <c r="Z371" t="s">
        <v>6</v>
      </c>
      <c r="AA371" t="s">
        <v>78</v>
      </c>
      <c r="AB371" s="4">
        <f t="shared" si="21"/>
        <v>9733.3333333333339</v>
      </c>
      <c r="AC371" s="6">
        <v>0.04</v>
      </c>
      <c r="AD371" s="4">
        <f t="shared" si="22"/>
        <v>389.33333333333337</v>
      </c>
      <c r="AE371" s="4">
        <f t="shared" si="12"/>
        <v>97.333333333333371</v>
      </c>
    </row>
    <row r="372" spans="1:31" x14ac:dyDescent="0.25">
      <c r="A372" t="s">
        <v>0</v>
      </c>
      <c r="B372" s="3" t="s">
        <v>2219</v>
      </c>
      <c r="C372" t="s">
        <v>959</v>
      </c>
      <c r="D372" t="s">
        <v>160</v>
      </c>
      <c r="E372" t="s">
        <v>996</v>
      </c>
      <c r="F372" s="1">
        <v>46060</v>
      </c>
      <c r="G372" s="1">
        <v>46063</v>
      </c>
      <c r="H372" t="s">
        <v>904</v>
      </c>
      <c r="I372" t="s">
        <v>5</v>
      </c>
      <c r="J372" t="s">
        <v>6</v>
      </c>
      <c r="K372" t="s">
        <v>4</v>
      </c>
      <c r="L372" t="s">
        <v>997</v>
      </c>
      <c r="M372" t="s">
        <v>997</v>
      </c>
      <c r="N372" s="2">
        <v>458</v>
      </c>
      <c r="O372" t="s">
        <v>962</v>
      </c>
      <c r="P372" t="s">
        <v>9</v>
      </c>
      <c r="Q372" t="s">
        <v>86</v>
      </c>
      <c r="R372" t="e">
        <f>VLOOKUP(Q372,#REF!,2,FALSE)</f>
        <v>#REF!</v>
      </c>
      <c r="S372">
        <v>1511</v>
      </c>
      <c r="T372" t="s">
        <v>2224</v>
      </c>
      <c r="U372" t="s">
        <v>963</v>
      </c>
      <c r="V372" s="1">
        <v>46053</v>
      </c>
      <c r="W372" s="1">
        <v>46053</v>
      </c>
      <c r="X372" t="s">
        <v>77</v>
      </c>
      <c r="Y372" t="s">
        <v>78</v>
      </c>
      <c r="Z372" t="s">
        <v>6</v>
      </c>
      <c r="AA372" t="s">
        <v>78</v>
      </c>
      <c r="AB372" s="4">
        <f t="shared" si="21"/>
        <v>15266.666666666668</v>
      </c>
      <c r="AC372" s="6">
        <v>0.04</v>
      </c>
      <c r="AD372" s="4">
        <f t="shared" si="22"/>
        <v>610.66666666666674</v>
      </c>
      <c r="AE372" s="4">
        <f t="shared" si="12"/>
        <v>152.66666666666674</v>
      </c>
    </row>
    <row r="373" spans="1:31" x14ac:dyDescent="0.25">
      <c r="A373" t="s">
        <v>0</v>
      </c>
      <c r="B373" s="3" t="s">
        <v>2219</v>
      </c>
      <c r="C373" t="s">
        <v>998</v>
      </c>
      <c r="D373" t="s">
        <v>160</v>
      </c>
      <c r="E373" t="s">
        <v>999</v>
      </c>
      <c r="F373" s="1">
        <v>46060</v>
      </c>
      <c r="G373" s="1">
        <v>46063</v>
      </c>
      <c r="H373" t="s">
        <v>882</v>
      </c>
      <c r="I373" t="s">
        <v>5</v>
      </c>
      <c r="J373" t="s">
        <v>6</v>
      </c>
      <c r="K373" t="s">
        <v>4</v>
      </c>
      <c r="L373" t="s">
        <v>1000</v>
      </c>
      <c r="M373" t="s">
        <v>1000</v>
      </c>
      <c r="N373" s="2">
        <v>23989</v>
      </c>
      <c r="O373" t="s">
        <v>1001</v>
      </c>
      <c r="P373" t="s">
        <v>9</v>
      </c>
      <c r="Q373" t="s">
        <v>75</v>
      </c>
      <c r="R373" t="e">
        <f>VLOOKUP(Q373,#REF!,2,FALSE)</f>
        <v>#REF!</v>
      </c>
      <c r="S373">
        <v>1004</v>
      </c>
      <c r="T373" t="s">
        <v>2225</v>
      </c>
      <c r="U373" t="s">
        <v>1002</v>
      </c>
      <c r="V373" s="1">
        <v>46053</v>
      </c>
      <c r="W373" s="1">
        <v>46053</v>
      </c>
      <c r="X373" t="s">
        <v>77</v>
      </c>
      <c r="Y373" t="s">
        <v>646</v>
      </c>
      <c r="Z373" t="s">
        <v>6</v>
      </c>
      <c r="AA373" t="s">
        <v>646</v>
      </c>
      <c r="AB373" s="4">
        <f t="shared" ref="AB373:AB413" si="23">L373/0.1</f>
        <v>239890</v>
      </c>
      <c r="AC373" s="5" t="s">
        <v>2215</v>
      </c>
      <c r="AD373" s="4">
        <f t="shared" ref="AD373:AD413" si="24">AB373/12</f>
        <v>19990.833333333332</v>
      </c>
      <c r="AE373" s="4">
        <f t="shared" si="12"/>
        <v>-3998.1666666666679</v>
      </c>
    </row>
    <row r="374" spans="1:31" x14ac:dyDescent="0.25">
      <c r="A374" t="s">
        <v>0</v>
      </c>
      <c r="B374" s="3" t="s">
        <v>2219</v>
      </c>
      <c r="C374" t="s">
        <v>998</v>
      </c>
      <c r="D374" t="s">
        <v>160</v>
      </c>
      <c r="E374" t="s">
        <v>1003</v>
      </c>
      <c r="F374" s="1">
        <v>46060</v>
      </c>
      <c r="G374" s="1">
        <v>46063</v>
      </c>
      <c r="H374" t="s">
        <v>882</v>
      </c>
      <c r="I374" t="s">
        <v>5</v>
      </c>
      <c r="J374" t="s">
        <v>6</v>
      </c>
      <c r="K374" t="s">
        <v>4</v>
      </c>
      <c r="L374" t="s">
        <v>1004</v>
      </c>
      <c r="M374" t="s">
        <v>1004</v>
      </c>
      <c r="N374" s="2">
        <v>28344</v>
      </c>
      <c r="O374" t="s">
        <v>1001</v>
      </c>
      <c r="P374" t="s">
        <v>9</v>
      </c>
      <c r="Q374" t="s">
        <v>75</v>
      </c>
      <c r="R374" t="e">
        <f>VLOOKUP(Q374,#REF!,2,FALSE)</f>
        <v>#REF!</v>
      </c>
      <c r="S374">
        <v>1004</v>
      </c>
      <c r="T374" t="s">
        <v>2225</v>
      </c>
      <c r="U374" t="s">
        <v>1002</v>
      </c>
      <c r="V374" s="1">
        <v>46053</v>
      </c>
      <c r="W374" s="1">
        <v>46053</v>
      </c>
      <c r="X374" t="s">
        <v>77</v>
      </c>
      <c r="Y374" t="s">
        <v>646</v>
      </c>
      <c r="Z374" t="s">
        <v>6</v>
      </c>
      <c r="AA374" t="s">
        <v>646</v>
      </c>
      <c r="AB374" s="4">
        <f t="shared" si="23"/>
        <v>283440</v>
      </c>
      <c r="AC374" s="5" t="s">
        <v>2215</v>
      </c>
      <c r="AD374" s="4">
        <f t="shared" si="24"/>
        <v>23620</v>
      </c>
      <c r="AE374" s="4">
        <f t="shared" si="12"/>
        <v>-4724</v>
      </c>
    </row>
    <row r="375" spans="1:31" x14ac:dyDescent="0.25">
      <c r="A375" t="s">
        <v>0</v>
      </c>
      <c r="B375" s="3" t="s">
        <v>2219</v>
      </c>
      <c r="C375" t="s">
        <v>998</v>
      </c>
      <c r="D375" t="s">
        <v>160</v>
      </c>
      <c r="E375" t="s">
        <v>1005</v>
      </c>
      <c r="F375" s="1">
        <v>46060</v>
      </c>
      <c r="G375" s="1">
        <v>46063</v>
      </c>
      <c r="H375" t="s">
        <v>882</v>
      </c>
      <c r="I375" t="s">
        <v>5</v>
      </c>
      <c r="J375" t="s">
        <v>6</v>
      </c>
      <c r="K375" t="s">
        <v>4</v>
      </c>
      <c r="L375" t="s">
        <v>1006</v>
      </c>
      <c r="M375" t="s">
        <v>1006</v>
      </c>
      <c r="N375" s="2">
        <v>25497</v>
      </c>
      <c r="O375" t="s">
        <v>1001</v>
      </c>
      <c r="P375" t="s">
        <v>9</v>
      </c>
      <c r="Q375" t="s">
        <v>75</v>
      </c>
      <c r="R375" t="e">
        <f>VLOOKUP(Q375,#REF!,2,FALSE)</f>
        <v>#REF!</v>
      </c>
      <c r="S375">
        <v>1004</v>
      </c>
      <c r="T375" t="s">
        <v>2225</v>
      </c>
      <c r="U375" t="s">
        <v>1002</v>
      </c>
      <c r="V375" s="1">
        <v>46053</v>
      </c>
      <c r="W375" s="1">
        <v>46053</v>
      </c>
      <c r="X375" t="s">
        <v>77</v>
      </c>
      <c r="Y375" t="s">
        <v>646</v>
      </c>
      <c r="Z375" t="s">
        <v>6</v>
      </c>
      <c r="AA375" t="s">
        <v>646</v>
      </c>
      <c r="AB375" s="4">
        <f t="shared" si="23"/>
        <v>254970</v>
      </c>
      <c r="AC375" s="5" t="s">
        <v>2215</v>
      </c>
      <c r="AD375" s="4">
        <f t="shared" si="24"/>
        <v>21247.5</v>
      </c>
      <c r="AE375" s="4">
        <f t="shared" si="12"/>
        <v>-4249.5</v>
      </c>
    </row>
    <row r="376" spans="1:31" x14ac:dyDescent="0.25">
      <c r="A376" t="s">
        <v>0</v>
      </c>
      <c r="B376" s="3" t="s">
        <v>2219</v>
      </c>
      <c r="C376" t="s">
        <v>998</v>
      </c>
      <c r="D376" t="s">
        <v>160</v>
      </c>
      <c r="E376" t="s">
        <v>1007</v>
      </c>
      <c r="F376" s="1">
        <v>46060</v>
      </c>
      <c r="G376" s="1">
        <v>46063</v>
      </c>
      <c r="H376" t="s">
        <v>882</v>
      </c>
      <c r="I376" t="s">
        <v>5</v>
      </c>
      <c r="J376" t="s">
        <v>6</v>
      </c>
      <c r="K376" t="s">
        <v>4</v>
      </c>
      <c r="L376" t="s">
        <v>1008</v>
      </c>
      <c r="M376" t="s">
        <v>1008</v>
      </c>
      <c r="N376" s="2">
        <v>17857</v>
      </c>
      <c r="O376" t="s">
        <v>1001</v>
      </c>
      <c r="P376" t="s">
        <v>9</v>
      </c>
      <c r="Q376" t="s">
        <v>75</v>
      </c>
      <c r="R376" t="e">
        <f>VLOOKUP(Q376,#REF!,2,FALSE)</f>
        <v>#REF!</v>
      </c>
      <c r="S376">
        <v>1004</v>
      </c>
      <c r="T376" t="s">
        <v>2225</v>
      </c>
      <c r="U376" t="s">
        <v>1002</v>
      </c>
      <c r="V376" s="1">
        <v>46053</v>
      </c>
      <c r="W376" s="1">
        <v>46053</v>
      </c>
      <c r="X376" t="s">
        <v>77</v>
      </c>
      <c r="Y376" t="s">
        <v>646</v>
      </c>
      <c r="Z376" t="s">
        <v>6</v>
      </c>
      <c r="AA376" t="s">
        <v>646</v>
      </c>
      <c r="AB376" s="4">
        <f t="shared" si="23"/>
        <v>178570</v>
      </c>
      <c r="AC376" s="5" t="s">
        <v>2215</v>
      </c>
      <c r="AD376" s="4">
        <f t="shared" si="24"/>
        <v>14880.833333333334</v>
      </c>
      <c r="AE376" s="4">
        <f t="shared" si="12"/>
        <v>-2976.1666666666661</v>
      </c>
    </row>
    <row r="377" spans="1:31" x14ac:dyDescent="0.25">
      <c r="A377" t="s">
        <v>0</v>
      </c>
      <c r="B377" s="3" t="s">
        <v>2219</v>
      </c>
      <c r="C377" t="s">
        <v>998</v>
      </c>
      <c r="D377" t="s">
        <v>160</v>
      </c>
      <c r="E377" t="s">
        <v>1009</v>
      </c>
      <c r="F377" s="1">
        <v>46060</v>
      </c>
      <c r="G377" s="1">
        <v>46063</v>
      </c>
      <c r="H377" t="s">
        <v>882</v>
      </c>
      <c r="I377" t="s">
        <v>5</v>
      </c>
      <c r="J377" t="s">
        <v>6</v>
      </c>
      <c r="K377" t="s">
        <v>4</v>
      </c>
      <c r="L377" t="s">
        <v>1010</v>
      </c>
      <c r="M377" t="s">
        <v>1010</v>
      </c>
      <c r="N377" s="2">
        <v>286643</v>
      </c>
      <c r="O377" t="s">
        <v>1001</v>
      </c>
      <c r="P377" t="s">
        <v>9</v>
      </c>
      <c r="Q377" t="s">
        <v>75</v>
      </c>
      <c r="R377" t="e">
        <f>VLOOKUP(Q377,#REF!,2,FALSE)</f>
        <v>#REF!</v>
      </c>
      <c r="S377">
        <v>1004</v>
      </c>
      <c r="T377" t="s">
        <v>2225</v>
      </c>
      <c r="U377" t="s">
        <v>1002</v>
      </c>
      <c r="V377" s="1">
        <v>46053</v>
      </c>
      <c r="W377" s="1">
        <v>46053</v>
      </c>
      <c r="X377" t="s">
        <v>77</v>
      </c>
      <c r="Y377" t="s">
        <v>646</v>
      </c>
      <c r="Z377" t="s">
        <v>6</v>
      </c>
      <c r="AA377" t="s">
        <v>646</v>
      </c>
      <c r="AB377" s="4">
        <f t="shared" si="23"/>
        <v>2866430</v>
      </c>
      <c r="AC377" s="5" t="s">
        <v>2215</v>
      </c>
      <c r="AD377" s="4">
        <f t="shared" si="24"/>
        <v>238869.16666666666</v>
      </c>
      <c r="AE377" s="4">
        <f t="shared" si="12"/>
        <v>-47773.833333333343</v>
      </c>
    </row>
    <row r="378" spans="1:31" x14ac:dyDescent="0.25">
      <c r="A378" t="s">
        <v>0</v>
      </c>
      <c r="B378" s="3" t="s">
        <v>2219</v>
      </c>
      <c r="C378" t="s">
        <v>998</v>
      </c>
      <c r="D378" t="s">
        <v>160</v>
      </c>
      <c r="E378" t="s">
        <v>1011</v>
      </c>
      <c r="F378" s="1">
        <v>46060</v>
      </c>
      <c r="G378" s="1">
        <v>46063</v>
      </c>
      <c r="H378" t="s">
        <v>882</v>
      </c>
      <c r="I378" t="s">
        <v>5</v>
      </c>
      <c r="J378" t="s">
        <v>6</v>
      </c>
      <c r="K378" t="s">
        <v>4</v>
      </c>
      <c r="L378" t="s">
        <v>1012</v>
      </c>
      <c r="M378" t="s">
        <v>1012</v>
      </c>
      <c r="N378" s="2">
        <v>17297</v>
      </c>
      <c r="O378" t="s">
        <v>1001</v>
      </c>
      <c r="P378" t="s">
        <v>9</v>
      </c>
      <c r="Q378" t="s">
        <v>75</v>
      </c>
      <c r="R378" t="e">
        <f>VLOOKUP(Q378,#REF!,2,FALSE)</f>
        <v>#REF!</v>
      </c>
      <c r="S378">
        <v>1004</v>
      </c>
      <c r="T378" t="s">
        <v>2225</v>
      </c>
      <c r="U378" t="s">
        <v>1002</v>
      </c>
      <c r="V378" s="1">
        <v>46053</v>
      </c>
      <c r="W378" s="1">
        <v>46053</v>
      </c>
      <c r="X378" t="s">
        <v>77</v>
      </c>
      <c r="Y378" t="s">
        <v>646</v>
      </c>
      <c r="Z378" t="s">
        <v>6</v>
      </c>
      <c r="AA378" t="s">
        <v>646</v>
      </c>
      <c r="AB378" s="4">
        <f t="shared" si="23"/>
        <v>172970</v>
      </c>
      <c r="AC378" s="5" t="s">
        <v>2215</v>
      </c>
      <c r="AD378" s="4">
        <f t="shared" si="24"/>
        <v>14414.166666666666</v>
      </c>
      <c r="AE378" s="4">
        <f t="shared" si="12"/>
        <v>-2882.8333333333339</v>
      </c>
    </row>
    <row r="379" spans="1:31" x14ac:dyDescent="0.25">
      <c r="A379" t="s">
        <v>0</v>
      </c>
      <c r="B379" s="3" t="s">
        <v>2219</v>
      </c>
      <c r="C379" t="s">
        <v>998</v>
      </c>
      <c r="D379" t="s">
        <v>160</v>
      </c>
      <c r="E379" t="s">
        <v>1013</v>
      </c>
      <c r="F379" s="1">
        <v>46060</v>
      </c>
      <c r="G379" s="1">
        <v>46063</v>
      </c>
      <c r="H379" t="s">
        <v>882</v>
      </c>
      <c r="I379" t="s">
        <v>5</v>
      </c>
      <c r="J379" t="s">
        <v>6</v>
      </c>
      <c r="K379" t="s">
        <v>4</v>
      </c>
      <c r="L379" t="s">
        <v>1014</v>
      </c>
      <c r="M379" t="s">
        <v>1014</v>
      </c>
      <c r="N379" s="2">
        <v>6374</v>
      </c>
      <c r="O379" t="s">
        <v>1001</v>
      </c>
      <c r="P379" t="s">
        <v>9</v>
      </c>
      <c r="Q379" t="s">
        <v>75</v>
      </c>
      <c r="R379" t="e">
        <f>VLOOKUP(Q379,#REF!,2,FALSE)</f>
        <v>#REF!</v>
      </c>
      <c r="S379">
        <v>1004</v>
      </c>
      <c r="T379" t="s">
        <v>2225</v>
      </c>
      <c r="U379" t="s">
        <v>1002</v>
      </c>
      <c r="V379" s="1">
        <v>46053</v>
      </c>
      <c r="W379" s="1">
        <v>46053</v>
      </c>
      <c r="X379" t="s">
        <v>77</v>
      </c>
      <c r="Y379" t="s">
        <v>646</v>
      </c>
      <c r="Z379" t="s">
        <v>6</v>
      </c>
      <c r="AA379" t="s">
        <v>646</v>
      </c>
      <c r="AB379" s="4">
        <f t="shared" si="23"/>
        <v>63740</v>
      </c>
      <c r="AC379" s="5" t="s">
        <v>2215</v>
      </c>
      <c r="AD379" s="4">
        <f t="shared" si="24"/>
        <v>5311.666666666667</v>
      </c>
      <c r="AE379" s="4">
        <f t="shared" si="12"/>
        <v>-1062.333333333333</v>
      </c>
    </row>
    <row r="380" spans="1:31" x14ac:dyDescent="0.25">
      <c r="A380" t="s">
        <v>0</v>
      </c>
      <c r="B380" s="3" t="s">
        <v>2219</v>
      </c>
      <c r="C380" t="s">
        <v>998</v>
      </c>
      <c r="D380" t="s">
        <v>160</v>
      </c>
      <c r="E380" t="s">
        <v>1015</v>
      </c>
      <c r="F380" s="1">
        <v>46060</v>
      </c>
      <c r="G380" s="1">
        <v>46063</v>
      </c>
      <c r="H380" t="s">
        <v>882</v>
      </c>
      <c r="I380" t="s">
        <v>5</v>
      </c>
      <c r="J380" t="s">
        <v>6</v>
      </c>
      <c r="K380" t="s">
        <v>4</v>
      </c>
      <c r="L380" t="s">
        <v>1016</v>
      </c>
      <c r="M380" t="s">
        <v>1016</v>
      </c>
      <c r="N380" s="2">
        <v>17180</v>
      </c>
      <c r="O380" t="s">
        <v>1001</v>
      </c>
      <c r="P380" t="s">
        <v>9</v>
      </c>
      <c r="Q380" t="s">
        <v>75</v>
      </c>
      <c r="R380" t="e">
        <f>VLOOKUP(Q380,#REF!,2,FALSE)</f>
        <v>#REF!</v>
      </c>
      <c r="S380">
        <v>1004</v>
      </c>
      <c r="T380" t="s">
        <v>2225</v>
      </c>
      <c r="U380" t="s">
        <v>1002</v>
      </c>
      <c r="V380" s="1">
        <v>46053</v>
      </c>
      <c r="W380" s="1">
        <v>46053</v>
      </c>
      <c r="X380" t="s">
        <v>77</v>
      </c>
      <c r="Y380" t="s">
        <v>646</v>
      </c>
      <c r="Z380" t="s">
        <v>6</v>
      </c>
      <c r="AA380" t="s">
        <v>646</v>
      </c>
      <c r="AB380" s="4">
        <f t="shared" si="23"/>
        <v>171800</v>
      </c>
      <c r="AC380" s="5" t="s">
        <v>2215</v>
      </c>
      <c r="AD380" s="4">
        <f t="shared" si="24"/>
        <v>14316.666666666666</v>
      </c>
      <c r="AE380" s="4">
        <f t="shared" si="12"/>
        <v>-2863.3333333333339</v>
      </c>
    </row>
    <row r="381" spans="1:31" x14ac:dyDescent="0.25">
      <c r="A381" t="s">
        <v>0</v>
      </c>
      <c r="B381" s="3" t="s">
        <v>2219</v>
      </c>
      <c r="C381" t="s">
        <v>998</v>
      </c>
      <c r="D381" t="s">
        <v>160</v>
      </c>
      <c r="E381" t="s">
        <v>1017</v>
      </c>
      <c r="F381" s="1">
        <v>46060</v>
      </c>
      <c r="G381" s="1">
        <v>46063</v>
      </c>
      <c r="H381" t="s">
        <v>882</v>
      </c>
      <c r="I381" t="s">
        <v>5</v>
      </c>
      <c r="J381" t="s">
        <v>6</v>
      </c>
      <c r="K381" t="s">
        <v>4</v>
      </c>
      <c r="L381" t="s">
        <v>1018</v>
      </c>
      <c r="M381" t="s">
        <v>1018</v>
      </c>
      <c r="N381" s="2">
        <v>123567</v>
      </c>
      <c r="O381" t="s">
        <v>1001</v>
      </c>
      <c r="P381" t="s">
        <v>9</v>
      </c>
      <c r="Q381" t="s">
        <v>75</v>
      </c>
      <c r="R381" t="e">
        <f>VLOOKUP(Q381,#REF!,2,FALSE)</f>
        <v>#REF!</v>
      </c>
      <c r="S381">
        <v>1004</v>
      </c>
      <c r="T381" t="s">
        <v>2225</v>
      </c>
      <c r="U381" t="s">
        <v>1002</v>
      </c>
      <c r="V381" s="1">
        <v>46053</v>
      </c>
      <c r="W381" s="1">
        <v>46053</v>
      </c>
      <c r="X381" t="s">
        <v>77</v>
      </c>
      <c r="Y381" t="s">
        <v>646</v>
      </c>
      <c r="Z381" t="s">
        <v>6</v>
      </c>
      <c r="AA381" t="s">
        <v>646</v>
      </c>
      <c r="AB381" s="4">
        <f t="shared" si="23"/>
        <v>1235670</v>
      </c>
      <c r="AC381" s="5" t="s">
        <v>2215</v>
      </c>
      <c r="AD381" s="4">
        <f t="shared" si="24"/>
        <v>102972.5</v>
      </c>
      <c r="AE381" s="4">
        <f t="shared" si="12"/>
        <v>-20594.5</v>
      </c>
    </row>
    <row r="382" spans="1:31" x14ac:dyDescent="0.25">
      <c r="A382" t="s">
        <v>0</v>
      </c>
      <c r="B382" s="3" t="s">
        <v>2219</v>
      </c>
      <c r="C382" t="s">
        <v>998</v>
      </c>
      <c r="D382" t="s">
        <v>160</v>
      </c>
      <c r="E382" t="s">
        <v>1019</v>
      </c>
      <c r="F382" s="1">
        <v>46060</v>
      </c>
      <c r="G382" s="1">
        <v>46063</v>
      </c>
      <c r="H382" t="s">
        <v>882</v>
      </c>
      <c r="I382" t="s">
        <v>5</v>
      </c>
      <c r="J382" t="s">
        <v>6</v>
      </c>
      <c r="K382" t="s">
        <v>4</v>
      </c>
      <c r="L382" t="s">
        <v>1020</v>
      </c>
      <c r="M382" t="s">
        <v>1020</v>
      </c>
      <c r="N382" s="2">
        <v>51880</v>
      </c>
      <c r="O382" t="s">
        <v>1001</v>
      </c>
      <c r="P382" t="s">
        <v>9</v>
      </c>
      <c r="Q382" t="s">
        <v>75</v>
      </c>
      <c r="R382" t="e">
        <f>VLOOKUP(Q382,#REF!,2,FALSE)</f>
        <v>#REF!</v>
      </c>
      <c r="S382">
        <v>1004</v>
      </c>
      <c r="T382" t="s">
        <v>2225</v>
      </c>
      <c r="U382" t="s">
        <v>1002</v>
      </c>
      <c r="V382" s="1">
        <v>46053</v>
      </c>
      <c r="W382" s="1">
        <v>46053</v>
      </c>
      <c r="X382" t="s">
        <v>77</v>
      </c>
      <c r="Y382" t="s">
        <v>646</v>
      </c>
      <c r="Z382" t="s">
        <v>6</v>
      </c>
      <c r="AA382" t="s">
        <v>646</v>
      </c>
      <c r="AB382" s="4">
        <f t="shared" si="23"/>
        <v>518800</v>
      </c>
      <c r="AC382" s="5" t="s">
        <v>2215</v>
      </c>
      <c r="AD382" s="4">
        <f t="shared" si="24"/>
        <v>43233.333333333336</v>
      </c>
      <c r="AE382" s="4">
        <f t="shared" si="12"/>
        <v>-8646.6666666666642</v>
      </c>
    </row>
    <row r="383" spans="1:31" x14ac:dyDescent="0.25">
      <c r="A383" t="s">
        <v>0</v>
      </c>
      <c r="B383" s="3" t="s">
        <v>2219</v>
      </c>
      <c r="C383" t="s">
        <v>998</v>
      </c>
      <c r="D383" t="s">
        <v>160</v>
      </c>
      <c r="E383" t="s">
        <v>1021</v>
      </c>
      <c r="F383" s="1">
        <v>46060</v>
      </c>
      <c r="G383" s="1">
        <v>46063</v>
      </c>
      <c r="H383" t="s">
        <v>882</v>
      </c>
      <c r="I383" t="s">
        <v>5</v>
      </c>
      <c r="J383" t="s">
        <v>6</v>
      </c>
      <c r="K383" t="s">
        <v>4</v>
      </c>
      <c r="L383" t="s">
        <v>1022</v>
      </c>
      <c r="M383" t="s">
        <v>1022</v>
      </c>
      <c r="N383" s="2">
        <v>23804</v>
      </c>
      <c r="O383" t="s">
        <v>1001</v>
      </c>
      <c r="P383" t="s">
        <v>9</v>
      </c>
      <c r="Q383" t="s">
        <v>75</v>
      </c>
      <c r="R383" t="e">
        <f>VLOOKUP(Q383,#REF!,2,FALSE)</f>
        <v>#REF!</v>
      </c>
      <c r="S383">
        <v>1004</v>
      </c>
      <c r="T383" t="s">
        <v>2225</v>
      </c>
      <c r="U383" t="s">
        <v>1002</v>
      </c>
      <c r="V383" s="1">
        <v>46053</v>
      </c>
      <c r="W383" s="1">
        <v>46053</v>
      </c>
      <c r="X383" t="s">
        <v>77</v>
      </c>
      <c r="Y383" t="s">
        <v>646</v>
      </c>
      <c r="Z383" t="s">
        <v>6</v>
      </c>
      <c r="AA383" t="s">
        <v>646</v>
      </c>
      <c r="AB383" s="4">
        <f t="shared" si="23"/>
        <v>238040</v>
      </c>
      <c r="AC383" s="5" t="s">
        <v>2215</v>
      </c>
      <c r="AD383" s="4">
        <f t="shared" si="24"/>
        <v>19836.666666666668</v>
      </c>
      <c r="AE383" s="4">
        <f t="shared" si="12"/>
        <v>-3967.3333333333321</v>
      </c>
    </row>
    <row r="384" spans="1:31" x14ac:dyDescent="0.25">
      <c r="A384" t="s">
        <v>0</v>
      </c>
      <c r="B384" s="3" t="s">
        <v>2219</v>
      </c>
      <c r="C384" t="s">
        <v>998</v>
      </c>
      <c r="D384" t="s">
        <v>160</v>
      </c>
      <c r="E384" t="s">
        <v>1023</v>
      </c>
      <c r="F384" s="1">
        <v>46060</v>
      </c>
      <c r="G384" s="1">
        <v>46063</v>
      </c>
      <c r="H384" t="s">
        <v>882</v>
      </c>
      <c r="I384" t="s">
        <v>5</v>
      </c>
      <c r="J384" t="s">
        <v>6</v>
      </c>
      <c r="K384" t="s">
        <v>4</v>
      </c>
      <c r="L384" t="s">
        <v>1024</v>
      </c>
      <c r="M384" t="s">
        <v>1024</v>
      </c>
      <c r="N384" s="2">
        <v>22836</v>
      </c>
      <c r="O384" t="s">
        <v>1001</v>
      </c>
      <c r="P384" t="s">
        <v>9</v>
      </c>
      <c r="Q384" t="s">
        <v>75</v>
      </c>
      <c r="R384" t="e">
        <f>VLOOKUP(Q384,#REF!,2,FALSE)</f>
        <v>#REF!</v>
      </c>
      <c r="S384">
        <v>1004</v>
      </c>
      <c r="T384" t="s">
        <v>2225</v>
      </c>
      <c r="U384" t="s">
        <v>1002</v>
      </c>
      <c r="V384" s="1">
        <v>46053</v>
      </c>
      <c r="W384" s="1">
        <v>46053</v>
      </c>
      <c r="X384" t="s">
        <v>77</v>
      </c>
      <c r="Y384" t="s">
        <v>646</v>
      </c>
      <c r="Z384" t="s">
        <v>6</v>
      </c>
      <c r="AA384" t="s">
        <v>646</v>
      </c>
      <c r="AB384" s="4">
        <f t="shared" si="23"/>
        <v>228360</v>
      </c>
      <c r="AC384" s="5" t="s">
        <v>2215</v>
      </c>
      <c r="AD384" s="4">
        <f t="shared" si="24"/>
        <v>19030</v>
      </c>
      <c r="AE384" s="4">
        <f t="shared" si="12"/>
        <v>-3806</v>
      </c>
    </row>
    <row r="385" spans="1:31" x14ac:dyDescent="0.25">
      <c r="A385" t="s">
        <v>0</v>
      </c>
      <c r="B385" s="3" t="s">
        <v>2219</v>
      </c>
      <c r="C385" t="s">
        <v>998</v>
      </c>
      <c r="D385" t="s">
        <v>160</v>
      </c>
      <c r="E385" t="s">
        <v>1025</v>
      </c>
      <c r="F385" s="1">
        <v>46060</v>
      </c>
      <c r="G385" s="1">
        <v>46063</v>
      </c>
      <c r="H385" t="s">
        <v>882</v>
      </c>
      <c r="I385" t="s">
        <v>5</v>
      </c>
      <c r="J385" t="s">
        <v>6</v>
      </c>
      <c r="K385" t="s">
        <v>4</v>
      </c>
      <c r="L385" t="s">
        <v>1026</v>
      </c>
      <c r="M385" t="s">
        <v>1026</v>
      </c>
      <c r="N385" s="2">
        <v>15598</v>
      </c>
      <c r="O385" t="s">
        <v>1001</v>
      </c>
      <c r="P385" t="s">
        <v>9</v>
      </c>
      <c r="Q385" t="s">
        <v>75</v>
      </c>
      <c r="R385" t="e">
        <f>VLOOKUP(Q385,#REF!,2,FALSE)</f>
        <v>#REF!</v>
      </c>
      <c r="S385">
        <v>1004</v>
      </c>
      <c r="T385" t="s">
        <v>2225</v>
      </c>
      <c r="U385" t="s">
        <v>1002</v>
      </c>
      <c r="V385" s="1">
        <v>46053</v>
      </c>
      <c r="W385" s="1">
        <v>46053</v>
      </c>
      <c r="X385" t="s">
        <v>77</v>
      </c>
      <c r="Y385" t="s">
        <v>646</v>
      </c>
      <c r="Z385" t="s">
        <v>6</v>
      </c>
      <c r="AA385" t="s">
        <v>646</v>
      </c>
      <c r="AB385" s="4">
        <f t="shared" si="23"/>
        <v>155980</v>
      </c>
      <c r="AC385" s="5" t="s">
        <v>2215</v>
      </c>
      <c r="AD385" s="4">
        <f t="shared" si="24"/>
        <v>12998.333333333334</v>
      </c>
      <c r="AE385" s="4">
        <f t="shared" si="12"/>
        <v>-2599.6666666666661</v>
      </c>
    </row>
    <row r="386" spans="1:31" x14ac:dyDescent="0.25">
      <c r="A386" t="s">
        <v>0</v>
      </c>
      <c r="B386" s="3" t="s">
        <v>2219</v>
      </c>
      <c r="C386" t="s">
        <v>998</v>
      </c>
      <c r="D386" t="s">
        <v>160</v>
      </c>
      <c r="E386" t="s">
        <v>1027</v>
      </c>
      <c r="F386" s="1">
        <v>46060</v>
      </c>
      <c r="G386" s="1">
        <v>46063</v>
      </c>
      <c r="H386" t="s">
        <v>882</v>
      </c>
      <c r="I386" t="s">
        <v>5</v>
      </c>
      <c r="J386" t="s">
        <v>6</v>
      </c>
      <c r="K386" t="s">
        <v>4</v>
      </c>
      <c r="L386" t="s">
        <v>1028</v>
      </c>
      <c r="M386" t="s">
        <v>1028</v>
      </c>
      <c r="N386" s="2">
        <v>13066</v>
      </c>
      <c r="O386" t="s">
        <v>1001</v>
      </c>
      <c r="P386" t="s">
        <v>9</v>
      </c>
      <c r="Q386" t="s">
        <v>75</v>
      </c>
      <c r="R386" t="e">
        <f>VLOOKUP(Q386,#REF!,2,FALSE)</f>
        <v>#REF!</v>
      </c>
      <c r="S386">
        <v>1004</v>
      </c>
      <c r="T386" t="s">
        <v>2225</v>
      </c>
      <c r="U386" t="s">
        <v>1002</v>
      </c>
      <c r="V386" s="1">
        <v>46053</v>
      </c>
      <c r="W386" s="1">
        <v>46053</v>
      </c>
      <c r="X386" t="s">
        <v>77</v>
      </c>
      <c r="Y386" t="s">
        <v>646</v>
      </c>
      <c r="Z386" t="s">
        <v>6</v>
      </c>
      <c r="AA386" t="s">
        <v>646</v>
      </c>
      <c r="AB386" s="4">
        <f t="shared" si="23"/>
        <v>130660</v>
      </c>
      <c r="AC386" s="5" t="s">
        <v>2215</v>
      </c>
      <c r="AD386" s="4">
        <f t="shared" si="24"/>
        <v>10888.333333333334</v>
      </c>
      <c r="AE386" s="4">
        <f t="shared" ref="AE386:AE449" si="25">AD386-L386</f>
        <v>-2177.6666666666661</v>
      </c>
    </row>
    <row r="387" spans="1:31" x14ac:dyDescent="0.25">
      <c r="A387" t="s">
        <v>0</v>
      </c>
      <c r="B387" s="3" t="s">
        <v>2219</v>
      </c>
      <c r="C387" t="s">
        <v>998</v>
      </c>
      <c r="D387" t="s">
        <v>160</v>
      </c>
      <c r="E387" t="s">
        <v>1029</v>
      </c>
      <c r="F387" s="1">
        <v>46060</v>
      </c>
      <c r="G387" s="1">
        <v>46063</v>
      </c>
      <c r="H387" t="s">
        <v>882</v>
      </c>
      <c r="I387" t="s">
        <v>5</v>
      </c>
      <c r="J387" t="s">
        <v>6</v>
      </c>
      <c r="K387" t="s">
        <v>4</v>
      </c>
      <c r="L387" t="s">
        <v>1030</v>
      </c>
      <c r="M387" t="s">
        <v>1030</v>
      </c>
      <c r="N387" s="2">
        <v>21575</v>
      </c>
      <c r="O387" t="s">
        <v>1001</v>
      </c>
      <c r="P387" t="s">
        <v>9</v>
      </c>
      <c r="Q387" t="s">
        <v>75</v>
      </c>
      <c r="R387" t="e">
        <f>VLOOKUP(Q387,#REF!,2,FALSE)</f>
        <v>#REF!</v>
      </c>
      <c r="S387">
        <v>1004</v>
      </c>
      <c r="T387" t="s">
        <v>2225</v>
      </c>
      <c r="U387" t="s">
        <v>1002</v>
      </c>
      <c r="V387" s="1">
        <v>46053</v>
      </c>
      <c r="W387" s="1">
        <v>46053</v>
      </c>
      <c r="X387" t="s">
        <v>77</v>
      </c>
      <c r="Y387" t="s">
        <v>646</v>
      </c>
      <c r="Z387" t="s">
        <v>6</v>
      </c>
      <c r="AA387" t="s">
        <v>646</v>
      </c>
      <c r="AB387" s="4">
        <f t="shared" si="23"/>
        <v>215750</v>
      </c>
      <c r="AC387" s="5" t="s">
        <v>2215</v>
      </c>
      <c r="AD387" s="4">
        <f t="shared" si="24"/>
        <v>17979.166666666668</v>
      </c>
      <c r="AE387" s="4">
        <f t="shared" si="25"/>
        <v>-3595.8333333333321</v>
      </c>
    </row>
    <row r="388" spans="1:31" x14ac:dyDescent="0.25">
      <c r="A388" t="s">
        <v>0</v>
      </c>
      <c r="B388" s="3" t="s">
        <v>2219</v>
      </c>
      <c r="C388" t="s">
        <v>998</v>
      </c>
      <c r="D388" t="s">
        <v>160</v>
      </c>
      <c r="E388" t="s">
        <v>1031</v>
      </c>
      <c r="F388" s="1">
        <v>46060</v>
      </c>
      <c r="G388" s="1">
        <v>46063</v>
      </c>
      <c r="H388" t="s">
        <v>882</v>
      </c>
      <c r="I388" t="s">
        <v>5</v>
      </c>
      <c r="J388" t="s">
        <v>6</v>
      </c>
      <c r="K388" t="s">
        <v>4</v>
      </c>
      <c r="L388" t="s">
        <v>1032</v>
      </c>
      <c r="M388" t="s">
        <v>1032</v>
      </c>
      <c r="N388" s="2">
        <v>259790</v>
      </c>
      <c r="O388" t="s">
        <v>1001</v>
      </c>
      <c r="P388" t="s">
        <v>9</v>
      </c>
      <c r="Q388" t="s">
        <v>75</v>
      </c>
      <c r="R388" t="e">
        <f>VLOOKUP(Q388,#REF!,2,FALSE)</f>
        <v>#REF!</v>
      </c>
      <c r="S388">
        <v>1004</v>
      </c>
      <c r="T388" t="s">
        <v>2225</v>
      </c>
      <c r="U388" t="s">
        <v>1002</v>
      </c>
      <c r="V388" s="1">
        <v>46053</v>
      </c>
      <c r="W388" s="1">
        <v>46053</v>
      </c>
      <c r="X388" t="s">
        <v>77</v>
      </c>
      <c r="Y388" t="s">
        <v>646</v>
      </c>
      <c r="Z388" t="s">
        <v>6</v>
      </c>
      <c r="AA388" t="s">
        <v>646</v>
      </c>
      <c r="AB388" s="4">
        <f t="shared" si="23"/>
        <v>2597900</v>
      </c>
      <c r="AC388" s="5" t="s">
        <v>2215</v>
      </c>
      <c r="AD388" s="4">
        <f t="shared" si="24"/>
        <v>216491.66666666666</v>
      </c>
      <c r="AE388" s="4">
        <f t="shared" si="25"/>
        <v>-43298.333333333343</v>
      </c>
    </row>
    <row r="389" spans="1:31" x14ac:dyDescent="0.25">
      <c r="A389" t="s">
        <v>0</v>
      </c>
      <c r="B389" s="3" t="s">
        <v>2219</v>
      </c>
      <c r="C389" t="s">
        <v>998</v>
      </c>
      <c r="D389" t="s">
        <v>160</v>
      </c>
      <c r="E389" t="s">
        <v>1033</v>
      </c>
      <c r="F389" s="1">
        <v>46060</v>
      </c>
      <c r="G389" s="1">
        <v>46063</v>
      </c>
      <c r="H389" t="s">
        <v>882</v>
      </c>
      <c r="I389" t="s">
        <v>5</v>
      </c>
      <c r="J389" t="s">
        <v>6</v>
      </c>
      <c r="K389" t="s">
        <v>4</v>
      </c>
      <c r="L389" t="s">
        <v>1034</v>
      </c>
      <c r="M389" t="s">
        <v>1034</v>
      </c>
      <c r="N389" s="2">
        <v>59529</v>
      </c>
      <c r="O389" t="s">
        <v>1001</v>
      </c>
      <c r="P389" t="s">
        <v>9</v>
      </c>
      <c r="Q389" t="s">
        <v>75</v>
      </c>
      <c r="R389" t="e">
        <f>VLOOKUP(Q389,#REF!,2,FALSE)</f>
        <v>#REF!</v>
      </c>
      <c r="S389">
        <v>1004</v>
      </c>
      <c r="T389" t="s">
        <v>2225</v>
      </c>
      <c r="U389" t="s">
        <v>1002</v>
      </c>
      <c r="V389" s="1">
        <v>46053</v>
      </c>
      <c r="W389" s="1">
        <v>46053</v>
      </c>
      <c r="X389" t="s">
        <v>77</v>
      </c>
      <c r="Y389" t="s">
        <v>646</v>
      </c>
      <c r="Z389" t="s">
        <v>6</v>
      </c>
      <c r="AA389" t="s">
        <v>646</v>
      </c>
      <c r="AB389" s="4">
        <f t="shared" si="23"/>
        <v>595290</v>
      </c>
      <c r="AC389" s="5" t="s">
        <v>2215</v>
      </c>
      <c r="AD389" s="4">
        <f t="shared" si="24"/>
        <v>49607.5</v>
      </c>
      <c r="AE389" s="4">
        <f t="shared" si="25"/>
        <v>-9921.5</v>
      </c>
    </row>
    <row r="390" spans="1:31" x14ac:dyDescent="0.25">
      <c r="A390" t="s">
        <v>0</v>
      </c>
      <c r="B390" s="3" t="s">
        <v>2219</v>
      </c>
      <c r="C390" t="s">
        <v>998</v>
      </c>
      <c r="D390" t="s">
        <v>160</v>
      </c>
      <c r="E390" t="s">
        <v>1035</v>
      </c>
      <c r="F390" s="1">
        <v>46060</v>
      </c>
      <c r="G390" s="1">
        <v>46063</v>
      </c>
      <c r="H390" t="s">
        <v>882</v>
      </c>
      <c r="I390" t="s">
        <v>5</v>
      </c>
      <c r="J390" t="s">
        <v>6</v>
      </c>
      <c r="K390" t="s">
        <v>4</v>
      </c>
      <c r="L390" t="s">
        <v>179</v>
      </c>
      <c r="M390" t="s">
        <v>179</v>
      </c>
      <c r="N390" s="2">
        <v>60357</v>
      </c>
      <c r="O390" t="s">
        <v>1001</v>
      </c>
      <c r="P390" t="s">
        <v>9</v>
      </c>
      <c r="Q390" t="s">
        <v>75</v>
      </c>
      <c r="R390" t="e">
        <f>VLOOKUP(Q390,#REF!,2,FALSE)</f>
        <v>#REF!</v>
      </c>
      <c r="S390">
        <v>1004</v>
      </c>
      <c r="T390" t="s">
        <v>2225</v>
      </c>
      <c r="U390" t="s">
        <v>1002</v>
      </c>
      <c r="V390" s="1">
        <v>46053</v>
      </c>
      <c r="W390" s="1">
        <v>46053</v>
      </c>
      <c r="X390" t="s">
        <v>77</v>
      </c>
      <c r="Y390" t="s">
        <v>646</v>
      </c>
      <c r="Z390" t="s">
        <v>6</v>
      </c>
      <c r="AA390" t="s">
        <v>646</v>
      </c>
      <c r="AB390" s="4">
        <f t="shared" si="23"/>
        <v>603570</v>
      </c>
      <c r="AC390" s="5" t="s">
        <v>2215</v>
      </c>
      <c r="AD390" s="4">
        <f t="shared" si="24"/>
        <v>50297.5</v>
      </c>
      <c r="AE390" s="4">
        <f t="shared" si="25"/>
        <v>-10059.5</v>
      </c>
    </row>
    <row r="391" spans="1:31" x14ac:dyDescent="0.25">
      <c r="A391" t="s">
        <v>0</v>
      </c>
      <c r="B391" s="3" t="s">
        <v>2219</v>
      </c>
      <c r="C391" t="s">
        <v>998</v>
      </c>
      <c r="D391" t="s">
        <v>160</v>
      </c>
      <c r="E391" t="s">
        <v>1036</v>
      </c>
      <c r="F391" s="1">
        <v>46060</v>
      </c>
      <c r="G391" s="1">
        <v>46063</v>
      </c>
      <c r="H391" t="s">
        <v>882</v>
      </c>
      <c r="I391" t="s">
        <v>5</v>
      </c>
      <c r="J391" t="s">
        <v>6</v>
      </c>
      <c r="K391" t="s">
        <v>4</v>
      </c>
      <c r="L391" t="s">
        <v>1037</v>
      </c>
      <c r="M391" t="s">
        <v>1037</v>
      </c>
      <c r="N391" s="2">
        <v>8267</v>
      </c>
      <c r="O391" t="s">
        <v>1001</v>
      </c>
      <c r="P391" t="s">
        <v>9</v>
      </c>
      <c r="Q391" t="s">
        <v>75</v>
      </c>
      <c r="R391" t="e">
        <f>VLOOKUP(Q391,#REF!,2,FALSE)</f>
        <v>#REF!</v>
      </c>
      <c r="S391">
        <v>1004</v>
      </c>
      <c r="T391" t="s">
        <v>2225</v>
      </c>
      <c r="U391" t="s">
        <v>1002</v>
      </c>
      <c r="V391" s="1">
        <v>46053</v>
      </c>
      <c r="W391" s="1">
        <v>46053</v>
      </c>
      <c r="X391" t="s">
        <v>77</v>
      </c>
      <c r="Y391" t="s">
        <v>646</v>
      </c>
      <c r="Z391" t="s">
        <v>6</v>
      </c>
      <c r="AA391" t="s">
        <v>646</v>
      </c>
      <c r="AB391" s="4">
        <f t="shared" si="23"/>
        <v>82670</v>
      </c>
      <c r="AC391" s="5" t="s">
        <v>2215</v>
      </c>
      <c r="AD391" s="4">
        <f t="shared" si="24"/>
        <v>6889.166666666667</v>
      </c>
      <c r="AE391" s="4">
        <f t="shared" si="25"/>
        <v>-1377.833333333333</v>
      </c>
    </row>
    <row r="392" spans="1:31" x14ac:dyDescent="0.25">
      <c r="A392" t="s">
        <v>0</v>
      </c>
      <c r="B392" s="3" t="s">
        <v>2219</v>
      </c>
      <c r="C392" t="s">
        <v>998</v>
      </c>
      <c r="D392" t="s">
        <v>160</v>
      </c>
      <c r="E392" t="s">
        <v>1038</v>
      </c>
      <c r="F392" s="1">
        <v>46060</v>
      </c>
      <c r="G392" s="1">
        <v>46063</v>
      </c>
      <c r="H392" t="s">
        <v>882</v>
      </c>
      <c r="I392" t="s">
        <v>5</v>
      </c>
      <c r="J392" t="s">
        <v>6</v>
      </c>
      <c r="K392" t="s">
        <v>4</v>
      </c>
      <c r="L392" t="s">
        <v>1039</v>
      </c>
      <c r="M392" t="s">
        <v>1039</v>
      </c>
      <c r="N392" s="2">
        <v>9894</v>
      </c>
      <c r="O392" t="s">
        <v>1001</v>
      </c>
      <c r="P392" t="s">
        <v>9</v>
      </c>
      <c r="Q392" t="s">
        <v>75</v>
      </c>
      <c r="R392" t="e">
        <f>VLOOKUP(Q392,#REF!,2,FALSE)</f>
        <v>#REF!</v>
      </c>
      <c r="S392">
        <v>1004</v>
      </c>
      <c r="T392" t="s">
        <v>2225</v>
      </c>
      <c r="U392" t="s">
        <v>1002</v>
      </c>
      <c r="V392" s="1">
        <v>46053</v>
      </c>
      <c r="W392" s="1">
        <v>46053</v>
      </c>
      <c r="X392" t="s">
        <v>77</v>
      </c>
      <c r="Y392" t="s">
        <v>646</v>
      </c>
      <c r="Z392" t="s">
        <v>6</v>
      </c>
      <c r="AA392" t="s">
        <v>646</v>
      </c>
      <c r="AB392" s="4">
        <f t="shared" si="23"/>
        <v>98940</v>
      </c>
      <c r="AC392" s="5" t="s">
        <v>2215</v>
      </c>
      <c r="AD392" s="4">
        <f t="shared" si="24"/>
        <v>8245</v>
      </c>
      <c r="AE392" s="4">
        <f t="shared" si="25"/>
        <v>-1649</v>
      </c>
    </row>
    <row r="393" spans="1:31" x14ac:dyDescent="0.25">
      <c r="A393" t="s">
        <v>0</v>
      </c>
      <c r="B393" s="3" t="s">
        <v>2219</v>
      </c>
      <c r="C393" t="s">
        <v>998</v>
      </c>
      <c r="D393" t="s">
        <v>160</v>
      </c>
      <c r="E393" t="s">
        <v>1040</v>
      </c>
      <c r="F393" s="1">
        <v>46060</v>
      </c>
      <c r="G393" s="1">
        <v>46063</v>
      </c>
      <c r="H393" t="s">
        <v>882</v>
      </c>
      <c r="I393" t="s">
        <v>5</v>
      </c>
      <c r="J393" t="s">
        <v>6</v>
      </c>
      <c r="K393" t="s">
        <v>4</v>
      </c>
      <c r="L393" t="s">
        <v>1041</v>
      </c>
      <c r="M393" t="s">
        <v>1041</v>
      </c>
      <c r="N393" s="2">
        <v>37965</v>
      </c>
      <c r="O393" t="s">
        <v>1001</v>
      </c>
      <c r="P393" t="s">
        <v>9</v>
      </c>
      <c r="Q393" t="s">
        <v>75</v>
      </c>
      <c r="R393" t="e">
        <f>VLOOKUP(Q393,#REF!,2,FALSE)</f>
        <v>#REF!</v>
      </c>
      <c r="S393">
        <v>1004</v>
      </c>
      <c r="T393" t="s">
        <v>2225</v>
      </c>
      <c r="U393" t="s">
        <v>1002</v>
      </c>
      <c r="V393" s="1">
        <v>46053</v>
      </c>
      <c r="W393" s="1">
        <v>46053</v>
      </c>
      <c r="X393" t="s">
        <v>77</v>
      </c>
      <c r="Y393" t="s">
        <v>646</v>
      </c>
      <c r="Z393" t="s">
        <v>6</v>
      </c>
      <c r="AA393" t="s">
        <v>646</v>
      </c>
      <c r="AB393" s="4">
        <f t="shared" si="23"/>
        <v>379650</v>
      </c>
      <c r="AC393" s="5" t="s">
        <v>2215</v>
      </c>
      <c r="AD393" s="4">
        <f t="shared" si="24"/>
        <v>31637.5</v>
      </c>
      <c r="AE393" s="4">
        <f t="shared" si="25"/>
        <v>-6327.5</v>
      </c>
    </row>
    <row r="394" spans="1:31" x14ac:dyDescent="0.25">
      <c r="A394" t="s">
        <v>0</v>
      </c>
      <c r="B394" s="3" t="s">
        <v>2219</v>
      </c>
      <c r="C394" t="s">
        <v>998</v>
      </c>
      <c r="D394" t="s">
        <v>160</v>
      </c>
      <c r="E394" t="s">
        <v>1042</v>
      </c>
      <c r="F394" s="1">
        <v>46060</v>
      </c>
      <c r="G394" s="1">
        <v>46063</v>
      </c>
      <c r="H394" t="s">
        <v>882</v>
      </c>
      <c r="I394" t="s">
        <v>5</v>
      </c>
      <c r="J394" t="s">
        <v>6</v>
      </c>
      <c r="K394" t="s">
        <v>4</v>
      </c>
      <c r="L394" t="s">
        <v>1043</v>
      </c>
      <c r="M394" t="s">
        <v>1043</v>
      </c>
      <c r="N394" s="2">
        <v>16200</v>
      </c>
      <c r="O394" t="s">
        <v>1001</v>
      </c>
      <c r="P394" t="s">
        <v>9</v>
      </c>
      <c r="Q394" t="s">
        <v>75</v>
      </c>
      <c r="R394" t="e">
        <f>VLOOKUP(Q394,#REF!,2,FALSE)</f>
        <v>#REF!</v>
      </c>
      <c r="S394">
        <v>1004</v>
      </c>
      <c r="T394" t="s">
        <v>2225</v>
      </c>
      <c r="U394" t="s">
        <v>1002</v>
      </c>
      <c r="V394" s="1">
        <v>46053</v>
      </c>
      <c r="W394" s="1">
        <v>46053</v>
      </c>
      <c r="X394" t="s">
        <v>77</v>
      </c>
      <c r="Y394" t="s">
        <v>646</v>
      </c>
      <c r="Z394" t="s">
        <v>6</v>
      </c>
      <c r="AA394" t="s">
        <v>646</v>
      </c>
      <c r="AB394" s="4">
        <f t="shared" si="23"/>
        <v>162000</v>
      </c>
      <c r="AC394" s="5" t="s">
        <v>2215</v>
      </c>
      <c r="AD394" s="4">
        <f t="shared" si="24"/>
        <v>13500</v>
      </c>
      <c r="AE394" s="4">
        <f t="shared" si="25"/>
        <v>-2700</v>
      </c>
    </row>
    <row r="395" spans="1:31" x14ac:dyDescent="0.25">
      <c r="A395" t="s">
        <v>0</v>
      </c>
      <c r="B395" s="3" t="s">
        <v>2219</v>
      </c>
      <c r="C395" t="s">
        <v>998</v>
      </c>
      <c r="D395" t="s">
        <v>160</v>
      </c>
      <c r="E395" t="s">
        <v>1044</v>
      </c>
      <c r="F395" s="1">
        <v>46060</v>
      </c>
      <c r="G395" s="1">
        <v>46063</v>
      </c>
      <c r="H395" t="s">
        <v>882</v>
      </c>
      <c r="I395" t="s">
        <v>5</v>
      </c>
      <c r="J395" t="s">
        <v>6</v>
      </c>
      <c r="K395" t="s">
        <v>4</v>
      </c>
      <c r="L395" t="s">
        <v>1045</v>
      </c>
      <c r="M395" t="s">
        <v>1045</v>
      </c>
      <c r="N395" s="2">
        <v>46872</v>
      </c>
      <c r="O395" t="s">
        <v>1001</v>
      </c>
      <c r="P395" t="s">
        <v>9</v>
      </c>
      <c r="Q395" t="s">
        <v>75</v>
      </c>
      <c r="R395" t="e">
        <f>VLOOKUP(Q395,#REF!,2,FALSE)</f>
        <v>#REF!</v>
      </c>
      <c r="S395">
        <v>1004</v>
      </c>
      <c r="T395" t="s">
        <v>2225</v>
      </c>
      <c r="U395" t="s">
        <v>1002</v>
      </c>
      <c r="V395" s="1">
        <v>46053</v>
      </c>
      <c r="W395" s="1">
        <v>46053</v>
      </c>
      <c r="X395" t="s">
        <v>77</v>
      </c>
      <c r="Y395" t="s">
        <v>646</v>
      </c>
      <c r="Z395" t="s">
        <v>6</v>
      </c>
      <c r="AA395" t="s">
        <v>646</v>
      </c>
      <c r="AB395" s="4">
        <f t="shared" si="23"/>
        <v>468720</v>
      </c>
      <c r="AC395" s="5" t="s">
        <v>2215</v>
      </c>
      <c r="AD395" s="4">
        <f t="shared" si="24"/>
        <v>39060</v>
      </c>
      <c r="AE395" s="4">
        <f t="shared" si="25"/>
        <v>-7812</v>
      </c>
    </row>
    <row r="396" spans="1:31" x14ac:dyDescent="0.25">
      <c r="A396" t="s">
        <v>0</v>
      </c>
      <c r="B396" s="3" t="s">
        <v>2219</v>
      </c>
      <c r="C396" t="s">
        <v>998</v>
      </c>
      <c r="D396" t="s">
        <v>160</v>
      </c>
      <c r="E396" t="s">
        <v>1046</v>
      </c>
      <c r="F396" s="1">
        <v>46060</v>
      </c>
      <c r="G396" s="1">
        <v>46063</v>
      </c>
      <c r="H396" t="s">
        <v>882</v>
      </c>
      <c r="I396" t="s">
        <v>5</v>
      </c>
      <c r="J396" t="s">
        <v>6</v>
      </c>
      <c r="K396" t="s">
        <v>4</v>
      </c>
      <c r="L396" t="s">
        <v>1047</v>
      </c>
      <c r="M396" t="s">
        <v>1047</v>
      </c>
      <c r="N396" s="2">
        <v>90142</v>
      </c>
      <c r="O396" t="s">
        <v>1001</v>
      </c>
      <c r="P396" t="s">
        <v>9</v>
      </c>
      <c r="Q396" t="s">
        <v>75</v>
      </c>
      <c r="R396" t="e">
        <f>VLOOKUP(Q396,#REF!,2,FALSE)</f>
        <v>#REF!</v>
      </c>
      <c r="S396">
        <v>1004</v>
      </c>
      <c r="T396" t="s">
        <v>2225</v>
      </c>
      <c r="U396" t="s">
        <v>1002</v>
      </c>
      <c r="V396" s="1">
        <v>46053</v>
      </c>
      <c r="W396" s="1">
        <v>46053</v>
      </c>
      <c r="X396" t="s">
        <v>77</v>
      </c>
      <c r="Y396" t="s">
        <v>646</v>
      </c>
      <c r="Z396" t="s">
        <v>6</v>
      </c>
      <c r="AA396" t="s">
        <v>646</v>
      </c>
      <c r="AB396" s="4">
        <f t="shared" si="23"/>
        <v>901420</v>
      </c>
      <c r="AC396" s="5" t="s">
        <v>2215</v>
      </c>
      <c r="AD396" s="4">
        <f t="shared" si="24"/>
        <v>75118.333333333328</v>
      </c>
      <c r="AE396" s="4">
        <f t="shared" si="25"/>
        <v>-15023.666666666672</v>
      </c>
    </row>
    <row r="397" spans="1:31" x14ac:dyDescent="0.25">
      <c r="A397" t="s">
        <v>0</v>
      </c>
      <c r="B397" s="3" t="s">
        <v>2219</v>
      </c>
      <c r="C397" t="s">
        <v>998</v>
      </c>
      <c r="D397" t="s">
        <v>160</v>
      </c>
      <c r="E397" t="s">
        <v>1048</v>
      </c>
      <c r="F397" s="1">
        <v>46060</v>
      </c>
      <c r="G397" s="1">
        <v>46063</v>
      </c>
      <c r="H397" t="s">
        <v>882</v>
      </c>
      <c r="I397" t="s">
        <v>5</v>
      </c>
      <c r="J397" t="s">
        <v>6</v>
      </c>
      <c r="K397" t="s">
        <v>4</v>
      </c>
      <c r="L397" t="s">
        <v>1049</v>
      </c>
      <c r="M397" t="s">
        <v>1049</v>
      </c>
      <c r="N397" s="2">
        <v>60026</v>
      </c>
      <c r="O397" t="s">
        <v>1001</v>
      </c>
      <c r="P397" t="s">
        <v>9</v>
      </c>
      <c r="Q397" t="s">
        <v>75</v>
      </c>
      <c r="R397" t="e">
        <f>VLOOKUP(Q397,#REF!,2,FALSE)</f>
        <v>#REF!</v>
      </c>
      <c r="S397">
        <v>1004</v>
      </c>
      <c r="T397" t="s">
        <v>2225</v>
      </c>
      <c r="U397" t="s">
        <v>1002</v>
      </c>
      <c r="V397" s="1">
        <v>46053</v>
      </c>
      <c r="W397" s="1">
        <v>46053</v>
      </c>
      <c r="X397" t="s">
        <v>77</v>
      </c>
      <c r="Y397" t="s">
        <v>646</v>
      </c>
      <c r="Z397" t="s">
        <v>6</v>
      </c>
      <c r="AA397" t="s">
        <v>646</v>
      </c>
      <c r="AB397" s="4">
        <f t="shared" si="23"/>
        <v>600260</v>
      </c>
      <c r="AC397" s="5" t="s">
        <v>2215</v>
      </c>
      <c r="AD397" s="4">
        <f t="shared" si="24"/>
        <v>50021.666666666664</v>
      </c>
      <c r="AE397" s="4">
        <f t="shared" si="25"/>
        <v>-10004.333333333336</v>
      </c>
    </row>
    <row r="398" spans="1:31" x14ac:dyDescent="0.25">
      <c r="A398" t="s">
        <v>0</v>
      </c>
      <c r="B398" s="3" t="s">
        <v>2219</v>
      </c>
      <c r="C398" t="s">
        <v>998</v>
      </c>
      <c r="D398" t="s">
        <v>160</v>
      </c>
      <c r="E398" t="s">
        <v>1050</v>
      </c>
      <c r="F398" s="1">
        <v>46060</v>
      </c>
      <c r="G398" s="1">
        <v>46063</v>
      </c>
      <c r="H398" t="s">
        <v>882</v>
      </c>
      <c r="I398" t="s">
        <v>5</v>
      </c>
      <c r="J398" t="s">
        <v>6</v>
      </c>
      <c r="K398" t="s">
        <v>4</v>
      </c>
      <c r="L398" t="s">
        <v>1051</v>
      </c>
      <c r="M398" t="s">
        <v>1051</v>
      </c>
      <c r="N398" s="2">
        <v>593590</v>
      </c>
      <c r="O398" t="s">
        <v>1001</v>
      </c>
      <c r="P398" t="s">
        <v>9</v>
      </c>
      <c r="Q398" t="s">
        <v>75</v>
      </c>
      <c r="R398" t="e">
        <f>VLOOKUP(Q398,#REF!,2,FALSE)</f>
        <v>#REF!</v>
      </c>
      <c r="S398">
        <v>1004</v>
      </c>
      <c r="T398" t="s">
        <v>2225</v>
      </c>
      <c r="U398" t="s">
        <v>1002</v>
      </c>
      <c r="V398" s="1">
        <v>46053</v>
      </c>
      <c r="W398" s="1">
        <v>46053</v>
      </c>
      <c r="X398" t="s">
        <v>77</v>
      </c>
      <c r="Y398" t="s">
        <v>646</v>
      </c>
      <c r="Z398" t="s">
        <v>6</v>
      </c>
      <c r="AA398" t="s">
        <v>646</v>
      </c>
      <c r="AB398" s="4">
        <f t="shared" si="23"/>
        <v>5935900</v>
      </c>
      <c r="AC398" s="5" t="s">
        <v>2215</v>
      </c>
      <c r="AD398" s="4">
        <f t="shared" si="24"/>
        <v>494658.33333333331</v>
      </c>
      <c r="AE398" s="4">
        <f t="shared" si="25"/>
        <v>-98931.666666666686</v>
      </c>
    </row>
    <row r="399" spans="1:31" x14ac:dyDescent="0.25">
      <c r="A399" t="s">
        <v>0</v>
      </c>
      <c r="B399" s="3" t="s">
        <v>2219</v>
      </c>
      <c r="C399" t="s">
        <v>998</v>
      </c>
      <c r="D399" t="s">
        <v>160</v>
      </c>
      <c r="E399" t="s">
        <v>1052</v>
      </c>
      <c r="F399" s="1">
        <v>46060</v>
      </c>
      <c r="G399" s="1">
        <v>46063</v>
      </c>
      <c r="H399" t="s">
        <v>882</v>
      </c>
      <c r="I399" t="s">
        <v>5</v>
      </c>
      <c r="J399" t="s">
        <v>6</v>
      </c>
      <c r="K399" t="s">
        <v>4</v>
      </c>
      <c r="L399" t="s">
        <v>1053</v>
      </c>
      <c r="M399" t="s">
        <v>1053</v>
      </c>
      <c r="N399" s="2">
        <v>128652</v>
      </c>
      <c r="O399" t="s">
        <v>1001</v>
      </c>
      <c r="P399" t="s">
        <v>9</v>
      </c>
      <c r="Q399" t="s">
        <v>75</v>
      </c>
      <c r="R399" t="e">
        <f>VLOOKUP(Q399,#REF!,2,FALSE)</f>
        <v>#REF!</v>
      </c>
      <c r="S399">
        <v>1004</v>
      </c>
      <c r="T399" t="s">
        <v>2225</v>
      </c>
      <c r="U399" t="s">
        <v>1002</v>
      </c>
      <c r="V399" s="1">
        <v>46053</v>
      </c>
      <c r="W399" s="1">
        <v>46053</v>
      </c>
      <c r="X399" t="s">
        <v>77</v>
      </c>
      <c r="Y399" t="s">
        <v>646</v>
      </c>
      <c r="Z399" t="s">
        <v>6</v>
      </c>
      <c r="AA399" t="s">
        <v>646</v>
      </c>
      <c r="AB399" s="4">
        <f t="shared" si="23"/>
        <v>1286520</v>
      </c>
      <c r="AC399" s="5" t="s">
        <v>2215</v>
      </c>
      <c r="AD399" s="4">
        <f t="shared" si="24"/>
        <v>107210</v>
      </c>
      <c r="AE399" s="4">
        <f t="shared" si="25"/>
        <v>-21442</v>
      </c>
    </row>
    <row r="400" spans="1:31" x14ac:dyDescent="0.25">
      <c r="A400" t="s">
        <v>0</v>
      </c>
      <c r="B400" s="3" t="s">
        <v>2219</v>
      </c>
      <c r="C400" t="s">
        <v>998</v>
      </c>
      <c r="D400" t="s">
        <v>160</v>
      </c>
      <c r="E400" t="s">
        <v>1054</v>
      </c>
      <c r="F400" s="1">
        <v>46060</v>
      </c>
      <c r="G400" s="1">
        <v>46063</v>
      </c>
      <c r="H400" t="s">
        <v>882</v>
      </c>
      <c r="I400" t="s">
        <v>5</v>
      </c>
      <c r="J400" t="s">
        <v>6</v>
      </c>
      <c r="K400" t="s">
        <v>4</v>
      </c>
      <c r="L400" t="s">
        <v>1055</v>
      </c>
      <c r="M400" t="s">
        <v>1055</v>
      </c>
      <c r="N400" s="2">
        <v>75368</v>
      </c>
      <c r="O400" t="s">
        <v>1001</v>
      </c>
      <c r="P400" t="s">
        <v>9</v>
      </c>
      <c r="Q400" t="s">
        <v>75</v>
      </c>
      <c r="R400" t="e">
        <f>VLOOKUP(Q400,#REF!,2,FALSE)</f>
        <v>#REF!</v>
      </c>
      <c r="S400">
        <v>1004</v>
      </c>
      <c r="T400" t="s">
        <v>2225</v>
      </c>
      <c r="U400" t="s">
        <v>1002</v>
      </c>
      <c r="V400" s="1">
        <v>46053</v>
      </c>
      <c r="W400" s="1">
        <v>46053</v>
      </c>
      <c r="X400" t="s">
        <v>77</v>
      </c>
      <c r="Y400" t="s">
        <v>646</v>
      </c>
      <c r="Z400" t="s">
        <v>6</v>
      </c>
      <c r="AA400" t="s">
        <v>646</v>
      </c>
      <c r="AB400" s="4">
        <f t="shared" si="23"/>
        <v>753680</v>
      </c>
      <c r="AC400" s="5" t="s">
        <v>2215</v>
      </c>
      <c r="AD400" s="4">
        <f t="shared" si="24"/>
        <v>62806.666666666664</v>
      </c>
      <c r="AE400" s="4">
        <f t="shared" si="25"/>
        <v>-12561.333333333336</v>
      </c>
    </row>
    <row r="401" spans="1:31" x14ac:dyDescent="0.25">
      <c r="A401" t="s">
        <v>0</v>
      </c>
      <c r="B401" s="3" t="s">
        <v>2219</v>
      </c>
      <c r="C401" t="s">
        <v>998</v>
      </c>
      <c r="D401" t="s">
        <v>160</v>
      </c>
      <c r="E401" t="s">
        <v>1056</v>
      </c>
      <c r="F401" s="1">
        <v>46060</v>
      </c>
      <c r="G401" s="1">
        <v>46063</v>
      </c>
      <c r="H401" t="s">
        <v>882</v>
      </c>
      <c r="I401" t="s">
        <v>5</v>
      </c>
      <c r="J401" t="s">
        <v>6</v>
      </c>
      <c r="K401" t="s">
        <v>4</v>
      </c>
      <c r="L401" t="s">
        <v>1057</v>
      </c>
      <c r="M401" t="s">
        <v>1057</v>
      </c>
      <c r="N401" s="2">
        <v>9100</v>
      </c>
      <c r="O401" t="s">
        <v>1001</v>
      </c>
      <c r="P401" t="s">
        <v>9</v>
      </c>
      <c r="Q401" t="s">
        <v>75</v>
      </c>
      <c r="R401" t="e">
        <f>VLOOKUP(Q401,#REF!,2,FALSE)</f>
        <v>#REF!</v>
      </c>
      <c r="S401">
        <v>1004</v>
      </c>
      <c r="T401" t="s">
        <v>2225</v>
      </c>
      <c r="U401" t="s">
        <v>1002</v>
      </c>
      <c r="V401" s="1">
        <v>46053</v>
      </c>
      <c r="W401" s="1">
        <v>46053</v>
      </c>
      <c r="X401" t="s">
        <v>77</v>
      </c>
      <c r="Y401" t="s">
        <v>646</v>
      </c>
      <c r="Z401" t="s">
        <v>6</v>
      </c>
      <c r="AA401" t="s">
        <v>646</v>
      </c>
      <c r="AB401" s="4">
        <f t="shared" si="23"/>
        <v>91000</v>
      </c>
      <c r="AC401" s="5" t="s">
        <v>2215</v>
      </c>
      <c r="AD401" s="4">
        <f t="shared" si="24"/>
        <v>7583.333333333333</v>
      </c>
      <c r="AE401" s="4">
        <f t="shared" si="25"/>
        <v>-1516.666666666667</v>
      </c>
    </row>
    <row r="402" spans="1:31" x14ac:dyDescent="0.25">
      <c r="A402" t="s">
        <v>0</v>
      </c>
      <c r="B402" s="3" t="s">
        <v>2219</v>
      </c>
      <c r="C402" t="s">
        <v>998</v>
      </c>
      <c r="D402" t="s">
        <v>160</v>
      </c>
      <c r="E402" t="s">
        <v>1058</v>
      </c>
      <c r="F402" s="1">
        <v>46060</v>
      </c>
      <c r="G402" s="1">
        <v>46063</v>
      </c>
      <c r="H402" t="s">
        <v>882</v>
      </c>
      <c r="I402" t="s">
        <v>5</v>
      </c>
      <c r="J402" t="s">
        <v>6</v>
      </c>
      <c r="K402" t="s">
        <v>4</v>
      </c>
      <c r="L402" t="s">
        <v>1059</v>
      </c>
      <c r="M402" t="s">
        <v>1059</v>
      </c>
      <c r="N402" s="2">
        <v>26332</v>
      </c>
      <c r="O402" t="s">
        <v>1001</v>
      </c>
      <c r="P402" t="s">
        <v>9</v>
      </c>
      <c r="Q402" t="s">
        <v>75</v>
      </c>
      <c r="R402" t="e">
        <f>VLOOKUP(Q402,#REF!,2,FALSE)</f>
        <v>#REF!</v>
      </c>
      <c r="S402">
        <v>1004</v>
      </c>
      <c r="T402" t="s">
        <v>2225</v>
      </c>
      <c r="U402" t="s">
        <v>1002</v>
      </c>
      <c r="V402" s="1">
        <v>46053</v>
      </c>
      <c r="W402" s="1">
        <v>46053</v>
      </c>
      <c r="X402" t="s">
        <v>77</v>
      </c>
      <c r="Y402" t="s">
        <v>646</v>
      </c>
      <c r="Z402" t="s">
        <v>6</v>
      </c>
      <c r="AA402" t="s">
        <v>646</v>
      </c>
      <c r="AB402" s="4">
        <f t="shared" si="23"/>
        <v>263320</v>
      </c>
      <c r="AC402" s="5" t="s">
        <v>2215</v>
      </c>
      <c r="AD402" s="4">
        <f t="shared" si="24"/>
        <v>21943.333333333332</v>
      </c>
      <c r="AE402" s="4">
        <f t="shared" si="25"/>
        <v>-4388.6666666666679</v>
      </c>
    </row>
    <row r="403" spans="1:31" x14ac:dyDescent="0.25">
      <c r="A403" t="s">
        <v>0</v>
      </c>
      <c r="B403" s="3" t="s">
        <v>2219</v>
      </c>
      <c r="C403" t="s">
        <v>998</v>
      </c>
      <c r="D403" t="s">
        <v>160</v>
      </c>
      <c r="E403" t="s">
        <v>1060</v>
      </c>
      <c r="F403" s="1">
        <v>46060</v>
      </c>
      <c r="G403" s="1">
        <v>46063</v>
      </c>
      <c r="H403" t="s">
        <v>882</v>
      </c>
      <c r="I403" t="s">
        <v>5</v>
      </c>
      <c r="J403" t="s">
        <v>6</v>
      </c>
      <c r="K403" t="s">
        <v>4</v>
      </c>
      <c r="L403" t="s">
        <v>1061</v>
      </c>
      <c r="M403" t="s">
        <v>1061</v>
      </c>
      <c r="N403" s="2">
        <v>16365</v>
      </c>
      <c r="O403" t="s">
        <v>1001</v>
      </c>
      <c r="P403" t="s">
        <v>9</v>
      </c>
      <c r="Q403" t="s">
        <v>75</v>
      </c>
      <c r="R403" t="e">
        <f>VLOOKUP(Q403,#REF!,2,FALSE)</f>
        <v>#REF!</v>
      </c>
      <c r="S403">
        <v>1004</v>
      </c>
      <c r="T403" t="s">
        <v>2225</v>
      </c>
      <c r="U403" t="s">
        <v>1002</v>
      </c>
      <c r="V403" s="1">
        <v>46053</v>
      </c>
      <c r="W403" s="1">
        <v>46053</v>
      </c>
      <c r="X403" t="s">
        <v>77</v>
      </c>
      <c r="Y403" t="s">
        <v>646</v>
      </c>
      <c r="Z403" t="s">
        <v>6</v>
      </c>
      <c r="AA403" t="s">
        <v>646</v>
      </c>
      <c r="AB403" s="4">
        <f t="shared" si="23"/>
        <v>163650</v>
      </c>
      <c r="AC403" s="5" t="s">
        <v>2215</v>
      </c>
      <c r="AD403" s="4">
        <f t="shared" si="24"/>
        <v>13637.5</v>
      </c>
      <c r="AE403" s="4">
        <f t="shared" si="25"/>
        <v>-2727.5</v>
      </c>
    </row>
    <row r="404" spans="1:31" x14ac:dyDescent="0.25">
      <c r="A404" t="s">
        <v>0</v>
      </c>
      <c r="B404" s="3" t="s">
        <v>2219</v>
      </c>
      <c r="C404" t="s">
        <v>998</v>
      </c>
      <c r="D404" t="s">
        <v>160</v>
      </c>
      <c r="E404" t="s">
        <v>1062</v>
      </c>
      <c r="F404" s="1">
        <v>46060</v>
      </c>
      <c r="G404" s="1">
        <v>46063</v>
      </c>
      <c r="H404" t="s">
        <v>882</v>
      </c>
      <c r="I404" t="s">
        <v>5</v>
      </c>
      <c r="J404" t="s">
        <v>6</v>
      </c>
      <c r="K404" t="s">
        <v>4</v>
      </c>
      <c r="L404" t="s">
        <v>1063</v>
      </c>
      <c r="M404" t="s">
        <v>1063</v>
      </c>
      <c r="N404" s="2">
        <v>1862</v>
      </c>
      <c r="O404" t="s">
        <v>1001</v>
      </c>
      <c r="P404" t="s">
        <v>9</v>
      </c>
      <c r="Q404" t="s">
        <v>75</v>
      </c>
      <c r="R404" t="e">
        <f>VLOOKUP(Q404,#REF!,2,FALSE)</f>
        <v>#REF!</v>
      </c>
      <c r="S404">
        <v>1004</v>
      </c>
      <c r="T404" t="s">
        <v>2225</v>
      </c>
      <c r="U404" t="s">
        <v>1002</v>
      </c>
      <c r="V404" s="1">
        <v>46053</v>
      </c>
      <c r="W404" s="1">
        <v>46053</v>
      </c>
      <c r="X404" t="s">
        <v>77</v>
      </c>
      <c r="Y404" t="s">
        <v>646</v>
      </c>
      <c r="Z404" t="s">
        <v>6</v>
      </c>
      <c r="AA404" t="s">
        <v>646</v>
      </c>
      <c r="AB404" s="4">
        <f t="shared" si="23"/>
        <v>18620</v>
      </c>
      <c r="AC404" s="5" t="s">
        <v>2215</v>
      </c>
      <c r="AD404" s="4">
        <f t="shared" si="24"/>
        <v>1551.6666666666667</v>
      </c>
      <c r="AE404" s="4">
        <f t="shared" si="25"/>
        <v>-310.33333333333326</v>
      </c>
    </row>
    <row r="405" spans="1:31" x14ac:dyDescent="0.25">
      <c r="A405" t="s">
        <v>0</v>
      </c>
      <c r="B405" s="3" t="s">
        <v>2219</v>
      </c>
      <c r="C405" t="s">
        <v>998</v>
      </c>
      <c r="D405" t="s">
        <v>160</v>
      </c>
      <c r="E405" t="s">
        <v>1064</v>
      </c>
      <c r="F405" s="1">
        <v>46060</v>
      </c>
      <c r="G405" s="1">
        <v>46063</v>
      </c>
      <c r="H405" t="s">
        <v>882</v>
      </c>
      <c r="I405" t="s">
        <v>5</v>
      </c>
      <c r="J405" t="s">
        <v>6</v>
      </c>
      <c r="K405" t="s">
        <v>4</v>
      </c>
      <c r="L405" t="s">
        <v>1065</v>
      </c>
      <c r="M405" t="s">
        <v>1065</v>
      </c>
      <c r="N405" s="2">
        <v>183215</v>
      </c>
      <c r="O405" t="s">
        <v>1001</v>
      </c>
      <c r="P405" t="s">
        <v>9</v>
      </c>
      <c r="Q405" t="s">
        <v>75</v>
      </c>
      <c r="R405" t="e">
        <f>VLOOKUP(Q405,#REF!,2,FALSE)</f>
        <v>#REF!</v>
      </c>
      <c r="S405">
        <v>1004</v>
      </c>
      <c r="T405" t="s">
        <v>2225</v>
      </c>
      <c r="U405" t="s">
        <v>1002</v>
      </c>
      <c r="V405" s="1">
        <v>46053</v>
      </c>
      <c r="W405" s="1">
        <v>46053</v>
      </c>
      <c r="X405" t="s">
        <v>77</v>
      </c>
      <c r="Y405" t="s">
        <v>646</v>
      </c>
      <c r="Z405" t="s">
        <v>6</v>
      </c>
      <c r="AA405" t="s">
        <v>646</v>
      </c>
      <c r="AB405" s="4">
        <f t="shared" si="23"/>
        <v>1832150</v>
      </c>
      <c r="AC405" s="5" t="s">
        <v>2215</v>
      </c>
      <c r="AD405" s="4">
        <f t="shared" si="24"/>
        <v>152679.16666666666</v>
      </c>
      <c r="AE405" s="4">
        <f t="shared" si="25"/>
        <v>-30535.833333333343</v>
      </c>
    </row>
    <row r="406" spans="1:31" x14ac:dyDescent="0.25">
      <c r="A406" t="s">
        <v>0</v>
      </c>
      <c r="B406" s="3" t="s">
        <v>2219</v>
      </c>
      <c r="C406" t="s">
        <v>998</v>
      </c>
      <c r="D406" t="s">
        <v>160</v>
      </c>
      <c r="E406" t="s">
        <v>1066</v>
      </c>
      <c r="F406" s="1">
        <v>46060</v>
      </c>
      <c r="G406" s="1">
        <v>46063</v>
      </c>
      <c r="H406" t="s">
        <v>882</v>
      </c>
      <c r="I406" t="s">
        <v>5</v>
      </c>
      <c r="J406" t="s">
        <v>6</v>
      </c>
      <c r="K406" t="s">
        <v>4</v>
      </c>
      <c r="L406" t="s">
        <v>1067</v>
      </c>
      <c r="M406" t="s">
        <v>1067</v>
      </c>
      <c r="N406" s="2">
        <v>131179</v>
      </c>
      <c r="O406" t="s">
        <v>1001</v>
      </c>
      <c r="P406" t="s">
        <v>9</v>
      </c>
      <c r="Q406" t="s">
        <v>75</v>
      </c>
      <c r="R406" t="e">
        <f>VLOOKUP(Q406,#REF!,2,FALSE)</f>
        <v>#REF!</v>
      </c>
      <c r="S406">
        <v>1004</v>
      </c>
      <c r="T406" t="s">
        <v>2225</v>
      </c>
      <c r="U406" t="s">
        <v>1002</v>
      </c>
      <c r="V406" s="1">
        <v>46053</v>
      </c>
      <c r="W406" s="1">
        <v>46053</v>
      </c>
      <c r="X406" t="s">
        <v>77</v>
      </c>
      <c r="Y406" t="s">
        <v>646</v>
      </c>
      <c r="Z406" t="s">
        <v>6</v>
      </c>
      <c r="AA406" t="s">
        <v>646</v>
      </c>
      <c r="AB406" s="4">
        <f t="shared" si="23"/>
        <v>1311790</v>
      </c>
      <c r="AC406" s="5" t="s">
        <v>2215</v>
      </c>
      <c r="AD406" s="4">
        <f t="shared" si="24"/>
        <v>109315.83333333333</v>
      </c>
      <c r="AE406" s="4">
        <f t="shared" si="25"/>
        <v>-21863.166666666672</v>
      </c>
    </row>
    <row r="407" spans="1:31" x14ac:dyDescent="0.25">
      <c r="A407" t="s">
        <v>0</v>
      </c>
      <c r="B407" s="3" t="s">
        <v>2219</v>
      </c>
      <c r="C407" t="s">
        <v>998</v>
      </c>
      <c r="D407" t="s">
        <v>160</v>
      </c>
      <c r="E407" t="s">
        <v>1068</v>
      </c>
      <c r="F407" s="1">
        <v>46060</v>
      </c>
      <c r="G407" s="1">
        <v>46063</v>
      </c>
      <c r="H407" t="s">
        <v>882</v>
      </c>
      <c r="I407" t="s">
        <v>5</v>
      </c>
      <c r="J407" t="s">
        <v>6</v>
      </c>
      <c r="K407" t="s">
        <v>4</v>
      </c>
      <c r="L407" t="s">
        <v>1069</v>
      </c>
      <c r="M407" t="s">
        <v>1069</v>
      </c>
      <c r="N407" s="2">
        <v>61791</v>
      </c>
      <c r="O407" t="s">
        <v>1001</v>
      </c>
      <c r="P407" t="s">
        <v>9</v>
      </c>
      <c r="Q407" t="s">
        <v>75</v>
      </c>
      <c r="R407" t="e">
        <f>VLOOKUP(Q407,#REF!,2,FALSE)</f>
        <v>#REF!</v>
      </c>
      <c r="S407">
        <v>1004</v>
      </c>
      <c r="T407" t="s">
        <v>2225</v>
      </c>
      <c r="U407" t="s">
        <v>1002</v>
      </c>
      <c r="V407" s="1">
        <v>46053</v>
      </c>
      <c r="W407" s="1">
        <v>46053</v>
      </c>
      <c r="X407" t="s">
        <v>77</v>
      </c>
      <c r="Y407" t="s">
        <v>646</v>
      </c>
      <c r="Z407" t="s">
        <v>6</v>
      </c>
      <c r="AA407" t="s">
        <v>646</v>
      </c>
      <c r="AB407" s="4">
        <f t="shared" si="23"/>
        <v>617910</v>
      </c>
      <c r="AC407" s="5" t="s">
        <v>2215</v>
      </c>
      <c r="AD407" s="4">
        <f t="shared" si="24"/>
        <v>51492.5</v>
      </c>
      <c r="AE407" s="4">
        <f t="shared" si="25"/>
        <v>-10298.5</v>
      </c>
    </row>
    <row r="408" spans="1:31" x14ac:dyDescent="0.25">
      <c r="A408" t="s">
        <v>0</v>
      </c>
      <c r="B408" s="3" t="s">
        <v>2219</v>
      </c>
      <c r="C408" t="s">
        <v>998</v>
      </c>
      <c r="D408" t="s">
        <v>160</v>
      </c>
      <c r="E408" t="s">
        <v>1070</v>
      </c>
      <c r="F408" s="1">
        <v>46060</v>
      </c>
      <c r="G408" s="1">
        <v>46063</v>
      </c>
      <c r="H408" t="s">
        <v>882</v>
      </c>
      <c r="I408" t="s">
        <v>5</v>
      </c>
      <c r="J408" t="s">
        <v>6</v>
      </c>
      <c r="K408" t="s">
        <v>4</v>
      </c>
      <c r="L408" t="s">
        <v>1071</v>
      </c>
      <c r="M408" t="s">
        <v>1071</v>
      </c>
      <c r="N408" s="2">
        <v>39694</v>
      </c>
      <c r="O408" t="s">
        <v>1001</v>
      </c>
      <c r="P408" t="s">
        <v>9</v>
      </c>
      <c r="Q408" t="s">
        <v>75</v>
      </c>
      <c r="R408" t="e">
        <f>VLOOKUP(Q408,#REF!,2,FALSE)</f>
        <v>#REF!</v>
      </c>
      <c r="S408">
        <v>1004</v>
      </c>
      <c r="T408" t="s">
        <v>2225</v>
      </c>
      <c r="U408" t="s">
        <v>1002</v>
      </c>
      <c r="V408" s="1">
        <v>46053</v>
      </c>
      <c r="W408" s="1">
        <v>46053</v>
      </c>
      <c r="X408" t="s">
        <v>77</v>
      </c>
      <c r="Y408" t="s">
        <v>646</v>
      </c>
      <c r="Z408" t="s">
        <v>6</v>
      </c>
      <c r="AA408" t="s">
        <v>646</v>
      </c>
      <c r="AB408" s="4">
        <f t="shared" si="23"/>
        <v>396940</v>
      </c>
      <c r="AC408" s="5" t="s">
        <v>2215</v>
      </c>
      <c r="AD408" s="4">
        <f t="shared" si="24"/>
        <v>33078.333333333336</v>
      </c>
      <c r="AE408" s="4">
        <f t="shared" si="25"/>
        <v>-6615.6666666666642</v>
      </c>
    </row>
    <row r="409" spans="1:31" x14ac:dyDescent="0.25">
      <c r="A409" t="s">
        <v>0</v>
      </c>
      <c r="B409" s="3" t="s">
        <v>2219</v>
      </c>
      <c r="C409" t="s">
        <v>998</v>
      </c>
      <c r="D409" t="s">
        <v>160</v>
      </c>
      <c r="E409" t="s">
        <v>1072</v>
      </c>
      <c r="F409" s="1">
        <v>46060</v>
      </c>
      <c r="G409" s="1">
        <v>46063</v>
      </c>
      <c r="H409" t="s">
        <v>882</v>
      </c>
      <c r="I409" t="s">
        <v>5</v>
      </c>
      <c r="J409" t="s">
        <v>6</v>
      </c>
      <c r="K409" t="s">
        <v>4</v>
      </c>
      <c r="L409" t="s">
        <v>1073</v>
      </c>
      <c r="M409" t="s">
        <v>1073</v>
      </c>
      <c r="N409" s="2">
        <v>11582</v>
      </c>
      <c r="O409" t="s">
        <v>1001</v>
      </c>
      <c r="P409" t="s">
        <v>9</v>
      </c>
      <c r="Q409" t="s">
        <v>75</v>
      </c>
      <c r="R409" t="e">
        <f>VLOOKUP(Q409,#REF!,2,FALSE)</f>
        <v>#REF!</v>
      </c>
      <c r="S409">
        <v>1004</v>
      </c>
      <c r="T409" t="s">
        <v>2225</v>
      </c>
      <c r="U409" t="s">
        <v>1002</v>
      </c>
      <c r="V409" s="1">
        <v>46053</v>
      </c>
      <c r="W409" s="1">
        <v>46053</v>
      </c>
      <c r="X409" t="s">
        <v>77</v>
      </c>
      <c r="Y409" t="s">
        <v>646</v>
      </c>
      <c r="Z409" t="s">
        <v>6</v>
      </c>
      <c r="AA409" t="s">
        <v>646</v>
      </c>
      <c r="AB409" s="4">
        <f t="shared" si="23"/>
        <v>115820</v>
      </c>
      <c r="AC409" s="5" t="s">
        <v>2215</v>
      </c>
      <c r="AD409" s="4">
        <f t="shared" si="24"/>
        <v>9651.6666666666661</v>
      </c>
      <c r="AE409" s="4">
        <f t="shared" si="25"/>
        <v>-1930.3333333333339</v>
      </c>
    </row>
    <row r="410" spans="1:31" x14ac:dyDescent="0.25">
      <c r="A410" t="s">
        <v>0</v>
      </c>
      <c r="B410" s="3" t="s">
        <v>2219</v>
      </c>
      <c r="C410" t="s">
        <v>998</v>
      </c>
      <c r="D410" t="s">
        <v>160</v>
      </c>
      <c r="E410" t="s">
        <v>1074</v>
      </c>
      <c r="F410" s="1">
        <v>46060</v>
      </c>
      <c r="G410" s="1">
        <v>46063</v>
      </c>
      <c r="H410" t="s">
        <v>882</v>
      </c>
      <c r="I410" t="s">
        <v>5</v>
      </c>
      <c r="J410" t="s">
        <v>6</v>
      </c>
      <c r="K410" t="s">
        <v>4</v>
      </c>
      <c r="L410" t="s">
        <v>1075</v>
      </c>
      <c r="M410" t="s">
        <v>1075</v>
      </c>
      <c r="N410" s="2">
        <v>40010</v>
      </c>
      <c r="O410" t="s">
        <v>1001</v>
      </c>
      <c r="P410" t="s">
        <v>9</v>
      </c>
      <c r="Q410" t="s">
        <v>75</v>
      </c>
      <c r="R410" t="e">
        <f>VLOOKUP(Q410,#REF!,2,FALSE)</f>
        <v>#REF!</v>
      </c>
      <c r="S410">
        <v>1004</v>
      </c>
      <c r="T410" t="s">
        <v>2225</v>
      </c>
      <c r="U410" t="s">
        <v>1002</v>
      </c>
      <c r="V410" s="1">
        <v>46053</v>
      </c>
      <c r="W410" s="1">
        <v>46053</v>
      </c>
      <c r="X410" t="s">
        <v>77</v>
      </c>
      <c r="Y410" t="s">
        <v>646</v>
      </c>
      <c r="Z410" t="s">
        <v>6</v>
      </c>
      <c r="AA410" t="s">
        <v>646</v>
      </c>
      <c r="AB410" s="4">
        <f t="shared" si="23"/>
        <v>400100</v>
      </c>
      <c r="AC410" s="5" t="s">
        <v>2215</v>
      </c>
      <c r="AD410" s="4">
        <f t="shared" si="24"/>
        <v>33341.666666666664</v>
      </c>
      <c r="AE410" s="4">
        <f t="shared" si="25"/>
        <v>-6668.3333333333358</v>
      </c>
    </row>
    <row r="411" spans="1:31" x14ac:dyDescent="0.25">
      <c r="A411" t="s">
        <v>0</v>
      </c>
      <c r="B411" s="3" t="s">
        <v>2219</v>
      </c>
      <c r="C411" t="s">
        <v>998</v>
      </c>
      <c r="D411" t="s">
        <v>160</v>
      </c>
      <c r="E411" t="s">
        <v>1076</v>
      </c>
      <c r="F411" s="1">
        <v>46060</v>
      </c>
      <c r="G411" s="1">
        <v>46063</v>
      </c>
      <c r="H411" t="s">
        <v>882</v>
      </c>
      <c r="I411" t="s">
        <v>5</v>
      </c>
      <c r="J411" t="s">
        <v>6</v>
      </c>
      <c r="K411" t="s">
        <v>4</v>
      </c>
      <c r="L411" t="s">
        <v>1077</v>
      </c>
      <c r="M411" t="s">
        <v>1077</v>
      </c>
      <c r="N411" s="2">
        <v>72590</v>
      </c>
      <c r="O411" t="s">
        <v>1001</v>
      </c>
      <c r="P411" t="s">
        <v>9</v>
      </c>
      <c r="Q411" t="s">
        <v>75</v>
      </c>
      <c r="R411" t="e">
        <f>VLOOKUP(Q411,#REF!,2,FALSE)</f>
        <v>#REF!</v>
      </c>
      <c r="S411">
        <v>1004</v>
      </c>
      <c r="T411" t="s">
        <v>2225</v>
      </c>
      <c r="U411" t="s">
        <v>1002</v>
      </c>
      <c r="V411" s="1">
        <v>46053</v>
      </c>
      <c r="W411" s="1">
        <v>46053</v>
      </c>
      <c r="X411" t="s">
        <v>77</v>
      </c>
      <c r="Y411" t="s">
        <v>646</v>
      </c>
      <c r="Z411" t="s">
        <v>6</v>
      </c>
      <c r="AA411" t="s">
        <v>646</v>
      </c>
      <c r="AB411" s="4">
        <f t="shared" si="23"/>
        <v>725900</v>
      </c>
      <c r="AC411" s="5" t="s">
        <v>2215</v>
      </c>
      <c r="AD411" s="4">
        <f t="shared" si="24"/>
        <v>60491.666666666664</v>
      </c>
      <c r="AE411" s="4">
        <f t="shared" si="25"/>
        <v>-12098.333333333336</v>
      </c>
    </row>
    <row r="412" spans="1:31" x14ac:dyDescent="0.25">
      <c r="A412" t="s">
        <v>0</v>
      </c>
      <c r="B412" s="3" t="s">
        <v>2219</v>
      </c>
      <c r="C412" t="s">
        <v>998</v>
      </c>
      <c r="D412" t="s">
        <v>160</v>
      </c>
      <c r="E412" t="s">
        <v>1078</v>
      </c>
      <c r="F412" s="1">
        <v>46060</v>
      </c>
      <c r="G412" s="1">
        <v>46063</v>
      </c>
      <c r="H412" t="s">
        <v>882</v>
      </c>
      <c r="I412" t="s">
        <v>5</v>
      </c>
      <c r="J412" t="s">
        <v>6</v>
      </c>
      <c r="K412" t="s">
        <v>4</v>
      </c>
      <c r="L412" t="s">
        <v>1079</v>
      </c>
      <c r="M412" t="s">
        <v>1079</v>
      </c>
      <c r="N412" s="2">
        <v>49812</v>
      </c>
      <c r="O412" t="s">
        <v>1001</v>
      </c>
      <c r="P412" t="s">
        <v>9</v>
      </c>
      <c r="Q412" t="s">
        <v>75</v>
      </c>
      <c r="R412" t="e">
        <f>VLOOKUP(Q412,#REF!,2,FALSE)</f>
        <v>#REF!</v>
      </c>
      <c r="S412">
        <v>1004</v>
      </c>
      <c r="T412" t="s">
        <v>2225</v>
      </c>
      <c r="U412" t="s">
        <v>1002</v>
      </c>
      <c r="V412" s="1">
        <v>46053</v>
      </c>
      <c r="W412" s="1">
        <v>46053</v>
      </c>
      <c r="X412" t="s">
        <v>77</v>
      </c>
      <c r="Y412" t="s">
        <v>646</v>
      </c>
      <c r="Z412" t="s">
        <v>6</v>
      </c>
      <c r="AA412" t="s">
        <v>646</v>
      </c>
      <c r="AB412" s="4">
        <f t="shared" si="23"/>
        <v>498120</v>
      </c>
      <c r="AC412" s="5" t="s">
        <v>2215</v>
      </c>
      <c r="AD412" s="4">
        <f t="shared" si="24"/>
        <v>41510</v>
      </c>
      <c r="AE412" s="4">
        <f t="shared" si="25"/>
        <v>-8302</v>
      </c>
    </row>
    <row r="413" spans="1:31" x14ac:dyDescent="0.25">
      <c r="A413" t="s">
        <v>0</v>
      </c>
      <c r="B413" s="3" t="s">
        <v>2219</v>
      </c>
      <c r="C413" t="s">
        <v>998</v>
      </c>
      <c r="D413" t="s">
        <v>160</v>
      </c>
      <c r="E413" t="s">
        <v>1080</v>
      </c>
      <c r="F413" s="1">
        <v>46060</v>
      </c>
      <c r="G413" s="1">
        <v>46063</v>
      </c>
      <c r="H413" t="s">
        <v>882</v>
      </c>
      <c r="I413" t="s">
        <v>5</v>
      </c>
      <c r="J413" t="s">
        <v>6</v>
      </c>
      <c r="K413" t="s">
        <v>4</v>
      </c>
      <c r="L413" t="s">
        <v>1081</v>
      </c>
      <c r="M413" t="s">
        <v>1081</v>
      </c>
      <c r="N413" s="2">
        <v>74219</v>
      </c>
      <c r="O413" t="s">
        <v>1001</v>
      </c>
      <c r="P413" t="s">
        <v>9</v>
      </c>
      <c r="Q413" t="s">
        <v>75</v>
      </c>
      <c r="R413" t="e">
        <f>VLOOKUP(Q413,#REF!,2,FALSE)</f>
        <v>#REF!</v>
      </c>
      <c r="S413">
        <v>1004</v>
      </c>
      <c r="T413" t="s">
        <v>2225</v>
      </c>
      <c r="U413" t="s">
        <v>1002</v>
      </c>
      <c r="V413" s="1">
        <v>46053</v>
      </c>
      <c r="W413" s="1">
        <v>46053</v>
      </c>
      <c r="X413" t="s">
        <v>77</v>
      </c>
      <c r="Y413" t="s">
        <v>646</v>
      </c>
      <c r="Z413" t="s">
        <v>6</v>
      </c>
      <c r="AA413" t="s">
        <v>646</v>
      </c>
      <c r="AB413" s="4">
        <f t="shared" si="23"/>
        <v>742190</v>
      </c>
      <c r="AC413" s="5" t="s">
        <v>2215</v>
      </c>
      <c r="AD413" s="4">
        <f t="shared" si="24"/>
        <v>61849.166666666664</v>
      </c>
      <c r="AE413" s="4">
        <f t="shared" si="25"/>
        <v>-12369.833333333336</v>
      </c>
    </row>
    <row r="414" spans="1:31" x14ac:dyDescent="0.25">
      <c r="A414" t="s">
        <v>0</v>
      </c>
      <c r="B414" s="3" t="s">
        <v>2219</v>
      </c>
      <c r="C414" t="s">
        <v>998</v>
      </c>
      <c r="D414" t="s">
        <v>160</v>
      </c>
      <c r="E414" t="s">
        <v>1082</v>
      </c>
      <c r="F414" s="1">
        <v>46060</v>
      </c>
      <c r="G414" s="1">
        <v>46063</v>
      </c>
      <c r="H414" t="s">
        <v>901</v>
      </c>
      <c r="I414" t="s">
        <v>5</v>
      </c>
      <c r="J414" t="s">
        <v>6</v>
      </c>
      <c r="K414" t="s">
        <v>4</v>
      </c>
      <c r="L414" t="s">
        <v>1083</v>
      </c>
      <c r="M414" t="s">
        <v>1083</v>
      </c>
      <c r="N414" s="2">
        <v>15131</v>
      </c>
      <c r="O414" t="s">
        <v>1001</v>
      </c>
      <c r="P414" t="s">
        <v>9</v>
      </c>
      <c r="Q414" t="s">
        <v>82</v>
      </c>
      <c r="R414" t="e">
        <f>VLOOKUP(Q414,#REF!,2,FALSE)</f>
        <v>#REF!</v>
      </c>
      <c r="S414">
        <v>1004</v>
      </c>
      <c r="T414" t="s">
        <v>2225</v>
      </c>
      <c r="U414" t="s">
        <v>1002</v>
      </c>
      <c r="V414" s="1">
        <v>46053</v>
      </c>
      <c r="W414" s="1">
        <v>46053</v>
      </c>
      <c r="X414" t="s">
        <v>77</v>
      </c>
      <c r="Y414" t="s">
        <v>646</v>
      </c>
      <c r="Z414" t="s">
        <v>6</v>
      </c>
      <c r="AA414" t="s">
        <v>646</v>
      </c>
      <c r="AB414" s="4">
        <f>L414/0.08</f>
        <v>189137.5</v>
      </c>
      <c r="AC414" s="6">
        <v>0.1</v>
      </c>
      <c r="AD414" s="4">
        <f t="shared" ref="AD414:AD417" si="26">AB414*AC414</f>
        <v>18913.75</v>
      </c>
      <c r="AE414" s="4">
        <f t="shared" si="25"/>
        <v>3782.75</v>
      </c>
    </row>
    <row r="415" spans="1:31" x14ac:dyDescent="0.25">
      <c r="A415" t="s">
        <v>0</v>
      </c>
      <c r="B415" s="3" t="s">
        <v>2219</v>
      </c>
      <c r="C415" t="s">
        <v>998</v>
      </c>
      <c r="D415" t="s">
        <v>160</v>
      </c>
      <c r="E415" t="s">
        <v>1084</v>
      </c>
      <c r="F415" s="1">
        <v>46060</v>
      </c>
      <c r="G415" s="1">
        <v>46063</v>
      </c>
      <c r="H415" t="s">
        <v>901</v>
      </c>
      <c r="I415" t="s">
        <v>5</v>
      </c>
      <c r="J415" t="s">
        <v>6</v>
      </c>
      <c r="K415" t="s">
        <v>4</v>
      </c>
      <c r="L415" t="s">
        <v>1085</v>
      </c>
      <c r="M415" t="s">
        <v>1085</v>
      </c>
      <c r="N415" s="2">
        <v>18510</v>
      </c>
      <c r="O415" t="s">
        <v>1001</v>
      </c>
      <c r="P415" t="s">
        <v>9</v>
      </c>
      <c r="Q415" t="s">
        <v>82</v>
      </c>
      <c r="R415" t="e">
        <f>VLOOKUP(Q415,#REF!,2,FALSE)</f>
        <v>#REF!</v>
      </c>
      <c r="S415">
        <v>1004</v>
      </c>
      <c r="T415" t="s">
        <v>2225</v>
      </c>
      <c r="U415" t="s">
        <v>1002</v>
      </c>
      <c r="V415" s="1">
        <v>46053</v>
      </c>
      <c r="W415" s="1">
        <v>46053</v>
      </c>
      <c r="X415" t="s">
        <v>77</v>
      </c>
      <c r="Y415" t="s">
        <v>646</v>
      </c>
      <c r="Z415" t="s">
        <v>6</v>
      </c>
      <c r="AA415" t="s">
        <v>646</v>
      </c>
      <c r="AB415" s="4">
        <f>L415/0.08</f>
        <v>231375</v>
      </c>
      <c r="AC415" s="6">
        <v>0.1</v>
      </c>
      <c r="AD415" s="4">
        <f t="shared" si="26"/>
        <v>23137.5</v>
      </c>
      <c r="AE415" s="4">
        <f t="shared" si="25"/>
        <v>4627.5</v>
      </c>
    </row>
    <row r="416" spans="1:31" x14ac:dyDescent="0.25">
      <c r="A416" t="s">
        <v>0</v>
      </c>
      <c r="B416" s="3" t="s">
        <v>2219</v>
      </c>
      <c r="C416" t="s">
        <v>998</v>
      </c>
      <c r="D416" t="s">
        <v>160</v>
      </c>
      <c r="E416" t="s">
        <v>1086</v>
      </c>
      <c r="F416" s="1">
        <v>46060</v>
      </c>
      <c r="G416" s="1">
        <v>46063</v>
      </c>
      <c r="H416" t="s">
        <v>901</v>
      </c>
      <c r="I416" t="s">
        <v>5</v>
      </c>
      <c r="J416" t="s">
        <v>6</v>
      </c>
      <c r="K416" t="s">
        <v>4</v>
      </c>
      <c r="L416" t="s">
        <v>1087</v>
      </c>
      <c r="M416" t="s">
        <v>1087</v>
      </c>
      <c r="N416" s="2">
        <v>14188</v>
      </c>
      <c r="O416" t="s">
        <v>1001</v>
      </c>
      <c r="P416" t="s">
        <v>9</v>
      </c>
      <c r="Q416" t="s">
        <v>82</v>
      </c>
      <c r="R416" t="e">
        <f>VLOOKUP(Q416,#REF!,2,FALSE)</f>
        <v>#REF!</v>
      </c>
      <c r="S416">
        <v>1004</v>
      </c>
      <c r="T416" t="s">
        <v>2225</v>
      </c>
      <c r="U416" t="s">
        <v>1002</v>
      </c>
      <c r="V416" s="1">
        <v>46053</v>
      </c>
      <c r="W416" s="1">
        <v>46053</v>
      </c>
      <c r="X416" t="s">
        <v>77</v>
      </c>
      <c r="Y416" t="s">
        <v>646</v>
      </c>
      <c r="Z416" t="s">
        <v>6</v>
      </c>
      <c r="AA416" t="s">
        <v>646</v>
      </c>
      <c r="AB416" s="4">
        <f>L416/0.08</f>
        <v>177350</v>
      </c>
      <c r="AC416" s="6">
        <v>0.1</v>
      </c>
      <c r="AD416" s="4">
        <f t="shared" si="26"/>
        <v>17735</v>
      </c>
      <c r="AE416" s="4">
        <f t="shared" si="25"/>
        <v>3547</v>
      </c>
    </row>
    <row r="417" spans="1:31" x14ac:dyDescent="0.25">
      <c r="A417" t="s">
        <v>0</v>
      </c>
      <c r="B417" s="3" t="s">
        <v>2219</v>
      </c>
      <c r="C417" t="s">
        <v>998</v>
      </c>
      <c r="D417" t="s">
        <v>160</v>
      </c>
      <c r="E417" t="s">
        <v>1088</v>
      </c>
      <c r="F417" s="1">
        <v>46060</v>
      </c>
      <c r="G417" s="1">
        <v>46063</v>
      </c>
      <c r="H417" t="s">
        <v>901</v>
      </c>
      <c r="I417" t="s">
        <v>5</v>
      </c>
      <c r="J417" t="s">
        <v>6</v>
      </c>
      <c r="K417" t="s">
        <v>4</v>
      </c>
      <c r="L417" t="s">
        <v>1089</v>
      </c>
      <c r="M417" t="s">
        <v>1089</v>
      </c>
      <c r="N417" s="2">
        <v>17642</v>
      </c>
      <c r="O417" t="s">
        <v>1001</v>
      </c>
      <c r="P417" t="s">
        <v>9</v>
      </c>
      <c r="Q417" t="s">
        <v>82</v>
      </c>
      <c r="R417" t="e">
        <f>VLOOKUP(Q417,#REF!,2,FALSE)</f>
        <v>#REF!</v>
      </c>
      <c r="S417">
        <v>1004</v>
      </c>
      <c r="T417" t="s">
        <v>2225</v>
      </c>
      <c r="U417" t="s">
        <v>1002</v>
      </c>
      <c r="V417" s="1">
        <v>46053</v>
      </c>
      <c r="W417" s="1">
        <v>46053</v>
      </c>
      <c r="X417" t="s">
        <v>77</v>
      </c>
      <c r="Y417" t="s">
        <v>646</v>
      </c>
      <c r="Z417" t="s">
        <v>6</v>
      </c>
      <c r="AA417" t="s">
        <v>646</v>
      </c>
      <c r="AB417" s="4">
        <f>L417/0.08</f>
        <v>220525</v>
      </c>
      <c r="AC417" s="6">
        <v>0.1</v>
      </c>
      <c r="AD417" s="4">
        <f t="shared" si="26"/>
        <v>22052.5</v>
      </c>
      <c r="AE417" s="4">
        <f t="shared" si="25"/>
        <v>4410.5</v>
      </c>
    </row>
    <row r="418" spans="1:31" x14ac:dyDescent="0.25">
      <c r="A418" t="s">
        <v>0</v>
      </c>
      <c r="B418" s="3" t="s">
        <v>2219</v>
      </c>
      <c r="C418" t="s">
        <v>998</v>
      </c>
      <c r="D418" t="s">
        <v>160</v>
      </c>
      <c r="E418" t="s">
        <v>1090</v>
      </c>
      <c r="F418" s="1">
        <v>46060</v>
      </c>
      <c r="G418" s="1">
        <v>46063</v>
      </c>
      <c r="H418" t="s">
        <v>904</v>
      </c>
      <c r="I418" t="s">
        <v>5</v>
      </c>
      <c r="J418" t="s">
        <v>6</v>
      </c>
      <c r="K418" t="s">
        <v>4</v>
      </c>
      <c r="L418" t="s">
        <v>1091</v>
      </c>
      <c r="M418" t="s">
        <v>1091</v>
      </c>
      <c r="N418" s="2">
        <v>960</v>
      </c>
      <c r="O418" t="s">
        <v>1001</v>
      </c>
      <c r="P418" t="s">
        <v>9</v>
      </c>
      <c r="Q418" t="s">
        <v>86</v>
      </c>
      <c r="R418" t="e">
        <f>VLOOKUP(Q418,#REF!,2,FALSE)</f>
        <v>#REF!</v>
      </c>
      <c r="S418">
        <v>1004</v>
      </c>
      <c r="T418" t="s">
        <v>2225</v>
      </c>
      <c r="U418" t="s">
        <v>1002</v>
      </c>
      <c r="V418" s="1">
        <v>46053</v>
      </c>
      <c r="W418" s="1">
        <v>46053</v>
      </c>
      <c r="X418" t="s">
        <v>77</v>
      </c>
      <c r="Y418" t="s">
        <v>646</v>
      </c>
      <c r="Z418" t="s">
        <v>6</v>
      </c>
      <c r="AA418" t="s">
        <v>646</v>
      </c>
      <c r="AB418" s="4">
        <f t="shared" ref="AB418:AB458" si="27">L418/0.03</f>
        <v>32000</v>
      </c>
      <c r="AC418" s="6">
        <v>0.04</v>
      </c>
      <c r="AD418" s="4">
        <f t="shared" ref="AD418:AD458" si="28">AB418*AC418</f>
        <v>1280</v>
      </c>
      <c r="AE418" s="4">
        <f t="shared" si="25"/>
        <v>320</v>
      </c>
    </row>
    <row r="419" spans="1:31" x14ac:dyDescent="0.25">
      <c r="A419" t="s">
        <v>0</v>
      </c>
      <c r="B419" s="3" t="s">
        <v>2219</v>
      </c>
      <c r="C419" t="s">
        <v>998</v>
      </c>
      <c r="D419" t="s">
        <v>160</v>
      </c>
      <c r="E419" t="s">
        <v>1092</v>
      </c>
      <c r="F419" s="1">
        <v>46060</v>
      </c>
      <c r="G419" s="1">
        <v>46063</v>
      </c>
      <c r="H419" t="s">
        <v>904</v>
      </c>
      <c r="I419" t="s">
        <v>5</v>
      </c>
      <c r="J419" t="s">
        <v>6</v>
      </c>
      <c r="K419" t="s">
        <v>4</v>
      </c>
      <c r="L419" t="s">
        <v>1093</v>
      </c>
      <c r="M419" t="s">
        <v>1093</v>
      </c>
      <c r="N419" s="2">
        <v>1134</v>
      </c>
      <c r="O419" t="s">
        <v>1001</v>
      </c>
      <c r="P419" t="s">
        <v>9</v>
      </c>
      <c r="Q419" t="s">
        <v>86</v>
      </c>
      <c r="R419" t="e">
        <f>VLOOKUP(Q419,#REF!,2,FALSE)</f>
        <v>#REF!</v>
      </c>
      <c r="S419">
        <v>1004</v>
      </c>
      <c r="T419" t="s">
        <v>2225</v>
      </c>
      <c r="U419" t="s">
        <v>1002</v>
      </c>
      <c r="V419" s="1">
        <v>46053</v>
      </c>
      <c r="W419" s="1">
        <v>46053</v>
      </c>
      <c r="X419" t="s">
        <v>77</v>
      </c>
      <c r="Y419" t="s">
        <v>646</v>
      </c>
      <c r="Z419" t="s">
        <v>6</v>
      </c>
      <c r="AA419" t="s">
        <v>646</v>
      </c>
      <c r="AB419" s="4">
        <f t="shared" si="27"/>
        <v>37800</v>
      </c>
      <c r="AC419" s="6">
        <v>0.04</v>
      </c>
      <c r="AD419" s="4">
        <f t="shared" si="28"/>
        <v>1512</v>
      </c>
      <c r="AE419" s="4">
        <f t="shared" si="25"/>
        <v>378</v>
      </c>
    </row>
    <row r="420" spans="1:31" x14ac:dyDescent="0.25">
      <c r="A420" t="s">
        <v>0</v>
      </c>
      <c r="B420" s="3" t="s">
        <v>2219</v>
      </c>
      <c r="C420" t="s">
        <v>998</v>
      </c>
      <c r="D420" t="s">
        <v>160</v>
      </c>
      <c r="E420" t="s">
        <v>1094</v>
      </c>
      <c r="F420" s="1">
        <v>46060</v>
      </c>
      <c r="G420" s="1">
        <v>46063</v>
      </c>
      <c r="H420" t="s">
        <v>904</v>
      </c>
      <c r="I420" t="s">
        <v>5</v>
      </c>
      <c r="J420" t="s">
        <v>6</v>
      </c>
      <c r="K420" t="s">
        <v>4</v>
      </c>
      <c r="L420" t="s">
        <v>1095</v>
      </c>
      <c r="M420" t="s">
        <v>1095</v>
      </c>
      <c r="N420" s="2">
        <v>1020</v>
      </c>
      <c r="O420" t="s">
        <v>1001</v>
      </c>
      <c r="P420" t="s">
        <v>9</v>
      </c>
      <c r="Q420" t="s">
        <v>86</v>
      </c>
      <c r="R420" t="e">
        <f>VLOOKUP(Q420,#REF!,2,FALSE)</f>
        <v>#REF!</v>
      </c>
      <c r="S420">
        <v>1004</v>
      </c>
      <c r="T420" t="s">
        <v>2225</v>
      </c>
      <c r="U420" t="s">
        <v>1002</v>
      </c>
      <c r="V420" s="1">
        <v>46053</v>
      </c>
      <c r="W420" s="1">
        <v>46053</v>
      </c>
      <c r="X420" t="s">
        <v>77</v>
      </c>
      <c r="Y420" t="s">
        <v>646</v>
      </c>
      <c r="Z420" t="s">
        <v>6</v>
      </c>
      <c r="AA420" t="s">
        <v>646</v>
      </c>
      <c r="AB420" s="4">
        <f t="shared" si="27"/>
        <v>34000</v>
      </c>
      <c r="AC420" s="6">
        <v>0.04</v>
      </c>
      <c r="AD420" s="4">
        <f t="shared" si="28"/>
        <v>1360</v>
      </c>
      <c r="AE420" s="4">
        <f t="shared" si="25"/>
        <v>340</v>
      </c>
    </row>
    <row r="421" spans="1:31" x14ac:dyDescent="0.25">
      <c r="A421" t="s">
        <v>0</v>
      </c>
      <c r="B421" s="3" t="s">
        <v>2219</v>
      </c>
      <c r="C421" t="s">
        <v>998</v>
      </c>
      <c r="D421" t="s">
        <v>160</v>
      </c>
      <c r="E421" t="s">
        <v>1096</v>
      </c>
      <c r="F421" s="1">
        <v>46060</v>
      </c>
      <c r="G421" s="1">
        <v>46063</v>
      </c>
      <c r="H421" t="s">
        <v>904</v>
      </c>
      <c r="I421" t="s">
        <v>5</v>
      </c>
      <c r="J421" t="s">
        <v>6</v>
      </c>
      <c r="K421" t="s">
        <v>4</v>
      </c>
      <c r="L421" t="s">
        <v>1097</v>
      </c>
      <c r="M421" t="s">
        <v>1097</v>
      </c>
      <c r="N421" s="2">
        <v>714</v>
      </c>
      <c r="O421" t="s">
        <v>1001</v>
      </c>
      <c r="P421" t="s">
        <v>9</v>
      </c>
      <c r="Q421" t="s">
        <v>86</v>
      </c>
      <c r="R421" t="e">
        <f>VLOOKUP(Q421,#REF!,2,FALSE)</f>
        <v>#REF!</v>
      </c>
      <c r="S421">
        <v>1004</v>
      </c>
      <c r="T421" t="s">
        <v>2225</v>
      </c>
      <c r="U421" t="s">
        <v>1002</v>
      </c>
      <c r="V421" s="1">
        <v>46053</v>
      </c>
      <c r="W421" s="1">
        <v>46053</v>
      </c>
      <c r="X421" t="s">
        <v>77</v>
      </c>
      <c r="Y421" t="s">
        <v>646</v>
      </c>
      <c r="Z421" t="s">
        <v>6</v>
      </c>
      <c r="AA421" t="s">
        <v>646</v>
      </c>
      <c r="AB421" s="4">
        <f t="shared" si="27"/>
        <v>23800</v>
      </c>
      <c r="AC421" s="6">
        <v>0.04</v>
      </c>
      <c r="AD421" s="4">
        <f t="shared" si="28"/>
        <v>952</v>
      </c>
      <c r="AE421" s="4">
        <f t="shared" si="25"/>
        <v>238</v>
      </c>
    </row>
    <row r="422" spans="1:31" x14ac:dyDescent="0.25">
      <c r="A422" t="s">
        <v>0</v>
      </c>
      <c r="B422" s="3" t="s">
        <v>2219</v>
      </c>
      <c r="C422" t="s">
        <v>998</v>
      </c>
      <c r="D422" t="s">
        <v>160</v>
      </c>
      <c r="E422" t="s">
        <v>1098</v>
      </c>
      <c r="F422" s="1">
        <v>46060</v>
      </c>
      <c r="G422" s="1">
        <v>46063</v>
      </c>
      <c r="H422" t="s">
        <v>904</v>
      </c>
      <c r="I422" t="s">
        <v>5</v>
      </c>
      <c r="J422" t="s">
        <v>6</v>
      </c>
      <c r="K422" t="s">
        <v>4</v>
      </c>
      <c r="L422" t="s">
        <v>1099</v>
      </c>
      <c r="M422" t="s">
        <v>1099</v>
      </c>
      <c r="N422" s="2">
        <v>12071</v>
      </c>
      <c r="O422" t="s">
        <v>1001</v>
      </c>
      <c r="P422" t="s">
        <v>9</v>
      </c>
      <c r="Q422" t="s">
        <v>86</v>
      </c>
      <c r="R422" t="e">
        <f>VLOOKUP(Q422,#REF!,2,FALSE)</f>
        <v>#REF!</v>
      </c>
      <c r="S422">
        <v>1004</v>
      </c>
      <c r="T422" t="s">
        <v>2225</v>
      </c>
      <c r="U422" t="s">
        <v>1002</v>
      </c>
      <c r="V422" s="1">
        <v>46053</v>
      </c>
      <c r="W422" s="1">
        <v>46053</v>
      </c>
      <c r="X422" t="s">
        <v>77</v>
      </c>
      <c r="Y422" t="s">
        <v>646</v>
      </c>
      <c r="Z422" t="s">
        <v>6</v>
      </c>
      <c r="AA422" t="s">
        <v>646</v>
      </c>
      <c r="AB422" s="4">
        <f t="shared" si="27"/>
        <v>402366.66666666669</v>
      </c>
      <c r="AC422" s="6">
        <v>0.04</v>
      </c>
      <c r="AD422" s="4">
        <f t="shared" si="28"/>
        <v>16094.666666666668</v>
      </c>
      <c r="AE422" s="4">
        <f t="shared" si="25"/>
        <v>4023.6666666666679</v>
      </c>
    </row>
    <row r="423" spans="1:31" x14ac:dyDescent="0.25">
      <c r="A423" t="s">
        <v>0</v>
      </c>
      <c r="B423" s="3" t="s">
        <v>2219</v>
      </c>
      <c r="C423" t="s">
        <v>998</v>
      </c>
      <c r="D423" t="s">
        <v>160</v>
      </c>
      <c r="E423" t="s">
        <v>1100</v>
      </c>
      <c r="F423" s="1">
        <v>46060</v>
      </c>
      <c r="G423" s="1">
        <v>46063</v>
      </c>
      <c r="H423" t="s">
        <v>904</v>
      </c>
      <c r="I423" t="s">
        <v>5</v>
      </c>
      <c r="J423" t="s">
        <v>6</v>
      </c>
      <c r="K423" t="s">
        <v>4</v>
      </c>
      <c r="L423" t="s">
        <v>1101</v>
      </c>
      <c r="M423" t="s">
        <v>1101</v>
      </c>
      <c r="N423" s="2">
        <v>692</v>
      </c>
      <c r="O423" t="s">
        <v>1001</v>
      </c>
      <c r="P423" t="s">
        <v>9</v>
      </c>
      <c r="Q423" t="s">
        <v>86</v>
      </c>
      <c r="R423" t="e">
        <f>VLOOKUP(Q423,#REF!,2,FALSE)</f>
        <v>#REF!</v>
      </c>
      <c r="S423">
        <v>1004</v>
      </c>
      <c r="T423" t="s">
        <v>2225</v>
      </c>
      <c r="U423" t="s">
        <v>1002</v>
      </c>
      <c r="V423" s="1">
        <v>46053</v>
      </c>
      <c r="W423" s="1">
        <v>46053</v>
      </c>
      <c r="X423" t="s">
        <v>77</v>
      </c>
      <c r="Y423" t="s">
        <v>646</v>
      </c>
      <c r="Z423" t="s">
        <v>6</v>
      </c>
      <c r="AA423" t="s">
        <v>646</v>
      </c>
      <c r="AB423" s="4">
        <f t="shared" si="27"/>
        <v>23066.666666666668</v>
      </c>
      <c r="AC423" s="6">
        <v>0.04</v>
      </c>
      <c r="AD423" s="4">
        <f t="shared" si="28"/>
        <v>922.66666666666674</v>
      </c>
      <c r="AE423" s="4">
        <f t="shared" si="25"/>
        <v>230.66666666666674</v>
      </c>
    </row>
    <row r="424" spans="1:31" x14ac:dyDescent="0.25">
      <c r="A424" t="s">
        <v>0</v>
      </c>
      <c r="B424" s="3" t="s">
        <v>2219</v>
      </c>
      <c r="C424" t="s">
        <v>998</v>
      </c>
      <c r="D424" t="s">
        <v>160</v>
      </c>
      <c r="E424" t="s">
        <v>1102</v>
      </c>
      <c r="F424" s="1">
        <v>46060</v>
      </c>
      <c r="G424" s="1">
        <v>46063</v>
      </c>
      <c r="H424" t="s">
        <v>904</v>
      </c>
      <c r="I424" t="s">
        <v>5</v>
      </c>
      <c r="J424" t="s">
        <v>6</v>
      </c>
      <c r="K424" t="s">
        <v>4</v>
      </c>
      <c r="L424" t="s">
        <v>1103</v>
      </c>
      <c r="M424" t="s">
        <v>1103</v>
      </c>
      <c r="N424" s="2">
        <v>255</v>
      </c>
      <c r="O424" t="s">
        <v>1001</v>
      </c>
      <c r="P424" t="s">
        <v>9</v>
      </c>
      <c r="Q424" t="s">
        <v>86</v>
      </c>
      <c r="R424" t="e">
        <f>VLOOKUP(Q424,#REF!,2,FALSE)</f>
        <v>#REF!</v>
      </c>
      <c r="S424">
        <v>1004</v>
      </c>
      <c r="T424" t="s">
        <v>2225</v>
      </c>
      <c r="U424" t="s">
        <v>1002</v>
      </c>
      <c r="V424" s="1">
        <v>46053</v>
      </c>
      <c r="W424" s="1">
        <v>46053</v>
      </c>
      <c r="X424" t="s">
        <v>77</v>
      </c>
      <c r="Y424" t="s">
        <v>646</v>
      </c>
      <c r="Z424" t="s">
        <v>6</v>
      </c>
      <c r="AA424" t="s">
        <v>646</v>
      </c>
      <c r="AB424" s="4">
        <f t="shared" si="27"/>
        <v>8500</v>
      </c>
      <c r="AC424" s="6">
        <v>0.04</v>
      </c>
      <c r="AD424" s="4">
        <f t="shared" si="28"/>
        <v>340</v>
      </c>
      <c r="AE424" s="4">
        <f t="shared" si="25"/>
        <v>85</v>
      </c>
    </row>
    <row r="425" spans="1:31" x14ac:dyDescent="0.25">
      <c r="A425" t="s">
        <v>0</v>
      </c>
      <c r="B425" s="3" t="s">
        <v>2219</v>
      </c>
      <c r="C425" t="s">
        <v>998</v>
      </c>
      <c r="D425" t="s">
        <v>160</v>
      </c>
      <c r="E425" t="s">
        <v>1104</v>
      </c>
      <c r="F425" s="1">
        <v>46060</v>
      </c>
      <c r="G425" s="1">
        <v>46063</v>
      </c>
      <c r="H425" t="s">
        <v>904</v>
      </c>
      <c r="I425" t="s">
        <v>5</v>
      </c>
      <c r="J425" t="s">
        <v>6</v>
      </c>
      <c r="K425" t="s">
        <v>4</v>
      </c>
      <c r="L425" t="s">
        <v>1105</v>
      </c>
      <c r="M425" t="s">
        <v>1105</v>
      </c>
      <c r="N425" s="2">
        <v>687</v>
      </c>
      <c r="O425" t="s">
        <v>1001</v>
      </c>
      <c r="P425" t="s">
        <v>9</v>
      </c>
      <c r="Q425" t="s">
        <v>86</v>
      </c>
      <c r="R425" t="e">
        <f>VLOOKUP(Q425,#REF!,2,FALSE)</f>
        <v>#REF!</v>
      </c>
      <c r="S425">
        <v>1004</v>
      </c>
      <c r="T425" t="s">
        <v>2225</v>
      </c>
      <c r="U425" t="s">
        <v>1002</v>
      </c>
      <c r="V425" s="1">
        <v>46053</v>
      </c>
      <c r="W425" s="1">
        <v>46053</v>
      </c>
      <c r="X425" t="s">
        <v>77</v>
      </c>
      <c r="Y425" t="s">
        <v>646</v>
      </c>
      <c r="Z425" t="s">
        <v>6</v>
      </c>
      <c r="AA425" t="s">
        <v>646</v>
      </c>
      <c r="AB425" s="4">
        <f t="shared" si="27"/>
        <v>22900</v>
      </c>
      <c r="AC425" s="6">
        <v>0.04</v>
      </c>
      <c r="AD425" s="4">
        <f t="shared" si="28"/>
        <v>916</v>
      </c>
      <c r="AE425" s="4">
        <f t="shared" si="25"/>
        <v>229</v>
      </c>
    </row>
    <row r="426" spans="1:31" x14ac:dyDescent="0.25">
      <c r="A426" t="s">
        <v>0</v>
      </c>
      <c r="B426" s="3" t="s">
        <v>2219</v>
      </c>
      <c r="C426" t="s">
        <v>998</v>
      </c>
      <c r="D426" t="s">
        <v>160</v>
      </c>
      <c r="E426" t="s">
        <v>1106</v>
      </c>
      <c r="F426" s="1">
        <v>46060</v>
      </c>
      <c r="G426" s="1">
        <v>46063</v>
      </c>
      <c r="H426" t="s">
        <v>904</v>
      </c>
      <c r="I426" t="s">
        <v>5</v>
      </c>
      <c r="J426" t="s">
        <v>6</v>
      </c>
      <c r="K426" t="s">
        <v>4</v>
      </c>
      <c r="L426" t="s">
        <v>1107</v>
      </c>
      <c r="M426" t="s">
        <v>1107</v>
      </c>
      <c r="N426" s="2">
        <v>4942</v>
      </c>
      <c r="O426" t="s">
        <v>1001</v>
      </c>
      <c r="P426" t="s">
        <v>9</v>
      </c>
      <c r="Q426" t="s">
        <v>86</v>
      </c>
      <c r="R426" t="e">
        <f>VLOOKUP(Q426,#REF!,2,FALSE)</f>
        <v>#REF!</v>
      </c>
      <c r="S426">
        <v>1004</v>
      </c>
      <c r="T426" t="s">
        <v>2225</v>
      </c>
      <c r="U426" t="s">
        <v>1002</v>
      </c>
      <c r="V426" s="1">
        <v>46053</v>
      </c>
      <c r="W426" s="1">
        <v>46053</v>
      </c>
      <c r="X426" t="s">
        <v>77</v>
      </c>
      <c r="Y426" t="s">
        <v>646</v>
      </c>
      <c r="Z426" t="s">
        <v>6</v>
      </c>
      <c r="AA426" t="s">
        <v>646</v>
      </c>
      <c r="AB426" s="4">
        <f t="shared" si="27"/>
        <v>164733.33333333334</v>
      </c>
      <c r="AC426" s="6">
        <v>0.04</v>
      </c>
      <c r="AD426" s="4">
        <f t="shared" si="28"/>
        <v>6589.3333333333339</v>
      </c>
      <c r="AE426" s="4">
        <f t="shared" si="25"/>
        <v>1647.3333333333339</v>
      </c>
    </row>
    <row r="427" spans="1:31" x14ac:dyDescent="0.25">
      <c r="A427" t="s">
        <v>0</v>
      </c>
      <c r="B427" s="3" t="s">
        <v>2219</v>
      </c>
      <c r="C427" t="s">
        <v>998</v>
      </c>
      <c r="D427" t="s">
        <v>160</v>
      </c>
      <c r="E427" t="s">
        <v>1108</v>
      </c>
      <c r="F427" s="1">
        <v>46060</v>
      </c>
      <c r="G427" s="1">
        <v>46063</v>
      </c>
      <c r="H427" t="s">
        <v>904</v>
      </c>
      <c r="I427" t="s">
        <v>5</v>
      </c>
      <c r="J427" t="s">
        <v>6</v>
      </c>
      <c r="K427" t="s">
        <v>4</v>
      </c>
      <c r="L427" t="s">
        <v>1109</v>
      </c>
      <c r="M427" t="s">
        <v>1109</v>
      </c>
      <c r="N427" s="2">
        <v>2075</v>
      </c>
      <c r="O427" t="s">
        <v>1001</v>
      </c>
      <c r="P427" t="s">
        <v>9</v>
      </c>
      <c r="Q427" t="s">
        <v>86</v>
      </c>
      <c r="R427" t="e">
        <f>VLOOKUP(Q427,#REF!,2,FALSE)</f>
        <v>#REF!</v>
      </c>
      <c r="S427">
        <v>1004</v>
      </c>
      <c r="T427" t="s">
        <v>2225</v>
      </c>
      <c r="U427" t="s">
        <v>1002</v>
      </c>
      <c r="V427" s="1">
        <v>46053</v>
      </c>
      <c r="W427" s="1">
        <v>46053</v>
      </c>
      <c r="X427" t="s">
        <v>77</v>
      </c>
      <c r="Y427" t="s">
        <v>646</v>
      </c>
      <c r="Z427" t="s">
        <v>6</v>
      </c>
      <c r="AA427" t="s">
        <v>646</v>
      </c>
      <c r="AB427" s="4">
        <f t="shared" si="27"/>
        <v>69166.666666666672</v>
      </c>
      <c r="AC427" s="6">
        <v>0.04</v>
      </c>
      <c r="AD427" s="4">
        <f t="shared" si="28"/>
        <v>2766.666666666667</v>
      </c>
      <c r="AE427" s="4">
        <f t="shared" si="25"/>
        <v>691.66666666666697</v>
      </c>
    </row>
    <row r="428" spans="1:31" x14ac:dyDescent="0.25">
      <c r="A428" t="s">
        <v>0</v>
      </c>
      <c r="B428" s="3" t="s">
        <v>2219</v>
      </c>
      <c r="C428" t="s">
        <v>998</v>
      </c>
      <c r="D428" t="s">
        <v>160</v>
      </c>
      <c r="E428" t="s">
        <v>1110</v>
      </c>
      <c r="F428" s="1">
        <v>46060</v>
      </c>
      <c r="G428" s="1">
        <v>46063</v>
      </c>
      <c r="H428" t="s">
        <v>904</v>
      </c>
      <c r="I428" t="s">
        <v>5</v>
      </c>
      <c r="J428" t="s">
        <v>6</v>
      </c>
      <c r="K428" t="s">
        <v>4</v>
      </c>
      <c r="L428" t="s">
        <v>1111</v>
      </c>
      <c r="M428" t="s">
        <v>1111</v>
      </c>
      <c r="N428" s="2">
        <v>952</v>
      </c>
      <c r="O428" t="s">
        <v>1001</v>
      </c>
      <c r="P428" t="s">
        <v>9</v>
      </c>
      <c r="Q428" t="s">
        <v>86</v>
      </c>
      <c r="R428" t="e">
        <f>VLOOKUP(Q428,#REF!,2,FALSE)</f>
        <v>#REF!</v>
      </c>
      <c r="S428">
        <v>1004</v>
      </c>
      <c r="T428" t="s">
        <v>2225</v>
      </c>
      <c r="U428" t="s">
        <v>1002</v>
      </c>
      <c r="V428" s="1">
        <v>46053</v>
      </c>
      <c r="W428" s="1">
        <v>46053</v>
      </c>
      <c r="X428" t="s">
        <v>77</v>
      </c>
      <c r="Y428" t="s">
        <v>646</v>
      </c>
      <c r="Z428" t="s">
        <v>6</v>
      </c>
      <c r="AA428" t="s">
        <v>646</v>
      </c>
      <c r="AB428" s="4">
        <f t="shared" si="27"/>
        <v>31733.333333333336</v>
      </c>
      <c r="AC428" s="6">
        <v>0.04</v>
      </c>
      <c r="AD428" s="4">
        <f t="shared" si="28"/>
        <v>1269.3333333333335</v>
      </c>
      <c r="AE428" s="4">
        <f t="shared" si="25"/>
        <v>317.33333333333348</v>
      </c>
    </row>
    <row r="429" spans="1:31" x14ac:dyDescent="0.25">
      <c r="A429" t="s">
        <v>0</v>
      </c>
      <c r="B429" s="3" t="s">
        <v>2219</v>
      </c>
      <c r="C429" t="s">
        <v>998</v>
      </c>
      <c r="D429" t="s">
        <v>160</v>
      </c>
      <c r="E429" t="s">
        <v>1112</v>
      </c>
      <c r="F429" s="1">
        <v>46060</v>
      </c>
      <c r="G429" s="1">
        <v>46063</v>
      </c>
      <c r="H429" t="s">
        <v>904</v>
      </c>
      <c r="I429" t="s">
        <v>5</v>
      </c>
      <c r="J429" t="s">
        <v>6</v>
      </c>
      <c r="K429" t="s">
        <v>4</v>
      </c>
      <c r="L429" t="s">
        <v>1113</v>
      </c>
      <c r="M429" t="s">
        <v>1113</v>
      </c>
      <c r="N429" s="2">
        <v>913</v>
      </c>
      <c r="O429" t="s">
        <v>1001</v>
      </c>
      <c r="P429" t="s">
        <v>9</v>
      </c>
      <c r="Q429" t="s">
        <v>86</v>
      </c>
      <c r="R429" t="e">
        <f>VLOOKUP(Q429,#REF!,2,FALSE)</f>
        <v>#REF!</v>
      </c>
      <c r="S429">
        <v>1004</v>
      </c>
      <c r="T429" t="s">
        <v>2225</v>
      </c>
      <c r="U429" t="s">
        <v>1002</v>
      </c>
      <c r="V429" s="1">
        <v>46053</v>
      </c>
      <c r="W429" s="1">
        <v>46053</v>
      </c>
      <c r="X429" t="s">
        <v>77</v>
      </c>
      <c r="Y429" t="s">
        <v>646</v>
      </c>
      <c r="Z429" t="s">
        <v>6</v>
      </c>
      <c r="AA429" t="s">
        <v>646</v>
      </c>
      <c r="AB429" s="4">
        <f t="shared" si="27"/>
        <v>30433.333333333336</v>
      </c>
      <c r="AC429" s="6">
        <v>0.04</v>
      </c>
      <c r="AD429" s="4">
        <f t="shared" si="28"/>
        <v>1217.3333333333335</v>
      </c>
      <c r="AE429" s="4">
        <f t="shared" si="25"/>
        <v>304.33333333333348</v>
      </c>
    </row>
    <row r="430" spans="1:31" x14ac:dyDescent="0.25">
      <c r="A430" t="s">
        <v>0</v>
      </c>
      <c r="B430" s="3" t="s">
        <v>2219</v>
      </c>
      <c r="C430" t="s">
        <v>998</v>
      </c>
      <c r="D430" t="s">
        <v>160</v>
      </c>
      <c r="E430" t="s">
        <v>1114</v>
      </c>
      <c r="F430" s="1">
        <v>46060</v>
      </c>
      <c r="G430" s="1">
        <v>46063</v>
      </c>
      <c r="H430" t="s">
        <v>904</v>
      </c>
      <c r="I430" t="s">
        <v>5</v>
      </c>
      <c r="J430" t="s">
        <v>6</v>
      </c>
      <c r="K430" t="s">
        <v>4</v>
      </c>
      <c r="L430" t="s">
        <v>1115</v>
      </c>
      <c r="M430" t="s">
        <v>1115</v>
      </c>
      <c r="N430" s="2">
        <v>624</v>
      </c>
      <c r="O430" t="s">
        <v>1001</v>
      </c>
      <c r="P430" t="s">
        <v>9</v>
      </c>
      <c r="Q430" t="s">
        <v>86</v>
      </c>
      <c r="R430" t="e">
        <f>VLOOKUP(Q430,#REF!,2,FALSE)</f>
        <v>#REF!</v>
      </c>
      <c r="S430">
        <v>1004</v>
      </c>
      <c r="T430" t="s">
        <v>2225</v>
      </c>
      <c r="U430" t="s">
        <v>1002</v>
      </c>
      <c r="V430" s="1">
        <v>46053</v>
      </c>
      <c r="W430" s="1">
        <v>46053</v>
      </c>
      <c r="X430" t="s">
        <v>77</v>
      </c>
      <c r="Y430" t="s">
        <v>646</v>
      </c>
      <c r="Z430" t="s">
        <v>6</v>
      </c>
      <c r="AA430" t="s">
        <v>646</v>
      </c>
      <c r="AB430" s="4">
        <f t="shared" si="27"/>
        <v>20800</v>
      </c>
      <c r="AC430" s="6">
        <v>0.04</v>
      </c>
      <c r="AD430" s="4">
        <f t="shared" si="28"/>
        <v>832</v>
      </c>
      <c r="AE430" s="4">
        <f t="shared" si="25"/>
        <v>208</v>
      </c>
    </row>
    <row r="431" spans="1:31" x14ac:dyDescent="0.25">
      <c r="A431" t="s">
        <v>0</v>
      </c>
      <c r="B431" s="3" t="s">
        <v>2219</v>
      </c>
      <c r="C431" t="s">
        <v>998</v>
      </c>
      <c r="D431" t="s">
        <v>160</v>
      </c>
      <c r="E431" t="s">
        <v>1116</v>
      </c>
      <c r="F431" s="1">
        <v>46060</v>
      </c>
      <c r="G431" s="1">
        <v>46063</v>
      </c>
      <c r="H431" t="s">
        <v>904</v>
      </c>
      <c r="I431" t="s">
        <v>5</v>
      </c>
      <c r="J431" t="s">
        <v>6</v>
      </c>
      <c r="K431" t="s">
        <v>4</v>
      </c>
      <c r="L431" t="s">
        <v>1117</v>
      </c>
      <c r="M431" t="s">
        <v>1117</v>
      </c>
      <c r="N431" s="2">
        <v>523</v>
      </c>
      <c r="O431" t="s">
        <v>1001</v>
      </c>
      <c r="P431" t="s">
        <v>9</v>
      </c>
      <c r="Q431" t="s">
        <v>86</v>
      </c>
      <c r="R431" t="e">
        <f>VLOOKUP(Q431,#REF!,2,FALSE)</f>
        <v>#REF!</v>
      </c>
      <c r="S431">
        <v>1004</v>
      </c>
      <c r="T431" t="s">
        <v>2225</v>
      </c>
      <c r="U431" t="s">
        <v>1002</v>
      </c>
      <c r="V431" s="1">
        <v>46053</v>
      </c>
      <c r="W431" s="1">
        <v>46053</v>
      </c>
      <c r="X431" t="s">
        <v>77</v>
      </c>
      <c r="Y431" t="s">
        <v>646</v>
      </c>
      <c r="Z431" t="s">
        <v>6</v>
      </c>
      <c r="AA431" t="s">
        <v>646</v>
      </c>
      <c r="AB431" s="4">
        <f t="shared" si="27"/>
        <v>17433.333333333336</v>
      </c>
      <c r="AC431" s="6">
        <v>0.04</v>
      </c>
      <c r="AD431" s="4">
        <f t="shared" si="28"/>
        <v>697.33333333333348</v>
      </c>
      <c r="AE431" s="4">
        <f t="shared" si="25"/>
        <v>174.33333333333348</v>
      </c>
    </row>
    <row r="432" spans="1:31" x14ac:dyDescent="0.25">
      <c r="A432" t="s">
        <v>0</v>
      </c>
      <c r="B432" s="3" t="s">
        <v>2219</v>
      </c>
      <c r="C432" t="s">
        <v>998</v>
      </c>
      <c r="D432" t="s">
        <v>160</v>
      </c>
      <c r="E432" t="s">
        <v>1118</v>
      </c>
      <c r="F432" s="1">
        <v>46060</v>
      </c>
      <c r="G432" s="1">
        <v>46063</v>
      </c>
      <c r="H432" t="s">
        <v>904</v>
      </c>
      <c r="I432" t="s">
        <v>5</v>
      </c>
      <c r="J432" t="s">
        <v>6</v>
      </c>
      <c r="K432" t="s">
        <v>4</v>
      </c>
      <c r="L432" t="s">
        <v>1119</v>
      </c>
      <c r="M432" t="s">
        <v>1119</v>
      </c>
      <c r="N432" s="2">
        <v>863</v>
      </c>
      <c r="O432" t="s">
        <v>1001</v>
      </c>
      <c r="P432" t="s">
        <v>9</v>
      </c>
      <c r="Q432" t="s">
        <v>86</v>
      </c>
      <c r="R432" t="e">
        <f>VLOOKUP(Q432,#REF!,2,FALSE)</f>
        <v>#REF!</v>
      </c>
      <c r="S432">
        <v>1004</v>
      </c>
      <c r="T432" t="s">
        <v>2225</v>
      </c>
      <c r="U432" t="s">
        <v>1002</v>
      </c>
      <c r="V432" s="1">
        <v>46053</v>
      </c>
      <c r="W432" s="1">
        <v>46053</v>
      </c>
      <c r="X432" t="s">
        <v>77</v>
      </c>
      <c r="Y432" t="s">
        <v>646</v>
      </c>
      <c r="Z432" t="s">
        <v>6</v>
      </c>
      <c r="AA432" t="s">
        <v>646</v>
      </c>
      <c r="AB432" s="4">
        <f t="shared" si="27"/>
        <v>28766.666666666668</v>
      </c>
      <c r="AC432" s="6">
        <v>0.04</v>
      </c>
      <c r="AD432" s="4">
        <f t="shared" si="28"/>
        <v>1150.6666666666667</v>
      </c>
      <c r="AE432" s="4">
        <f t="shared" si="25"/>
        <v>287.66666666666674</v>
      </c>
    </row>
    <row r="433" spans="1:31" x14ac:dyDescent="0.25">
      <c r="A433" t="s">
        <v>0</v>
      </c>
      <c r="B433" s="3" t="s">
        <v>2219</v>
      </c>
      <c r="C433" t="s">
        <v>998</v>
      </c>
      <c r="D433" t="s">
        <v>160</v>
      </c>
      <c r="E433" t="s">
        <v>1120</v>
      </c>
      <c r="F433" s="1">
        <v>46060</v>
      </c>
      <c r="G433" s="1">
        <v>46063</v>
      </c>
      <c r="H433" t="s">
        <v>904</v>
      </c>
      <c r="I433" t="s">
        <v>5</v>
      </c>
      <c r="J433" t="s">
        <v>6</v>
      </c>
      <c r="K433" t="s">
        <v>4</v>
      </c>
      <c r="L433" t="s">
        <v>1121</v>
      </c>
      <c r="M433" t="s">
        <v>1121</v>
      </c>
      <c r="N433" s="2">
        <v>11132</v>
      </c>
      <c r="O433" t="s">
        <v>1001</v>
      </c>
      <c r="P433" t="s">
        <v>9</v>
      </c>
      <c r="Q433" t="s">
        <v>86</v>
      </c>
      <c r="R433" t="e">
        <f>VLOOKUP(Q433,#REF!,2,FALSE)</f>
        <v>#REF!</v>
      </c>
      <c r="S433">
        <v>1004</v>
      </c>
      <c r="T433" t="s">
        <v>2225</v>
      </c>
      <c r="U433" t="s">
        <v>1002</v>
      </c>
      <c r="V433" s="1">
        <v>46053</v>
      </c>
      <c r="W433" s="1">
        <v>46053</v>
      </c>
      <c r="X433" t="s">
        <v>77</v>
      </c>
      <c r="Y433" t="s">
        <v>646</v>
      </c>
      <c r="Z433" t="s">
        <v>6</v>
      </c>
      <c r="AA433" t="s">
        <v>646</v>
      </c>
      <c r="AB433" s="4">
        <f t="shared" si="27"/>
        <v>371066.66666666669</v>
      </c>
      <c r="AC433" s="6">
        <v>0.04</v>
      </c>
      <c r="AD433" s="4">
        <f t="shared" si="28"/>
        <v>14842.666666666668</v>
      </c>
      <c r="AE433" s="4">
        <f t="shared" si="25"/>
        <v>3710.6666666666679</v>
      </c>
    </row>
    <row r="434" spans="1:31" x14ac:dyDescent="0.25">
      <c r="A434" t="s">
        <v>0</v>
      </c>
      <c r="B434" s="3" t="s">
        <v>2219</v>
      </c>
      <c r="C434" t="s">
        <v>998</v>
      </c>
      <c r="D434" t="s">
        <v>160</v>
      </c>
      <c r="E434" t="s">
        <v>1122</v>
      </c>
      <c r="F434" s="1">
        <v>46060</v>
      </c>
      <c r="G434" s="1">
        <v>46063</v>
      </c>
      <c r="H434" t="s">
        <v>904</v>
      </c>
      <c r="I434" t="s">
        <v>5</v>
      </c>
      <c r="J434" t="s">
        <v>6</v>
      </c>
      <c r="K434" t="s">
        <v>4</v>
      </c>
      <c r="L434" t="s">
        <v>1123</v>
      </c>
      <c r="M434" t="s">
        <v>1123</v>
      </c>
      <c r="N434" s="2">
        <v>2381</v>
      </c>
      <c r="O434" t="s">
        <v>1001</v>
      </c>
      <c r="P434" t="s">
        <v>9</v>
      </c>
      <c r="Q434" t="s">
        <v>86</v>
      </c>
      <c r="R434" t="e">
        <f>VLOOKUP(Q434,#REF!,2,FALSE)</f>
        <v>#REF!</v>
      </c>
      <c r="S434">
        <v>1004</v>
      </c>
      <c r="T434" t="s">
        <v>2225</v>
      </c>
      <c r="U434" t="s">
        <v>1002</v>
      </c>
      <c r="V434" s="1">
        <v>46053</v>
      </c>
      <c r="W434" s="1">
        <v>46053</v>
      </c>
      <c r="X434" t="s">
        <v>77</v>
      </c>
      <c r="Y434" t="s">
        <v>646</v>
      </c>
      <c r="Z434" t="s">
        <v>6</v>
      </c>
      <c r="AA434" t="s">
        <v>646</v>
      </c>
      <c r="AB434" s="4">
        <f t="shared" si="27"/>
        <v>79366.666666666672</v>
      </c>
      <c r="AC434" s="6">
        <v>0.04</v>
      </c>
      <c r="AD434" s="4">
        <f t="shared" si="28"/>
        <v>3174.666666666667</v>
      </c>
      <c r="AE434" s="4">
        <f t="shared" si="25"/>
        <v>793.66666666666697</v>
      </c>
    </row>
    <row r="435" spans="1:31" x14ac:dyDescent="0.25">
      <c r="A435" t="s">
        <v>0</v>
      </c>
      <c r="B435" s="3" t="s">
        <v>2219</v>
      </c>
      <c r="C435" t="s">
        <v>998</v>
      </c>
      <c r="D435" t="s">
        <v>160</v>
      </c>
      <c r="E435" t="s">
        <v>1124</v>
      </c>
      <c r="F435" s="1">
        <v>46060</v>
      </c>
      <c r="G435" s="1">
        <v>46063</v>
      </c>
      <c r="H435" t="s">
        <v>904</v>
      </c>
      <c r="I435" t="s">
        <v>5</v>
      </c>
      <c r="J435" t="s">
        <v>6</v>
      </c>
      <c r="K435" t="s">
        <v>4</v>
      </c>
      <c r="L435" t="s">
        <v>1125</v>
      </c>
      <c r="M435" t="s">
        <v>1125</v>
      </c>
      <c r="N435" s="2">
        <v>2414</v>
      </c>
      <c r="O435" t="s">
        <v>1001</v>
      </c>
      <c r="P435" t="s">
        <v>9</v>
      </c>
      <c r="Q435" t="s">
        <v>86</v>
      </c>
      <c r="R435" t="e">
        <f>VLOOKUP(Q435,#REF!,2,FALSE)</f>
        <v>#REF!</v>
      </c>
      <c r="S435">
        <v>1004</v>
      </c>
      <c r="T435" t="s">
        <v>2225</v>
      </c>
      <c r="U435" t="s">
        <v>1002</v>
      </c>
      <c r="V435" s="1">
        <v>46053</v>
      </c>
      <c r="W435" s="1">
        <v>46053</v>
      </c>
      <c r="X435" t="s">
        <v>77</v>
      </c>
      <c r="Y435" t="s">
        <v>646</v>
      </c>
      <c r="Z435" t="s">
        <v>6</v>
      </c>
      <c r="AA435" t="s">
        <v>646</v>
      </c>
      <c r="AB435" s="4">
        <f t="shared" si="27"/>
        <v>80466.666666666672</v>
      </c>
      <c r="AC435" s="6">
        <v>0.04</v>
      </c>
      <c r="AD435" s="4">
        <f t="shared" si="28"/>
        <v>3218.666666666667</v>
      </c>
      <c r="AE435" s="4">
        <f t="shared" si="25"/>
        <v>804.66666666666697</v>
      </c>
    </row>
    <row r="436" spans="1:31" x14ac:dyDescent="0.25">
      <c r="A436" t="s">
        <v>0</v>
      </c>
      <c r="B436" s="3" t="s">
        <v>2219</v>
      </c>
      <c r="C436" t="s">
        <v>998</v>
      </c>
      <c r="D436" t="s">
        <v>160</v>
      </c>
      <c r="E436" t="s">
        <v>1126</v>
      </c>
      <c r="F436" s="1">
        <v>46060</v>
      </c>
      <c r="G436" s="1">
        <v>46063</v>
      </c>
      <c r="H436" t="s">
        <v>904</v>
      </c>
      <c r="I436" t="s">
        <v>5</v>
      </c>
      <c r="J436" t="s">
        <v>6</v>
      </c>
      <c r="K436" t="s">
        <v>4</v>
      </c>
      <c r="L436" t="s">
        <v>1127</v>
      </c>
      <c r="M436" t="s">
        <v>1127</v>
      </c>
      <c r="N436" s="2">
        <v>331</v>
      </c>
      <c r="O436" t="s">
        <v>1001</v>
      </c>
      <c r="P436" t="s">
        <v>9</v>
      </c>
      <c r="Q436" t="s">
        <v>86</v>
      </c>
      <c r="R436" t="e">
        <f>VLOOKUP(Q436,#REF!,2,FALSE)</f>
        <v>#REF!</v>
      </c>
      <c r="S436">
        <v>1004</v>
      </c>
      <c r="T436" t="s">
        <v>2225</v>
      </c>
      <c r="U436" t="s">
        <v>1002</v>
      </c>
      <c r="V436" s="1">
        <v>46053</v>
      </c>
      <c r="W436" s="1">
        <v>46053</v>
      </c>
      <c r="X436" t="s">
        <v>77</v>
      </c>
      <c r="Y436" t="s">
        <v>646</v>
      </c>
      <c r="Z436" t="s">
        <v>6</v>
      </c>
      <c r="AA436" t="s">
        <v>646</v>
      </c>
      <c r="AB436" s="4">
        <f t="shared" si="27"/>
        <v>11033.333333333334</v>
      </c>
      <c r="AC436" s="6">
        <v>0.04</v>
      </c>
      <c r="AD436" s="4">
        <f t="shared" si="28"/>
        <v>441.33333333333337</v>
      </c>
      <c r="AE436" s="4">
        <f t="shared" si="25"/>
        <v>110.33333333333337</v>
      </c>
    </row>
    <row r="437" spans="1:31" x14ac:dyDescent="0.25">
      <c r="A437" t="s">
        <v>0</v>
      </c>
      <c r="B437" s="3" t="s">
        <v>2219</v>
      </c>
      <c r="C437" t="s">
        <v>998</v>
      </c>
      <c r="D437" t="s">
        <v>160</v>
      </c>
      <c r="E437" t="s">
        <v>1128</v>
      </c>
      <c r="F437" s="1">
        <v>46060</v>
      </c>
      <c r="G437" s="1">
        <v>46063</v>
      </c>
      <c r="H437" t="s">
        <v>904</v>
      </c>
      <c r="I437" t="s">
        <v>5</v>
      </c>
      <c r="J437" t="s">
        <v>6</v>
      </c>
      <c r="K437" t="s">
        <v>4</v>
      </c>
      <c r="L437" t="s">
        <v>1129</v>
      </c>
      <c r="M437" t="s">
        <v>1129</v>
      </c>
      <c r="N437" s="2">
        <v>396</v>
      </c>
      <c r="O437" t="s">
        <v>1001</v>
      </c>
      <c r="P437" t="s">
        <v>9</v>
      </c>
      <c r="Q437" t="s">
        <v>86</v>
      </c>
      <c r="R437" t="e">
        <f>VLOOKUP(Q437,#REF!,2,FALSE)</f>
        <v>#REF!</v>
      </c>
      <c r="S437">
        <v>1004</v>
      </c>
      <c r="T437" t="s">
        <v>2225</v>
      </c>
      <c r="U437" t="s">
        <v>1002</v>
      </c>
      <c r="V437" s="1">
        <v>46053</v>
      </c>
      <c r="W437" s="1">
        <v>46053</v>
      </c>
      <c r="X437" t="s">
        <v>77</v>
      </c>
      <c r="Y437" t="s">
        <v>646</v>
      </c>
      <c r="Z437" t="s">
        <v>6</v>
      </c>
      <c r="AA437" t="s">
        <v>646</v>
      </c>
      <c r="AB437" s="4">
        <f t="shared" si="27"/>
        <v>13200</v>
      </c>
      <c r="AC437" s="6">
        <v>0.04</v>
      </c>
      <c r="AD437" s="4">
        <f t="shared" si="28"/>
        <v>528</v>
      </c>
      <c r="AE437" s="4">
        <f t="shared" si="25"/>
        <v>132</v>
      </c>
    </row>
    <row r="438" spans="1:31" x14ac:dyDescent="0.25">
      <c r="A438" t="s">
        <v>0</v>
      </c>
      <c r="B438" s="3" t="s">
        <v>2219</v>
      </c>
      <c r="C438" t="s">
        <v>998</v>
      </c>
      <c r="D438" t="s">
        <v>160</v>
      </c>
      <c r="E438" t="s">
        <v>1130</v>
      </c>
      <c r="F438" s="1">
        <v>46060</v>
      </c>
      <c r="G438" s="1">
        <v>46063</v>
      </c>
      <c r="H438" t="s">
        <v>904</v>
      </c>
      <c r="I438" t="s">
        <v>5</v>
      </c>
      <c r="J438" t="s">
        <v>6</v>
      </c>
      <c r="K438" t="s">
        <v>4</v>
      </c>
      <c r="L438" t="s">
        <v>1131</v>
      </c>
      <c r="M438" t="s">
        <v>1131</v>
      </c>
      <c r="N438" s="2">
        <v>1518</v>
      </c>
      <c r="O438" t="s">
        <v>1001</v>
      </c>
      <c r="P438" t="s">
        <v>9</v>
      </c>
      <c r="Q438" t="s">
        <v>86</v>
      </c>
      <c r="R438" t="e">
        <f>VLOOKUP(Q438,#REF!,2,FALSE)</f>
        <v>#REF!</v>
      </c>
      <c r="S438">
        <v>1004</v>
      </c>
      <c r="T438" t="s">
        <v>2225</v>
      </c>
      <c r="U438" t="s">
        <v>1002</v>
      </c>
      <c r="V438" s="1">
        <v>46053</v>
      </c>
      <c r="W438" s="1">
        <v>46053</v>
      </c>
      <c r="X438" t="s">
        <v>77</v>
      </c>
      <c r="Y438" t="s">
        <v>646</v>
      </c>
      <c r="Z438" t="s">
        <v>6</v>
      </c>
      <c r="AA438" t="s">
        <v>646</v>
      </c>
      <c r="AB438" s="4">
        <f t="shared" si="27"/>
        <v>50600</v>
      </c>
      <c r="AC438" s="6">
        <v>0.04</v>
      </c>
      <c r="AD438" s="4">
        <f t="shared" si="28"/>
        <v>2024</v>
      </c>
      <c r="AE438" s="4">
        <f t="shared" si="25"/>
        <v>506</v>
      </c>
    </row>
    <row r="439" spans="1:31" x14ac:dyDescent="0.25">
      <c r="A439" t="s">
        <v>0</v>
      </c>
      <c r="B439" s="3" t="s">
        <v>2219</v>
      </c>
      <c r="C439" t="s">
        <v>998</v>
      </c>
      <c r="D439" t="s">
        <v>160</v>
      </c>
      <c r="E439" t="s">
        <v>1132</v>
      </c>
      <c r="F439" s="1">
        <v>46060</v>
      </c>
      <c r="G439" s="1">
        <v>46063</v>
      </c>
      <c r="H439" t="s">
        <v>904</v>
      </c>
      <c r="I439" t="s">
        <v>5</v>
      </c>
      <c r="J439" t="s">
        <v>6</v>
      </c>
      <c r="K439" t="s">
        <v>4</v>
      </c>
      <c r="L439" t="s">
        <v>1133</v>
      </c>
      <c r="M439" t="s">
        <v>1133</v>
      </c>
      <c r="N439" s="2">
        <v>648</v>
      </c>
      <c r="O439" t="s">
        <v>1001</v>
      </c>
      <c r="P439" t="s">
        <v>9</v>
      </c>
      <c r="Q439" t="s">
        <v>86</v>
      </c>
      <c r="R439" t="e">
        <f>VLOOKUP(Q439,#REF!,2,FALSE)</f>
        <v>#REF!</v>
      </c>
      <c r="S439">
        <v>1004</v>
      </c>
      <c r="T439" t="s">
        <v>2225</v>
      </c>
      <c r="U439" t="s">
        <v>1002</v>
      </c>
      <c r="V439" s="1">
        <v>46053</v>
      </c>
      <c r="W439" s="1">
        <v>46053</v>
      </c>
      <c r="X439" t="s">
        <v>77</v>
      </c>
      <c r="Y439" t="s">
        <v>646</v>
      </c>
      <c r="Z439" t="s">
        <v>6</v>
      </c>
      <c r="AA439" t="s">
        <v>646</v>
      </c>
      <c r="AB439" s="4">
        <f t="shared" si="27"/>
        <v>21600</v>
      </c>
      <c r="AC439" s="6">
        <v>0.04</v>
      </c>
      <c r="AD439" s="4">
        <f t="shared" si="28"/>
        <v>864</v>
      </c>
      <c r="AE439" s="4">
        <f t="shared" si="25"/>
        <v>216</v>
      </c>
    </row>
    <row r="440" spans="1:31" x14ac:dyDescent="0.25">
      <c r="A440" t="s">
        <v>0</v>
      </c>
      <c r="B440" s="3" t="s">
        <v>2219</v>
      </c>
      <c r="C440" t="s">
        <v>998</v>
      </c>
      <c r="D440" t="s">
        <v>160</v>
      </c>
      <c r="E440" t="s">
        <v>1134</v>
      </c>
      <c r="F440" s="1">
        <v>46060</v>
      </c>
      <c r="G440" s="1">
        <v>46063</v>
      </c>
      <c r="H440" t="s">
        <v>904</v>
      </c>
      <c r="I440" t="s">
        <v>5</v>
      </c>
      <c r="J440" t="s">
        <v>6</v>
      </c>
      <c r="K440" t="s">
        <v>4</v>
      </c>
      <c r="L440" t="s">
        <v>1135</v>
      </c>
      <c r="M440" t="s">
        <v>1135</v>
      </c>
      <c r="N440" s="2">
        <v>1875</v>
      </c>
      <c r="O440" t="s">
        <v>1001</v>
      </c>
      <c r="P440" t="s">
        <v>9</v>
      </c>
      <c r="Q440" t="s">
        <v>86</v>
      </c>
      <c r="R440" t="e">
        <f>VLOOKUP(Q440,#REF!,2,FALSE)</f>
        <v>#REF!</v>
      </c>
      <c r="S440">
        <v>1004</v>
      </c>
      <c r="T440" t="s">
        <v>2225</v>
      </c>
      <c r="U440" t="s">
        <v>1002</v>
      </c>
      <c r="V440" s="1">
        <v>46053</v>
      </c>
      <c r="W440" s="1">
        <v>46053</v>
      </c>
      <c r="X440" t="s">
        <v>77</v>
      </c>
      <c r="Y440" t="s">
        <v>646</v>
      </c>
      <c r="Z440" t="s">
        <v>6</v>
      </c>
      <c r="AA440" t="s">
        <v>646</v>
      </c>
      <c r="AB440" s="4">
        <f t="shared" si="27"/>
        <v>62500</v>
      </c>
      <c r="AC440" s="6">
        <v>0.04</v>
      </c>
      <c r="AD440" s="4">
        <f t="shared" si="28"/>
        <v>2500</v>
      </c>
      <c r="AE440" s="4">
        <f t="shared" si="25"/>
        <v>625</v>
      </c>
    </row>
    <row r="441" spans="1:31" x14ac:dyDescent="0.25">
      <c r="A441" t="s">
        <v>0</v>
      </c>
      <c r="B441" s="3" t="s">
        <v>2219</v>
      </c>
      <c r="C441" t="s">
        <v>998</v>
      </c>
      <c r="D441" t="s">
        <v>160</v>
      </c>
      <c r="E441" t="s">
        <v>1136</v>
      </c>
      <c r="F441" s="1">
        <v>46060</v>
      </c>
      <c r="G441" s="1">
        <v>46063</v>
      </c>
      <c r="H441" t="s">
        <v>904</v>
      </c>
      <c r="I441" t="s">
        <v>5</v>
      </c>
      <c r="J441" t="s">
        <v>6</v>
      </c>
      <c r="K441" t="s">
        <v>4</v>
      </c>
      <c r="L441" t="s">
        <v>1137</v>
      </c>
      <c r="M441" t="s">
        <v>1137</v>
      </c>
      <c r="N441" s="2">
        <v>3605</v>
      </c>
      <c r="O441" t="s">
        <v>1001</v>
      </c>
      <c r="P441" t="s">
        <v>9</v>
      </c>
      <c r="Q441" t="s">
        <v>86</v>
      </c>
      <c r="R441" t="e">
        <f>VLOOKUP(Q441,#REF!,2,FALSE)</f>
        <v>#REF!</v>
      </c>
      <c r="S441">
        <v>1004</v>
      </c>
      <c r="T441" t="s">
        <v>2225</v>
      </c>
      <c r="U441" t="s">
        <v>1002</v>
      </c>
      <c r="V441" s="1">
        <v>46053</v>
      </c>
      <c r="W441" s="1">
        <v>46053</v>
      </c>
      <c r="X441" t="s">
        <v>77</v>
      </c>
      <c r="Y441" t="s">
        <v>646</v>
      </c>
      <c r="Z441" t="s">
        <v>6</v>
      </c>
      <c r="AA441" t="s">
        <v>646</v>
      </c>
      <c r="AB441" s="4">
        <f t="shared" si="27"/>
        <v>120166.66666666667</v>
      </c>
      <c r="AC441" s="6">
        <v>0.04</v>
      </c>
      <c r="AD441" s="4">
        <f t="shared" si="28"/>
        <v>4806.666666666667</v>
      </c>
      <c r="AE441" s="4">
        <f t="shared" si="25"/>
        <v>1201.666666666667</v>
      </c>
    </row>
    <row r="442" spans="1:31" x14ac:dyDescent="0.25">
      <c r="A442" t="s">
        <v>0</v>
      </c>
      <c r="B442" s="3" t="s">
        <v>2219</v>
      </c>
      <c r="C442" t="s">
        <v>998</v>
      </c>
      <c r="D442" t="s">
        <v>160</v>
      </c>
      <c r="E442" t="s">
        <v>1138</v>
      </c>
      <c r="F442" s="1">
        <v>46060</v>
      </c>
      <c r="G442" s="1">
        <v>46063</v>
      </c>
      <c r="H442" t="s">
        <v>904</v>
      </c>
      <c r="I442" t="s">
        <v>5</v>
      </c>
      <c r="J442" t="s">
        <v>6</v>
      </c>
      <c r="K442" t="s">
        <v>4</v>
      </c>
      <c r="L442" t="s">
        <v>1139</v>
      </c>
      <c r="M442" t="s">
        <v>1139</v>
      </c>
      <c r="N442" s="2">
        <v>2401</v>
      </c>
      <c r="O442" t="s">
        <v>1001</v>
      </c>
      <c r="P442" t="s">
        <v>9</v>
      </c>
      <c r="Q442" t="s">
        <v>86</v>
      </c>
      <c r="R442" t="e">
        <f>VLOOKUP(Q442,#REF!,2,FALSE)</f>
        <v>#REF!</v>
      </c>
      <c r="S442">
        <v>1004</v>
      </c>
      <c r="T442" t="s">
        <v>2225</v>
      </c>
      <c r="U442" t="s">
        <v>1002</v>
      </c>
      <c r="V442" s="1">
        <v>46053</v>
      </c>
      <c r="W442" s="1">
        <v>46053</v>
      </c>
      <c r="X442" t="s">
        <v>77</v>
      </c>
      <c r="Y442" t="s">
        <v>646</v>
      </c>
      <c r="Z442" t="s">
        <v>6</v>
      </c>
      <c r="AA442" t="s">
        <v>646</v>
      </c>
      <c r="AB442" s="4">
        <f t="shared" si="27"/>
        <v>80033.333333333343</v>
      </c>
      <c r="AC442" s="6">
        <v>0.04</v>
      </c>
      <c r="AD442" s="4">
        <f t="shared" si="28"/>
        <v>3201.3333333333339</v>
      </c>
      <c r="AE442" s="4">
        <f t="shared" si="25"/>
        <v>800.33333333333394</v>
      </c>
    </row>
    <row r="443" spans="1:31" x14ac:dyDescent="0.25">
      <c r="A443" t="s">
        <v>0</v>
      </c>
      <c r="B443" s="3" t="s">
        <v>2219</v>
      </c>
      <c r="C443" t="s">
        <v>998</v>
      </c>
      <c r="D443" t="s">
        <v>160</v>
      </c>
      <c r="E443" t="s">
        <v>1140</v>
      </c>
      <c r="F443" s="1">
        <v>46060</v>
      </c>
      <c r="G443" s="1">
        <v>46063</v>
      </c>
      <c r="H443" t="s">
        <v>904</v>
      </c>
      <c r="I443" t="s">
        <v>5</v>
      </c>
      <c r="J443" t="s">
        <v>6</v>
      </c>
      <c r="K443" t="s">
        <v>4</v>
      </c>
      <c r="L443" t="s">
        <v>1141</v>
      </c>
      <c r="M443" t="s">
        <v>1141</v>
      </c>
      <c r="N443" s="2">
        <v>24309</v>
      </c>
      <c r="O443" t="s">
        <v>1001</v>
      </c>
      <c r="P443" t="s">
        <v>9</v>
      </c>
      <c r="Q443" t="s">
        <v>86</v>
      </c>
      <c r="R443" t="e">
        <f>VLOOKUP(Q443,#REF!,2,FALSE)</f>
        <v>#REF!</v>
      </c>
      <c r="S443">
        <v>1004</v>
      </c>
      <c r="T443" t="s">
        <v>2225</v>
      </c>
      <c r="U443" t="s">
        <v>1002</v>
      </c>
      <c r="V443" s="1">
        <v>46053</v>
      </c>
      <c r="W443" s="1">
        <v>46053</v>
      </c>
      <c r="X443" t="s">
        <v>77</v>
      </c>
      <c r="Y443" t="s">
        <v>646</v>
      </c>
      <c r="Z443" t="s">
        <v>6</v>
      </c>
      <c r="AA443" t="s">
        <v>646</v>
      </c>
      <c r="AB443" s="4">
        <f t="shared" si="27"/>
        <v>810300</v>
      </c>
      <c r="AC443" s="6">
        <v>0.04</v>
      </c>
      <c r="AD443" s="4">
        <f t="shared" si="28"/>
        <v>32412</v>
      </c>
      <c r="AE443" s="4">
        <f t="shared" si="25"/>
        <v>8103</v>
      </c>
    </row>
    <row r="444" spans="1:31" x14ac:dyDescent="0.25">
      <c r="A444" t="s">
        <v>0</v>
      </c>
      <c r="B444" s="3" t="s">
        <v>2219</v>
      </c>
      <c r="C444" t="s">
        <v>998</v>
      </c>
      <c r="D444" t="s">
        <v>160</v>
      </c>
      <c r="E444" t="s">
        <v>1142</v>
      </c>
      <c r="F444" s="1">
        <v>46060</v>
      </c>
      <c r="G444" s="1">
        <v>46063</v>
      </c>
      <c r="H444" t="s">
        <v>904</v>
      </c>
      <c r="I444" t="s">
        <v>5</v>
      </c>
      <c r="J444" t="s">
        <v>6</v>
      </c>
      <c r="K444" t="s">
        <v>4</v>
      </c>
      <c r="L444" t="s">
        <v>1143</v>
      </c>
      <c r="M444" t="s">
        <v>1143</v>
      </c>
      <c r="N444" s="2">
        <v>5145</v>
      </c>
      <c r="O444" t="s">
        <v>1001</v>
      </c>
      <c r="P444" t="s">
        <v>9</v>
      </c>
      <c r="Q444" t="s">
        <v>86</v>
      </c>
      <c r="R444" t="e">
        <f>VLOOKUP(Q444,#REF!,2,FALSE)</f>
        <v>#REF!</v>
      </c>
      <c r="S444">
        <v>1004</v>
      </c>
      <c r="T444" t="s">
        <v>2225</v>
      </c>
      <c r="U444" t="s">
        <v>1002</v>
      </c>
      <c r="V444" s="1">
        <v>46053</v>
      </c>
      <c r="W444" s="1">
        <v>46053</v>
      </c>
      <c r="X444" t="s">
        <v>77</v>
      </c>
      <c r="Y444" t="s">
        <v>646</v>
      </c>
      <c r="Z444" t="s">
        <v>6</v>
      </c>
      <c r="AA444" t="s">
        <v>646</v>
      </c>
      <c r="AB444" s="4">
        <f t="shared" si="27"/>
        <v>171500</v>
      </c>
      <c r="AC444" s="6">
        <v>0.04</v>
      </c>
      <c r="AD444" s="4">
        <f t="shared" si="28"/>
        <v>6860</v>
      </c>
      <c r="AE444" s="4">
        <f t="shared" si="25"/>
        <v>1715</v>
      </c>
    </row>
    <row r="445" spans="1:31" x14ac:dyDescent="0.25">
      <c r="A445" t="s">
        <v>0</v>
      </c>
      <c r="B445" s="3" t="s">
        <v>2219</v>
      </c>
      <c r="C445" t="s">
        <v>998</v>
      </c>
      <c r="D445" t="s">
        <v>160</v>
      </c>
      <c r="E445" t="s">
        <v>1144</v>
      </c>
      <c r="F445" s="1">
        <v>46060</v>
      </c>
      <c r="G445" s="1">
        <v>46063</v>
      </c>
      <c r="H445" t="s">
        <v>904</v>
      </c>
      <c r="I445" t="s">
        <v>5</v>
      </c>
      <c r="J445" t="s">
        <v>6</v>
      </c>
      <c r="K445" t="s">
        <v>4</v>
      </c>
      <c r="L445" t="s">
        <v>1145</v>
      </c>
      <c r="M445" t="s">
        <v>1145</v>
      </c>
      <c r="N445" s="2">
        <v>3015</v>
      </c>
      <c r="O445" t="s">
        <v>1001</v>
      </c>
      <c r="P445" t="s">
        <v>9</v>
      </c>
      <c r="Q445" t="s">
        <v>86</v>
      </c>
      <c r="R445" t="e">
        <f>VLOOKUP(Q445,#REF!,2,FALSE)</f>
        <v>#REF!</v>
      </c>
      <c r="S445">
        <v>1004</v>
      </c>
      <c r="T445" t="s">
        <v>2225</v>
      </c>
      <c r="U445" t="s">
        <v>1002</v>
      </c>
      <c r="V445" s="1">
        <v>46053</v>
      </c>
      <c r="W445" s="1">
        <v>46053</v>
      </c>
      <c r="X445" t="s">
        <v>77</v>
      </c>
      <c r="Y445" t="s">
        <v>646</v>
      </c>
      <c r="Z445" t="s">
        <v>6</v>
      </c>
      <c r="AA445" t="s">
        <v>646</v>
      </c>
      <c r="AB445" s="4">
        <f t="shared" si="27"/>
        <v>100500</v>
      </c>
      <c r="AC445" s="6">
        <v>0.04</v>
      </c>
      <c r="AD445" s="4">
        <f t="shared" si="28"/>
        <v>4020</v>
      </c>
      <c r="AE445" s="4">
        <f t="shared" si="25"/>
        <v>1005</v>
      </c>
    </row>
    <row r="446" spans="1:31" x14ac:dyDescent="0.25">
      <c r="A446" t="s">
        <v>0</v>
      </c>
      <c r="B446" s="3" t="s">
        <v>2219</v>
      </c>
      <c r="C446" t="s">
        <v>998</v>
      </c>
      <c r="D446" t="s">
        <v>160</v>
      </c>
      <c r="E446" t="s">
        <v>1146</v>
      </c>
      <c r="F446" s="1">
        <v>46060</v>
      </c>
      <c r="G446" s="1">
        <v>46063</v>
      </c>
      <c r="H446" t="s">
        <v>904</v>
      </c>
      <c r="I446" t="s">
        <v>5</v>
      </c>
      <c r="J446" t="s">
        <v>6</v>
      </c>
      <c r="K446" t="s">
        <v>4</v>
      </c>
      <c r="L446" t="s">
        <v>1147</v>
      </c>
      <c r="M446" t="s">
        <v>1147</v>
      </c>
      <c r="N446" s="2">
        <v>364</v>
      </c>
      <c r="O446" t="s">
        <v>1001</v>
      </c>
      <c r="P446" t="s">
        <v>9</v>
      </c>
      <c r="Q446" t="s">
        <v>86</v>
      </c>
      <c r="R446" t="e">
        <f>VLOOKUP(Q446,#REF!,2,FALSE)</f>
        <v>#REF!</v>
      </c>
      <c r="S446">
        <v>1004</v>
      </c>
      <c r="T446" t="s">
        <v>2225</v>
      </c>
      <c r="U446" t="s">
        <v>1002</v>
      </c>
      <c r="V446" s="1">
        <v>46053</v>
      </c>
      <c r="W446" s="1">
        <v>46053</v>
      </c>
      <c r="X446" t="s">
        <v>77</v>
      </c>
      <c r="Y446" t="s">
        <v>646</v>
      </c>
      <c r="Z446" t="s">
        <v>6</v>
      </c>
      <c r="AA446" t="s">
        <v>646</v>
      </c>
      <c r="AB446" s="4">
        <f t="shared" si="27"/>
        <v>12133.333333333334</v>
      </c>
      <c r="AC446" s="6">
        <v>0.04</v>
      </c>
      <c r="AD446" s="4">
        <f t="shared" si="28"/>
        <v>485.33333333333337</v>
      </c>
      <c r="AE446" s="4">
        <f t="shared" si="25"/>
        <v>121.33333333333337</v>
      </c>
    </row>
    <row r="447" spans="1:31" x14ac:dyDescent="0.25">
      <c r="A447" t="s">
        <v>0</v>
      </c>
      <c r="B447" s="3" t="s">
        <v>2219</v>
      </c>
      <c r="C447" t="s">
        <v>998</v>
      </c>
      <c r="D447" t="s">
        <v>160</v>
      </c>
      <c r="E447" t="s">
        <v>1148</v>
      </c>
      <c r="F447" s="1">
        <v>46060</v>
      </c>
      <c r="G447" s="1">
        <v>46063</v>
      </c>
      <c r="H447" t="s">
        <v>904</v>
      </c>
      <c r="I447" t="s">
        <v>5</v>
      </c>
      <c r="J447" t="s">
        <v>6</v>
      </c>
      <c r="K447" t="s">
        <v>4</v>
      </c>
      <c r="L447" t="s">
        <v>1149</v>
      </c>
      <c r="M447" t="s">
        <v>1149</v>
      </c>
      <c r="N447" s="2">
        <v>1053</v>
      </c>
      <c r="O447" t="s">
        <v>1001</v>
      </c>
      <c r="P447" t="s">
        <v>9</v>
      </c>
      <c r="Q447" t="s">
        <v>86</v>
      </c>
      <c r="R447" t="e">
        <f>VLOOKUP(Q447,#REF!,2,FALSE)</f>
        <v>#REF!</v>
      </c>
      <c r="S447">
        <v>1004</v>
      </c>
      <c r="T447" t="s">
        <v>2225</v>
      </c>
      <c r="U447" t="s">
        <v>1002</v>
      </c>
      <c r="V447" s="1">
        <v>46053</v>
      </c>
      <c r="W447" s="1">
        <v>46053</v>
      </c>
      <c r="X447" t="s">
        <v>77</v>
      </c>
      <c r="Y447" t="s">
        <v>646</v>
      </c>
      <c r="Z447" t="s">
        <v>6</v>
      </c>
      <c r="AA447" t="s">
        <v>646</v>
      </c>
      <c r="AB447" s="4">
        <f t="shared" si="27"/>
        <v>35100</v>
      </c>
      <c r="AC447" s="6">
        <v>0.04</v>
      </c>
      <c r="AD447" s="4">
        <f t="shared" si="28"/>
        <v>1404</v>
      </c>
      <c r="AE447" s="4">
        <f t="shared" si="25"/>
        <v>351</v>
      </c>
    </row>
    <row r="448" spans="1:31" x14ac:dyDescent="0.25">
      <c r="A448" t="s">
        <v>0</v>
      </c>
      <c r="B448" s="3" t="s">
        <v>2219</v>
      </c>
      <c r="C448" t="s">
        <v>998</v>
      </c>
      <c r="D448" t="s">
        <v>160</v>
      </c>
      <c r="E448" t="s">
        <v>1150</v>
      </c>
      <c r="F448" s="1">
        <v>46060</v>
      </c>
      <c r="G448" s="1">
        <v>46063</v>
      </c>
      <c r="H448" t="s">
        <v>904</v>
      </c>
      <c r="I448" t="s">
        <v>5</v>
      </c>
      <c r="J448" t="s">
        <v>6</v>
      </c>
      <c r="K448" t="s">
        <v>4</v>
      </c>
      <c r="L448" t="s">
        <v>1151</v>
      </c>
      <c r="M448" t="s">
        <v>1151</v>
      </c>
      <c r="N448" s="2">
        <v>655</v>
      </c>
      <c r="O448" t="s">
        <v>1001</v>
      </c>
      <c r="P448" t="s">
        <v>9</v>
      </c>
      <c r="Q448" t="s">
        <v>86</v>
      </c>
      <c r="R448" t="e">
        <f>VLOOKUP(Q448,#REF!,2,FALSE)</f>
        <v>#REF!</v>
      </c>
      <c r="S448">
        <v>1004</v>
      </c>
      <c r="T448" t="s">
        <v>2225</v>
      </c>
      <c r="U448" t="s">
        <v>1002</v>
      </c>
      <c r="V448" s="1">
        <v>46053</v>
      </c>
      <c r="W448" s="1">
        <v>46053</v>
      </c>
      <c r="X448" t="s">
        <v>77</v>
      </c>
      <c r="Y448" t="s">
        <v>646</v>
      </c>
      <c r="Z448" t="s">
        <v>6</v>
      </c>
      <c r="AA448" t="s">
        <v>646</v>
      </c>
      <c r="AB448" s="4">
        <f t="shared" si="27"/>
        <v>21833.333333333336</v>
      </c>
      <c r="AC448" s="6">
        <v>0.04</v>
      </c>
      <c r="AD448" s="4">
        <f t="shared" si="28"/>
        <v>873.33333333333348</v>
      </c>
      <c r="AE448" s="4">
        <f t="shared" si="25"/>
        <v>218.33333333333348</v>
      </c>
    </row>
    <row r="449" spans="1:31" x14ac:dyDescent="0.25">
      <c r="A449" t="s">
        <v>0</v>
      </c>
      <c r="B449" s="3" t="s">
        <v>2219</v>
      </c>
      <c r="C449" t="s">
        <v>998</v>
      </c>
      <c r="D449" t="s">
        <v>160</v>
      </c>
      <c r="E449" t="s">
        <v>1152</v>
      </c>
      <c r="F449" s="1">
        <v>46060</v>
      </c>
      <c r="G449" s="1">
        <v>46063</v>
      </c>
      <c r="H449" t="s">
        <v>904</v>
      </c>
      <c r="I449" t="s">
        <v>5</v>
      </c>
      <c r="J449" t="s">
        <v>6</v>
      </c>
      <c r="K449" t="s">
        <v>4</v>
      </c>
      <c r="L449" t="s">
        <v>1153</v>
      </c>
      <c r="M449" t="s">
        <v>1153</v>
      </c>
      <c r="N449" s="2">
        <v>74</v>
      </c>
      <c r="O449" t="s">
        <v>1001</v>
      </c>
      <c r="P449" t="s">
        <v>9</v>
      </c>
      <c r="Q449" t="s">
        <v>86</v>
      </c>
      <c r="R449" t="e">
        <f>VLOOKUP(Q449,#REF!,2,FALSE)</f>
        <v>#REF!</v>
      </c>
      <c r="S449">
        <v>1004</v>
      </c>
      <c r="T449" t="s">
        <v>2225</v>
      </c>
      <c r="U449" t="s">
        <v>1002</v>
      </c>
      <c r="V449" s="1">
        <v>46053</v>
      </c>
      <c r="W449" s="1">
        <v>46053</v>
      </c>
      <c r="X449" t="s">
        <v>77</v>
      </c>
      <c r="Y449" t="s">
        <v>646</v>
      </c>
      <c r="Z449" t="s">
        <v>6</v>
      </c>
      <c r="AA449" t="s">
        <v>646</v>
      </c>
      <c r="AB449" s="4">
        <f t="shared" si="27"/>
        <v>2466.666666666667</v>
      </c>
      <c r="AC449" s="6">
        <v>0.04</v>
      </c>
      <c r="AD449" s="4">
        <f t="shared" si="28"/>
        <v>98.666666666666686</v>
      </c>
      <c r="AE449" s="4">
        <f t="shared" si="25"/>
        <v>24.666666666666686</v>
      </c>
    </row>
    <row r="450" spans="1:31" x14ac:dyDescent="0.25">
      <c r="A450" t="s">
        <v>0</v>
      </c>
      <c r="B450" s="3" t="s">
        <v>2219</v>
      </c>
      <c r="C450" t="s">
        <v>998</v>
      </c>
      <c r="D450" t="s">
        <v>160</v>
      </c>
      <c r="E450" t="s">
        <v>1154</v>
      </c>
      <c r="F450" s="1">
        <v>46060</v>
      </c>
      <c r="G450" s="1">
        <v>46063</v>
      </c>
      <c r="H450" t="s">
        <v>904</v>
      </c>
      <c r="I450" t="s">
        <v>5</v>
      </c>
      <c r="J450" t="s">
        <v>6</v>
      </c>
      <c r="K450" t="s">
        <v>4</v>
      </c>
      <c r="L450" t="s">
        <v>1155</v>
      </c>
      <c r="M450" t="s">
        <v>1155</v>
      </c>
      <c r="N450" s="2">
        <v>8034</v>
      </c>
      <c r="O450" t="s">
        <v>1001</v>
      </c>
      <c r="P450" t="s">
        <v>9</v>
      </c>
      <c r="Q450" t="s">
        <v>86</v>
      </c>
      <c r="R450" t="e">
        <f>VLOOKUP(Q450,#REF!,2,FALSE)</f>
        <v>#REF!</v>
      </c>
      <c r="S450">
        <v>1004</v>
      </c>
      <c r="T450" t="s">
        <v>2225</v>
      </c>
      <c r="U450" t="s">
        <v>1002</v>
      </c>
      <c r="V450" s="1">
        <v>46053</v>
      </c>
      <c r="W450" s="1">
        <v>46053</v>
      </c>
      <c r="X450" t="s">
        <v>77</v>
      </c>
      <c r="Y450" t="s">
        <v>646</v>
      </c>
      <c r="Z450" t="s">
        <v>6</v>
      </c>
      <c r="AA450" t="s">
        <v>646</v>
      </c>
      <c r="AB450" s="4">
        <f t="shared" si="27"/>
        <v>267800</v>
      </c>
      <c r="AC450" s="6">
        <v>0.04</v>
      </c>
      <c r="AD450" s="4">
        <f t="shared" si="28"/>
        <v>10712</v>
      </c>
      <c r="AE450" s="4">
        <f t="shared" ref="AE450:AE513" si="29">AD450-L450</f>
        <v>2678</v>
      </c>
    </row>
    <row r="451" spans="1:31" x14ac:dyDescent="0.25">
      <c r="A451" t="s">
        <v>0</v>
      </c>
      <c r="B451" s="3" t="s">
        <v>2219</v>
      </c>
      <c r="C451" t="s">
        <v>998</v>
      </c>
      <c r="D451" t="s">
        <v>160</v>
      </c>
      <c r="E451" t="s">
        <v>1156</v>
      </c>
      <c r="F451" s="1">
        <v>46060</v>
      </c>
      <c r="G451" s="1">
        <v>46063</v>
      </c>
      <c r="H451" t="s">
        <v>904</v>
      </c>
      <c r="I451" t="s">
        <v>5</v>
      </c>
      <c r="J451" t="s">
        <v>6</v>
      </c>
      <c r="K451" t="s">
        <v>4</v>
      </c>
      <c r="L451" t="s">
        <v>1157</v>
      </c>
      <c r="M451" t="s">
        <v>1157</v>
      </c>
      <c r="N451" s="2">
        <v>5247</v>
      </c>
      <c r="O451" t="s">
        <v>1001</v>
      </c>
      <c r="P451" t="s">
        <v>9</v>
      </c>
      <c r="Q451" t="s">
        <v>86</v>
      </c>
      <c r="R451" t="e">
        <f>VLOOKUP(Q451,#REF!,2,FALSE)</f>
        <v>#REF!</v>
      </c>
      <c r="S451">
        <v>1004</v>
      </c>
      <c r="T451" t="s">
        <v>2225</v>
      </c>
      <c r="U451" t="s">
        <v>1002</v>
      </c>
      <c r="V451" s="1">
        <v>46053</v>
      </c>
      <c r="W451" s="1">
        <v>46053</v>
      </c>
      <c r="X451" t="s">
        <v>77</v>
      </c>
      <c r="Y451" t="s">
        <v>646</v>
      </c>
      <c r="Z451" t="s">
        <v>6</v>
      </c>
      <c r="AA451" t="s">
        <v>646</v>
      </c>
      <c r="AB451" s="4">
        <f t="shared" si="27"/>
        <v>174900</v>
      </c>
      <c r="AC451" s="6">
        <v>0.04</v>
      </c>
      <c r="AD451" s="4">
        <f t="shared" si="28"/>
        <v>6996</v>
      </c>
      <c r="AE451" s="4">
        <f t="shared" si="29"/>
        <v>1749</v>
      </c>
    </row>
    <row r="452" spans="1:31" x14ac:dyDescent="0.25">
      <c r="A452" t="s">
        <v>0</v>
      </c>
      <c r="B452" s="3" t="s">
        <v>2219</v>
      </c>
      <c r="C452" t="s">
        <v>998</v>
      </c>
      <c r="D452" t="s">
        <v>160</v>
      </c>
      <c r="E452" t="s">
        <v>1158</v>
      </c>
      <c r="F452" s="1">
        <v>46060</v>
      </c>
      <c r="G452" s="1">
        <v>46063</v>
      </c>
      <c r="H452" t="s">
        <v>904</v>
      </c>
      <c r="I452" t="s">
        <v>5</v>
      </c>
      <c r="J452" t="s">
        <v>6</v>
      </c>
      <c r="K452" t="s">
        <v>4</v>
      </c>
      <c r="L452" t="s">
        <v>1159</v>
      </c>
      <c r="M452" t="s">
        <v>1159</v>
      </c>
      <c r="N452" s="2">
        <v>2472</v>
      </c>
      <c r="O452" t="s">
        <v>1001</v>
      </c>
      <c r="P452" t="s">
        <v>9</v>
      </c>
      <c r="Q452" t="s">
        <v>86</v>
      </c>
      <c r="R452" t="e">
        <f>VLOOKUP(Q452,#REF!,2,FALSE)</f>
        <v>#REF!</v>
      </c>
      <c r="S452">
        <v>1004</v>
      </c>
      <c r="T452" t="s">
        <v>2225</v>
      </c>
      <c r="U452" t="s">
        <v>1002</v>
      </c>
      <c r="V452" s="1">
        <v>46053</v>
      </c>
      <c r="W452" s="1">
        <v>46053</v>
      </c>
      <c r="X452" t="s">
        <v>77</v>
      </c>
      <c r="Y452" t="s">
        <v>646</v>
      </c>
      <c r="Z452" t="s">
        <v>6</v>
      </c>
      <c r="AA452" t="s">
        <v>646</v>
      </c>
      <c r="AB452" s="4">
        <f t="shared" si="27"/>
        <v>82400</v>
      </c>
      <c r="AC452" s="6">
        <v>0.04</v>
      </c>
      <c r="AD452" s="4">
        <f t="shared" si="28"/>
        <v>3296</v>
      </c>
      <c r="AE452" s="4">
        <f t="shared" si="29"/>
        <v>824</v>
      </c>
    </row>
    <row r="453" spans="1:31" x14ac:dyDescent="0.25">
      <c r="A453" t="s">
        <v>0</v>
      </c>
      <c r="B453" s="3" t="s">
        <v>2219</v>
      </c>
      <c r="C453" t="s">
        <v>998</v>
      </c>
      <c r="D453" t="s">
        <v>160</v>
      </c>
      <c r="E453" t="s">
        <v>1160</v>
      </c>
      <c r="F453" s="1">
        <v>46060</v>
      </c>
      <c r="G453" s="1">
        <v>46063</v>
      </c>
      <c r="H453" t="s">
        <v>904</v>
      </c>
      <c r="I453" t="s">
        <v>5</v>
      </c>
      <c r="J453" t="s">
        <v>6</v>
      </c>
      <c r="K453" t="s">
        <v>4</v>
      </c>
      <c r="L453" t="s">
        <v>1161</v>
      </c>
      <c r="M453" t="s">
        <v>1161</v>
      </c>
      <c r="N453" s="2">
        <v>1588</v>
      </c>
      <c r="O453" t="s">
        <v>1001</v>
      </c>
      <c r="P453" t="s">
        <v>9</v>
      </c>
      <c r="Q453" t="s">
        <v>86</v>
      </c>
      <c r="R453" t="e">
        <f>VLOOKUP(Q453,#REF!,2,FALSE)</f>
        <v>#REF!</v>
      </c>
      <c r="S453">
        <v>1004</v>
      </c>
      <c r="T453" t="s">
        <v>2225</v>
      </c>
      <c r="U453" t="s">
        <v>1002</v>
      </c>
      <c r="V453" s="1">
        <v>46053</v>
      </c>
      <c r="W453" s="1">
        <v>46053</v>
      </c>
      <c r="X453" t="s">
        <v>77</v>
      </c>
      <c r="Y453" t="s">
        <v>646</v>
      </c>
      <c r="Z453" t="s">
        <v>6</v>
      </c>
      <c r="AA453" t="s">
        <v>646</v>
      </c>
      <c r="AB453" s="4">
        <f t="shared" si="27"/>
        <v>52933.333333333336</v>
      </c>
      <c r="AC453" s="6">
        <v>0.04</v>
      </c>
      <c r="AD453" s="4">
        <f t="shared" si="28"/>
        <v>2117.3333333333335</v>
      </c>
      <c r="AE453" s="4">
        <f t="shared" si="29"/>
        <v>529.33333333333348</v>
      </c>
    </row>
    <row r="454" spans="1:31" x14ac:dyDescent="0.25">
      <c r="A454" t="s">
        <v>0</v>
      </c>
      <c r="B454" s="3" t="s">
        <v>2219</v>
      </c>
      <c r="C454" t="s">
        <v>998</v>
      </c>
      <c r="D454" t="s">
        <v>160</v>
      </c>
      <c r="E454" t="s">
        <v>1162</v>
      </c>
      <c r="F454" s="1">
        <v>46060</v>
      </c>
      <c r="G454" s="1">
        <v>46063</v>
      </c>
      <c r="H454" t="s">
        <v>904</v>
      </c>
      <c r="I454" t="s">
        <v>5</v>
      </c>
      <c r="J454" t="s">
        <v>6</v>
      </c>
      <c r="K454" t="s">
        <v>4</v>
      </c>
      <c r="L454" t="s">
        <v>1163</v>
      </c>
      <c r="M454" t="s">
        <v>1163</v>
      </c>
      <c r="N454" s="2">
        <v>463</v>
      </c>
      <c r="O454" t="s">
        <v>1001</v>
      </c>
      <c r="P454" t="s">
        <v>9</v>
      </c>
      <c r="Q454" t="s">
        <v>86</v>
      </c>
      <c r="R454" t="e">
        <f>VLOOKUP(Q454,#REF!,2,FALSE)</f>
        <v>#REF!</v>
      </c>
      <c r="S454">
        <v>1004</v>
      </c>
      <c r="T454" t="s">
        <v>2225</v>
      </c>
      <c r="U454" t="s">
        <v>1002</v>
      </c>
      <c r="V454" s="1">
        <v>46053</v>
      </c>
      <c r="W454" s="1">
        <v>46053</v>
      </c>
      <c r="X454" t="s">
        <v>77</v>
      </c>
      <c r="Y454" t="s">
        <v>646</v>
      </c>
      <c r="Z454" t="s">
        <v>6</v>
      </c>
      <c r="AA454" t="s">
        <v>646</v>
      </c>
      <c r="AB454" s="4">
        <f t="shared" si="27"/>
        <v>15433.333333333334</v>
      </c>
      <c r="AC454" s="6">
        <v>0.04</v>
      </c>
      <c r="AD454" s="4">
        <f t="shared" si="28"/>
        <v>617.33333333333337</v>
      </c>
      <c r="AE454" s="4">
        <f t="shared" si="29"/>
        <v>154.33333333333337</v>
      </c>
    </row>
    <row r="455" spans="1:31" x14ac:dyDescent="0.25">
      <c r="A455" t="s">
        <v>0</v>
      </c>
      <c r="B455" s="3" t="s">
        <v>2219</v>
      </c>
      <c r="C455" t="s">
        <v>998</v>
      </c>
      <c r="D455" t="s">
        <v>160</v>
      </c>
      <c r="E455" t="s">
        <v>1164</v>
      </c>
      <c r="F455" s="1">
        <v>46060</v>
      </c>
      <c r="G455" s="1">
        <v>46063</v>
      </c>
      <c r="H455" t="s">
        <v>904</v>
      </c>
      <c r="I455" t="s">
        <v>5</v>
      </c>
      <c r="J455" t="s">
        <v>6</v>
      </c>
      <c r="K455" t="s">
        <v>4</v>
      </c>
      <c r="L455" t="s">
        <v>1165</v>
      </c>
      <c r="M455" t="s">
        <v>1165</v>
      </c>
      <c r="N455" s="2">
        <v>1600</v>
      </c>
      <c r="O455" t="s">
        <v>1001</v>
      </c>
      <c r="P455" t="s">
        <v>9</v>
      </c>
      <c r="Q455" t="s">
        <v>86</v>
      </c>
      <c r="R455" t="e">
        <f>VLOOKUP(Q455,#REF!,2,FALSE)</f>
        <v>#REF!</v>
      </c>
      <c r="S455">
        <v>1004</v>
      </c>
      <c r="T455" t="s">
        <v>2225</v>
      </c>
      <c r="U455" t="s">
        <v>1002</v>
      </c>
      <c r="V455" s="1">
        <v>46053</v>
      </c>
      <c r="W455" s="1">
        <v>46053</v>
      </c>
      <c r="X455" t="s">
        <v>77</v>
      </c>
      <c r="Y455" t="s">
        <v>646</v>
      </c>
      <c r="Z455" t="s">
        <v>6</v>
      </c>
      <c r="AA455" t="s">
        <v>646</v>
      </c>
      <c r="AB455" s="4">
        <f t="shared" si="27"/>
        <v>53333.333333333336</v>
      </c>
      <c r="AC455" s="6">
        <v>0.04</v>
      </c>
      <c r="AD455" s="4">
        <f t="shared" si="28"/>
        <v>2133.3333333333335</v>
      </c>
      <c r="AE455" s="4">
        <f t="shared" si="29"/>
        <v>533.33333333333348</v>
      </c>
    </row>
    <row r="456" spans="1:31" x14ac:dyDescent="0.25">
      <c r="A456" t="s">
        <v>0</v>
      </c>
      <c r="B456" s="3" t="s">
        <v>2219</v>
      </c>
      <c r="C456" t="s">
        <v>998</v>
      </c>
      <c r="D456" t="s">
        <v>160</v>
      </c>
      <c r="E456" t="s">
        <v>1166</v>
      </c>
      <c r="F456" s="1">
        <v>46060</v>
      </c>
      <c r="G456" s="1">
        <v>46063</v>
      </c>
      <c r="H456" t="s">
        <v>904</v>
      </c>
      <c r="I456" t="s">
        <v>5</v>
      </c>
      <c r="J456" t="s">
        <v>6</v>
      </c>
      <c r="K456" t="s">
        <v>4</v>
      </c>
      <c r="L456" t="s">
        <v>1167</v>
      </c>
      <c r="M456" t="s">
        <v>1167</v>
      </c>
      <c r="N456" s="2">
        <v>2904</v>
      </c>
      <c r="O456" t="s">
        <v>1001</v>
      </c>
      <c r="P456" t="s">
        <v>9</v>
      </c>
      <c r="Q456" t="s">
        <v>86</v>
      </c>
      <c r="R456" t="e">
        <f>VLOOKUP(Q456,#REF!,2,FALSE)</f>
        <v>#REF!</v>
      </c>
      <c r="S456">
        <v>1004</v>
      </c>
      <c r="T456" t="s">
        <v>2225</v>
      </c>
      <c r="U456" t="s">
        <v>1002</v>
      </c>
      <c r="V456" s="1">
        <v>46053</v>
      </c>
      <c r="W456" s="1">
        <v>46053</v>
      </c>
      <c r="X456" t="s">
        <v>77</v>
      </c>
      <c r="Y456" t="s">
        <v>646</v>
      </c>
      <c r="Z456" t="s">
        <v>6</v>
      </c>
      <c r="AA456" t="s">
        <v>646</v>
      </c>
      <c r="AB456" s="4">
        <f t="shared" si="27"/>
        <v>96800</v>
      </c>
      <c r="AC456" s="6">
        <v>0.04</v>
      </c>
      <c r="AD456" s="4">
        <f t="shared" si="28"/>
        <v>3872</v>
      </c>
      <c r="AE456" s="4">
        <f t="shared" si="29"/>
        <v>968</v>
      </c>
    </row>
    <row r="457" spans="1:31" x14ac:dyDescent="0.25">
      <c r="A457" t="s">
        <v>0</v>
      </c>
      <c r="B457" s="3" t="s">
        <v>2219</v>
      </c>
      <c r="C457" t="s">
        <v>998</v>
      </c>
      <c r="D457" t="s">
        <v>160</v>
      </c>
      <c r="E457" t="s">
        <v>1168</v>
      </c>
      <c r="F457" s="1">
        <v>46060</v>
      </c>
      <c r="G457" s="1">
        <v>46063</v>
      </c>
      <c r="H457" t="s">
        <v>904</v>
      </c>
      <c r="I457" t="s">
        <v>5</v>
      </c>
      <c r="J457" t="s">
        <v>6</v>
      </c>
      <c r="K457" t="s">
        <v>4</v>
      </c>
      <c r="L457" t="s">
        <v>1169</v>
      </c>
      <c r="M457" t="s">
        <v>1169</v>
      </c>
      <c r="N457" s="2">
        <v>1992</v>
      </c>
      <c r="O457" t="s">
        <v>1001</v>
      </c>
      <c r="P457" t="s">
        <v>9</v>
      </c>
      <c r="Q457" t="s">
        <v>86</v>
      </c>
      <c r="R457" t="e">
        <f>VLOOKUP(Q457,#REF!,2,FALSE)</f>
        <v>#REF!</v>
      </c>
      <c r="S457">
        <v>1004</v>
      </c>
      <c r="T457" t="s">
        <v>2225</v>
      </c>
      <c r="U457" t="s">
        <v>1002</v>
      </c>
      <c r="V457" s="1">
        <v>46053</v>
      </c>
      <c r="W457" s="1">
        <v>46053</v>
      </c>
      <c r="X457" t="s">
        <v>77</v>
      </c>
      <c r="Y457" t="s">
        <v>646</v>
      </c>
      <c r="Z457" t="s">
        <v>6</v>
      </c>
      <c r="AA457" t="s">
        <v>646</v>
      </c>
      <c r="AB457" s="4">
        <f t="shared" si="27"/>
        <v>66400</v>
      </c>
      <c r="AC457" s="6">
        <v>0.04</v>
      </c>
      <c r="AD457" s="4">
        <f t="shared" si="28"/>
        <v>2656</v>
      </c>
      <c r="AE457" s="4">
        <f t="shared" si="29"/>
        <v>664</v>
      </c>
    </row>
    <row r="458" spans="1:31" x14ac:dyDescent="0.25">
      <c r="A458" t="s">
        <v>0</v>
      </c>
      <c r="B458" s="3" t="s">
        <v>2219</v>
      </c>
      <c r="C458" t="s">
        <v>998</v>
      </c>
      <c r="D458" t="s">
        <v>160</v>
      </c>
      <c r="E458" t="s">
        <v>1170</v>
      </c>
      <c r="F458" s="1">
        <v>46060</v>
      </c>
      <c r="G458" s="1">
        <v>46063</v>
      </c>
      <c r="H458" t="s">
        <v>904</v>
      </c>
      <c r="I458" t="s">
        <v>5</v>
      </c>
      <c r="J458" t="s">
        <v>6</v>
      </c>
      <c r="K458" t="s">
        <v>4</v>
      </c>
      <c r="L458" t="s">
        <v>1171</v>
      </c>
      <c r="M458" t="s">
        <v>1171</v>
      </c>
      <c r="N458" s="2">
        <v>2969</v>
      </c>
      <c r="O458" t="s">
        <v>1001</v>
      </c>
      <c r="P458" t="s">
        <v>9</v>
      </c>
      <c r="Q458" t="s">
        <v>86</v>
      </c>
      <c r="R458" t="e">
        <f>VLOOKUP(Q458,#REF!,2,FALSE)</f>
        <v>#REF!</v>
      </c>
      <c r="S458">
        <v>1004</v>
      </c>
      <c r="T458" t="s">
        <v>2225</v>
      </c>
      <c r="U458" t="s">
        <v>1002</v>
      </c>
      <c r="V458" s="1">
        <v>46053</v>
      </c>
      <c r="W458" s="1">
        <v>46053</v>
      </c>
      <c r="X458" t="s">
        <v>77</v>
      </c>
      <c r="Y458" t="s">
        <v>646</v>
      </c>
      <c r="Z458" t="s">
        <v>6</v>
      </c>
      <c r="AA458" t="s">
        <v>646</v>
      </c>
      <c r="AB458" s="4">
        <f t="shared" si="27"/>
        <v>98966.666666666672</v>
      </c>
      <c r="AC458" s="6">
        <v>0.04</v>
      </c>
      <c r="AD458" s="4">
        <f t="shared" si="28"/>
        <v>3958.666666666667</v>
      </c>
      <c r="AE458" s="4">
        <f t="shared" si="29"/>
        <v>989.66666666666697</v>
      </c>
    </row>
    <row r="459" spans="1:31" x14ac:dyDescent="0.25">
      <c r="A459" t="s">
        <v>0</v>
      </c>
      <c r="B459" s="3" t="s">
        <v>2219</v>
      </c>
      <c r="C459" t="s">
        <v>1172</v>
      </c>
      <c r="D459" t="s">
        <v>160</v>
      </c>
      <c r="E459" t="s">
        <v>1173</v>
      </c>
      <c r="F459" s="1">
        <v>46060</v>
      </c>
      <c r="G459" s="1">
        <v>46063</v>
      </c>
      <c r="H459" t="s">
        <v>882</v>
      </c>
      <c r="I459" t="s">
        <v>5</v>
      </c>
      <c r="J459" t="s">
        <v>6</v>
      </c>
      <c r="K459" t="s">
        <v>4</v>
      </c>
      <c r="L459" t="s">
        <v>1174</v>
      </c>
      <c r="M459" t="s">
        <v>1174</v>
      </c>
      <c r="N459" s="2">
        <v>26500</v>
      </c>
      <c r="O459" t="s">
        <v>1175</v>
      </c>
      <c r="P459" t="s">
        <v>9</v>
      </c>
      <c r="Q459" t="s">
        <v>75</v>
      </c>
      <c r="R459" t="e">
        <f>VLOOKUP(Q459,#REF!,2,FALSE)</f>
        <v>#REF!</v>
      </c>
      <c r="S459">
        <v>1511</v>
      </c>
      <c r="T459" t="s">
        <v>2224</v>
      </c>
      <c r="U459" t="s">
        <v>1176</v>
      </c>
      <c r="V459" s="1">
        <v>46053</v>
      </c>
      <c r="W459" s="1">
        <v>46053</v>
      </c>
      <c r="X459" t="s">
        <v>77</v>
      </c>
      <c r="Y459" t="s">
        <v>646</v>
      </c>
      <c r="Z459" t="s">
        <v>6</v>
      </c>
      <c r="AA459" t="s">
        <v>646</v>
      </c>
      <c r="AB459" s="4">
        <f t="shared" ref="AB459:AB478" si="30">L459/0.1</f>
        <v>265000</v>
      </c>
      <c r="AC459" s="5" t="s">
        <v>2215</v>
      </c>
      <c r="AD459" s="4">
        <f t="shared" ref="AD459:AD478" si="31">AB459/12</f>
        <v>22083.333333333332</v>
      </c>
      <c r="AE459" s="4">
        <f t="shared" si="29"/>
        <v>-4416.6666666666679</v>
      </c>
    </row>
    <row r="460" spans="1:31" x14ac:dyDescent="0.25">
      <c r="A460" t="s">
        <v>0</v>
      </c>
      <c r="B460" s="3" t="s">
        <v>2219</v>
      </c>
      <c r="C460" t="s">
        <v>1172</v>
      </c>
      <c r="D460" t="s">
        <v>160</v>
      </c>
      <c r="E460" t="s">
        <v>1177</v>
      </c>
      <c r="F460" s="1">
        <v>46060</v>
      </c>
      <c r="G460" s="1">
        <v>46063</v>
      </c>
      <c r="H460" t="s">
        <v>882</v>
      </c>
      <c r="I460" t="s">
        <v>5</v>
      </c>
      <c r="J460" t="s">
        <v>6</v>
      </c>
      <c r="K460" t="s">
        <v>4</v>
      </c>
      <c r="L460" t="s">
        <v>1178</v>
      </c>
      <c r="M460" t="s">
        <v>1178</v>
      </c>
      <c r="N460" s="2">
        <v>148737</v>
      </c>
      <c r="O460" t="s">
        <v>1175</v>
      </c>
      <c r="P460" t="s">
        <v>9</v>
      </c>
      <c r="Q460" t="s">
        <v>75</v>
      </c>
      <c r="R460" t="e">
        <f>VLOOKUP(Q460,#REF!,2,FALSE)</f>
        <v>#REF!</v>
      </c>
      <c r="S460">
        <v>1511</v>
      </c>
      <c r="T460" t="s">
        <v>2224</v>
      </c>
      <c r="U460" t="s">
        <v>1176</v>
      </c>
      <c r="V460" s="1">
        <v>46053</v>
      </c>
      <c r="W460" s="1">
        <v>46053</v>
      </c>
      <c r="X460" t="s">
        <v>77</v>
      </c>
      <c r="Y460" t="s">
        <v>646</v>
      </c>
      <c r="Z460" t="s">
        <v>6</v>
      </c>
      <c r="AA460" t="s">
        <v>646</v>
      </c>
      <c r="AB460" s="4">
        <f t="shared" si="30"/>
        <v>1487370</v>
      </c>
      <c r="AC460" s="5" t="s">
        <v>2215</v>
      </c>
      <c r="AD460" s="4">
        <f t="shared" si="31"/>
        <v>123947.5</v>
      </c>
      <c r="AE460" s="4">
        <f t="shared" si="29"/>
        <v>-24789.5</v>
      </c>
    </row>
    <row r="461" spans="1:31" x14ac:dyDescent="0.25">
      <c r="A461" t="s">
        <v>0</v>
      </c>
      <c r="B461" s="3" t="s">
        <v>2219</v>
      </c>
      <c r="C461" t="s">
        <v>1172</v>
      </c>
      <c r="D461" t="s">
        <v>160</v>
      </c>
      <c r="E461" t="s">
        <v>1179</v>
      </c>
      <c r="F461" s="1">
        <v>46060</v>
      </c>
      <c r="G461" s="1">
        <v>46063</v>
      </c>
      <c r="H461" t="s">
        <v>882</v>
      </c>
      <c r="I461" t="s">
        <v>5</v>
      </c>
      <c r="J461" t="s">
        <v>6</v>
      </c>
      <c r="K461" t="s">
        <v>4</v>
      </c>
      <c r="L461" t="s">
        <v>1180</v>
      </c>
      <c r="M461" t="s">
        <v>1180</v>
      </c>
      <c r="N461" s="2">
        <v>186920</v>
      </c>
      <c r="O461" t="s">
        <v>1175</v>
      </c>
      <c r="P461" t="s">
        <v>9</v>
      </c>
      <c r="Q461" t="s">
        <v>75</v>
      </c>
      <c r="R461" t="e">
        <f>VLOOKUP(Q461,#REF!,2,FALSE)</f>
        <v>#REF!</v>
      </c>
      <c r="S461">
        <v>1511</v>
      </c>
      <c r="T461" t="s">
        <v>2224</v>
      </c>
      <c r="U461" t="s">
        <v>1176</v>
      </c>
      <c r="V461" s="1">
        <v>46053</v>
      </c>
      <c r="W461" s="1">
        <v>46053</v>
      </c>
      <c r="X461" t="s">
        <v>77</v>
      </c>
      <c r="Y461" t="s">
        <v>646</v>
      </c>
      <c r="Z461" t="s">
        <v>6</v>
      </c>
      <c r="AA461" t="s">
        <v>646</v>
      </c>
      <c r="AB461" s="4">
        <f t="shared" si="30"/>
        <v>1869200</v>
      </c>
      <c r="AC461" s="5" t="s">
        <v>2215</v>
      </c>
      <c r="AD461" s="4">
        <f t="shared" si="31"/>
        <v>155766.66666666666</v>
      </c>
      <c r="AE461" s="4">
        <f t="shared" si="29"/>
        <v>-31153.333333333343</v>
      </c>
    </row>
    <row r="462" spans="1:31" x14ac:dyDescent="0.25">
      <c r="A462" t="s">
        <v>0</v>
      </c>
      <c r="B462" s="3" t="s">
        <v>2219</v>
      </c>
      <c r="C462" t="s">
        <v>1172</v>
      </c>
      <c r="D462" t="s">
        <v>160</v>
      </c>
      <c r="E462" t="s">
        <v>1181</v>
      </c>
      <c r="F462" s="1">
        <v>46060</v>
      </c>
      <c r="G462" s="1">
        <v>46063</v>
      </c>
      <c r="H462" t="s">
        <v>882</v>
      </c>
      <c r="I462" t="s">
        <v>5</v>
      </c>
      <c r="J462" t="s">
        <v>6</v>
      </c>
      <c r="K462" t="s">
        <v>4</v>
      </c>
      <c r="L462" t="s">
        <v>1182</v>
      </c>
      <c r="M462" t="s">
        <v>1182</v>
      </c>
      <c r="N462" s="2">
        <v>24070</v>
      </c>
      <c r="O462" t="s">
        <v>1175</v>
      </c>
      <c r="P462" t="s">
        <v>9</v>
      </c>
      <c r="Q462" t="s">
        <v>75</v>
      </c>
      <c r="R462" t="e">
        <f>VLOOKUP(Q462,#REF!,2,FALSE)</f>
        <v>#REF!</v>
      </c>
      <c r="S462">
        <v>1511</v>
      </c>
      <c r="T462" t="s">
        <v>2224</v>
      </c>
      <c r="U462" t="s">
        <v>1176</v>
      </c>
      <c r="V462" s="1">
        <v>46053</v>
      </c>
      <c r="W462" s="1">
        <v>46053</v>
      </c>
      <c r="X462" t="s">
        <v>77</v>
      </c>
      <c r="Y462" t="s">
        <v>646</v>
      </c>
      <c r="Z462" t="s">
        <v>6</v>
      </c>
      <c r="AA462" t="s">
        <v>646</v>
      </c>
      <c r="AB462" s="4">
        <f t="shared" si="30"/>
        <v>240700</v>
      </c>
      <c r="AC462" s="5" t="s">
        <v>2215</v>
      </c>
      <c r="AD462" s="4">
        <f t="shared" si="31"/>
        <v>20058.333333333332</v>
      </c>
      <c r="AE462" s="4">
        <f t="shared" si="29"/>
        <v>-4011.6666666666679</v>
      </c>
    </row>
    <row r="463" spans="1:31" x14ac:dyDescent="0.25">
      <c r="A463" t="s">
        <v>0</v>
      </c>
      <c r="B463" s="3" t="s">
        <v>2219</v>
      </c>
      <c r="C463" t="s">
        <v>1172</v>
      </c>
      <c r="D463" t="s">
        <v>160</v>
      </c>
      <c r="E463" t="s">
        <v>1183</v>
      </c>
      <c r="F463" s="1">
        <v>46060</v>
      </c>
      <c r="G463" s="1">
        <v>46063</v>
      </c>
      <c r="H463" t="s">
        <v>882</v>
      </c>
      <c r="I463" t="s">
        <v>5</v>
      </c>
      <c r="J463" t="s">
        <v>6</v>
      </c>
      <c r="K463" t="s">
        <v>4</v>
      </c>
      <c r="L463" t="s">
        <v>1184</v>
      </c>
      <c r="M463" t="s">
        <v>1184</v>
      </c>
      <c r="N463" s="2">
        <v>137787</v>
      </c>
      <c r="O463" t="s">
        <v>1175</v>
      </c>
      <c r="P463" t="s">
        <v>9</v>
      </c>
      <c r="Q463" t="s">
        <v>75</v>
      </c>
      <c r="R463" t="e">
        <f>VLOOKUP(Q463,#REF!,2,FALSE)</f>
        <v>#REF!</v>
      </c>
      <c r="S463">
        <v>1511</v>
      </c>
      <c r="T463" t="s">
        <v>2224</v>
      </c>
      <c r="U463" t="s">
        <v>1176</v>
      </c>
      <c r="V463" s="1">
        <v>46053</v>
      </c>
      <c r="W463" s="1">
        <v>46053</v>
      </c>
      <c r="X463" t="s">
        <v>77</v>
      </c>
      <c r="Y463" t="s">
        <v>646</v>
      </c>
      <c r="Z463" t="s">
        <v>6</v>
      </c>
      <c r="AA463" t="s">
        <v>646</v>
      </c>
      <c r="AB463" s="4">
        <f t="shared" si="30"/>
        <v>1377870</v>
      </c>
      <c r="AC463" s="5" t="s">
        <v>2215</v>
      </c>
      <c r="AD463" s="4">
        <f t="shared" si="31"/>
        <v>114822.5</v>
      </c>
      <c r="AE463" s="4">
        <f t="shared" si="29"/>
        <v>-22964.5</v>
      </c>
    </row>
    <row r="464" spans="1:31" x14ac:dyDescent="0.25">
      <c r="A464" t="s">
        <v>0</v>
      </c>
      <c r="B464" s="3" t="s">
        <v>2219</v>
      </c>
      <c r="C464" t="s">
        <v>1172</v>
      </c>
      <c r="D464" t="s">
        <v>160</v>
      </c>
      <c r="E464" t="s">
        <v>1185</v>
      </c>
      <c r="F464" s="1">
        <v>46060</v>
      </c>
      <c r="G464" s="1">
        <v>46063</v>
      </c>
      <c r="H464" t="s">
        <v>882</v>
      </c>
      <c r="I464" t="s">
        <v>5</v>
      </c>
      <c r="J464" t="s">
        <v>6</v>
      </c>
      <c r="K464" t="s">
        <v>4</v>
      </c>
      <c r="L464" t="s">
        <v>1186</v>
      </c>
      <c r="M464" t="s">
        <v>1186</v>
      </c>
      <c r="N464" s="2">
        <v>114273</v>
      </c>
      <c r="O464" t="s">
        <v>1175</v>
      </c>
      <c r="P464" t="s">
        <v>9</v>
      </c>
      <c r="Q464" t="s">
        <v>75</v>
      </c>
      <c r="R464" t="e">
        <f>VLOOKUP(Q464,#REF!,2,FALSE)</f>
        <v>#REF!</v>
      </c>
      <c r="S464">
        <v>1511</v>
      </c>
      <c r="T464" t="s">
        <v>2224</v>
      </c>
      <c r="U464" t="s">
        <v>1176</v>
      </c>
      <c r="V464" s="1">
        <v>46053</v>
      </c>
      <c r="W464" s="1">
        <v>46053</v>
      </c>
      <c r="X464" t="s">
        <v>77</v>
      </c>
      <c r="Y464" t="s">
        <v>646</v>
      </c>
      <c r="Z464" t="s">
        <v>6</v>
      </c>
      <c r="AA464" t="s">
        <v>646</v>
      </c>
      <c r="AB464" s="4">
        <f t="shared" si="30"/>
        <v>1142730</v>
      </c>
      <c r="AC464" s="5" t="s">
        <v>2215</v>
      </c>
      <c r="AD464" s="4">
        <f t="shared" si="31"/>
        <v>95227.5</v>
      </c>
      <c r="AE464" s="4">
        <f t="shared" si="29"/>
        <v>-19045.5</v>
      </c>
    </row>
    <row r="465" spans="1:31" x14ac:dyDescent="0.25">
      <c r="A465" t="s">
        <v>0</v>
      </c>
      <c r="B465" s="3" t="s">
        <v>2219</v>
      </c>
      <c r="C465" t="s">
        <v>1172</v>
      </c>
      <c r="D465" t="s">
        <v>160</v>
      </c>
      <c r="E465" t="s">
        <v>1187</v>
      </c>
      <c r="F465" s="1">
        <v>46060</v>
      </c>
      <c r="G465" s="1">
        <v>46063</v>
      </c>
      <c r="H465" t="s">
        <v>882</v>
      </c>
      <c r="I465" t="s">
        <v>5</v>
      </c>
      <c r="J465" t="s">
        <v>6</v>
      </c>
      <c r="K465" t="s">
        <v>4</v>
      </c>
      <c r="L465" t="s">
        <v>1188</v>
      </c>
      <c r="M465" t="s">
        <v>1188</v>
      </c>
      <c r="N465" s="2">
        <v>231724</v>
      </c>
      <c r="O465" t="s">
        <v>1175</v>
      </c>
      <c r="P465" t="s">
        <v>9</v>
      </c>
      <c r="Q465" t="s">
        <v>75</v>
      </c>
      <c r="R465" t="e">
        <f>VLOOKUP(Q465,#REF!,2,FALSE)</f>
        <v>#REF!</v>
      </c>
      <c r="S465">
        <v>1511</v>
      </c>
      <c r="T465" t="s">
        <v>2224</v>
      </c>
      <c r="U465" t="s">
        <v>1176</v>
      </c>
      <c r="V465" s="1">
        <v>46053</v>
      </c>
      <c r="W465" s="1">
        <v>46053</v>
      </c>
      <c r="X465" t="s">
        <v>77</v>
      </c>
      <c r="Y465" t="s">
        <v>646</v>
      </c>
      <c r="Z465" t="s">
        <v>6</v>
      </c>
      <c r="AA465" t="s">
        <v>646</v>
      </c>
      <c r="AB465" s="4">
        <f t="shared" si="30"/>
        <v>2317240</v>
      </c>
      <c r="AC465" s="5" t="s">
        <v>2215</v>
      </c>
      <c r="AD465" s="4">
        <f t="shared" si="31"/>
        <v>193103.33333333334</v>
      </c>
      <c r="AE465" s="4">
        <f t="shared" si="29"/>
        <v>-38620.666666666657</v>
      </c>
    </row>
    <row r="466" spans="1:31" x14ac:dyDescent="0.25">
      <c r="A466" t="s">
        <v>0</v>
      </c>
      <c r="B466" s="3" t="s">
        <v>2219</v>
      </c>
      <c r="C466" t="s">
        <v>1172</v>
      </c>
      <c r="D466" t="s">
        <v>160</v>
      </c>
      <c r="E466" t="s">
        <v>1189</v>
      </c>
      <c r="F466" s="1">
        <v>46060</v>
      </c>
      <c r="G466" s="1">
        <v>46063</v>
      </c>
      <c r="H466" t="s">
        <v>882</v>
      </c>
      <c r="I466" t="s">
        <v>5</v>
      </c>
      <c r="J466" t="s">
        <v>6</v>
      </c>
      <c r="K466" t="s">
        <v>4</v>
      </c>
      <c r="L466" t="s">
        <v>1190</v>
      </c>
      <c r="M466" t="s">
        <v>1190</v>
      </c>
      <c r="N466" s="2">
        <v>2775</v>
      </c>
      <c r="O466" t="s">
        <v>1175</v>
      </c>
      <c r="P466" t="s">
        <v>9</v>
      </c>
      <c r="Q466" t="s">
        <v>75</v>
      </c>
      <c r="R466" t="e">
        <f>VLOOKUP(Q466,#REF!,2,FALSE)</f>
        <v>#REF!</v>
      </c>
      <c r="S466">
        <v>1511</v>
      </c>
      <c r="T466" t="s">
        <v>2224</v>
      </c>
      <c r="U466" t="s">
        <v>1176</v>
      </c>
      <c r="V466" s="1">
        <v>46053</v>
      </c>
      <c r="W466" s="1">
        <v>46053</v>
      </c>
      <c r="X466" t="s">
        <v>77</v>
      </c>
      <c r="Y466" t="s">
        <v>646</v>
      </c>
      <c r="Z466" t="s">
        <v>6</v>
      </c>
      <c r="AA466" t="s">
        <v>646</v>
      </c>
      <c r="AB466" s="4">
        <f t="shared" si="30"/>
        <v>27750</v>
      </c>
      <c r="AC466" s="5" t="s">
        <v>2215</v>
      </c>
      <c r="AD466" s="4">
        <f t="shared" si="31"/>
        <v>2312.5</v>
      </c>
      <c r="AE466" s="4">
        <f t="shared" si="29"/>
        <v>-462.5</v>
      </c>
    </row>
    <row r="467" spans="1:31" x14ac:dyDescent="0.25">
      <c r="A467" t="s">
        <v>0</v>
      </c>
      <c r="B467" s="3" t="s">
        <v>2219</v>
      </c>
      <c r="C467" t="s">
        <v>1172</v>
      </c>
      <c r="D467" t="s">
        <v>160</v>
      </c>
      <c r="E467" t="s">
        <v>1191</v>
      </c>
      <c r="F467" s="1">
        <v>46060</v>
      </c>
      <c r="G467" s="1">
        <v>46063</v>
      </c>
      <c r="H467" t="s">
        <v>882</v>
      </c>
      <c r="I467" t="s">
        <v>5</v>
      </c>
      <c r="J467" t="s">
        <v>6</v>
      </c>
      <c r="K467" t="s">
        <v>4</v>
      </c>
      <c r="L467" t="s">
        <v>1192</v>
      </c>
      <c r="M467" t="s">
        <v>1192</v>
      </c>
      <c r="N467" s="2">
        <v>45189</v>
      </c>
      <c r="O467" t="s">
        <v>1175</v>
      </c>
      <c r="P467" t="s">
        <v>9</v>
      </c>
      <c r="Q467" t="s">
        <v>75</v>
      </c>
      <c r="R467" t="e">
        <f>VLOOKUP(Q467,#REF!,2,FALSE)</f>
        <v>#REF!</v>
      </c>
      <c r="S467">
        <v>1511</v>
      </c>
      <c r="T467" t="s">
        <v>2224</v>
      </c>
      <c r="U467" t="s">
        <v>1176</v>
      </c>
      <c r="V467" s="1">
        <v>46053</v>
      </c>
      <c r="W467" s="1">
        <v>46053</v>
      </c>
      <c r="X467" t="s">
        <v>77</v>
      </c>
      <c r="Y467" t="s">
        <v>646</v>
      </c>
      <c r="Z467" t="s">
        <v>6</v>
      </c>
      <c r="AA467" t="s">
        <v>646</v>
      </c>
      <c r="AB467" s="4">
        <f t="shared" si="30"/>
        <v>451890</v>
      </c>
      <c r="AC467" s="5" t="s">
        <v>2215</v>
      </c>
      <c r="AD467" s="4">
        <f t="shared" si="31"/>
        <v>37657.5</v>
      </c>
      <c r="AE467" s="4">
        <f t="shared" si="29"/>
        <v>-7531.5</v>
      </c>
    </row>
    <row r="468" spans="1:31" x14ac:dyDescent="0.25">
      <c r="A468" t="s">
        <v>0</v>
      </c>
      <c r="B468" s="3" t="s">
        <v>2219</v>
      </c>
      <c r="C468" t="s">
        <v>1172</v>
      </c>
      <c r="D468" t="s">
        <v>160</v>
      </c>
      <c r="E468" t="s">
        <v>1193</v>
      </c>
      <c r="F468" s="1">
        <v>46060</v>
      </c>
      <c r="G468" s="1">
        <v>46063</v>
      </c>
      <c r="H468" t="s">
        <v>882</v>
      </c>
      <c r="I468" t="s">
        <v>5</v>
      </c>
      <c r="J468" t="s">
        <v>6</v>
      </c>
      <c r="K468" t="s">
        <v>4</v>
      </c>
      <c r="L468" t="s">
        <v>1194</v>
      </c>
      <c r="M468" t="s">
        <v>1194</v>
      </c>
      <c r="N468" s="2">
        <v>57763</v>
      </c>
      <c r="O468" t="s">
        <v>1175</v>
      </c>
      <c r="P468" t="s">
        <v>9</v>
      </c>
      <c r="Q468" t="s">
        <v>75</v>
      </c>
      <c r="R468" t="e">
        <f>VLOOKUP(Q468,#REF!,2,FALSE)</f>
        <v>#REF!</v>
      </c>
      <c r="S468">
        <v>1511</v>
      </c>
      <c r="T468" t="s">
        <v>2224</v>
      </c>
      <c r="U468" t="s">
        <v>1176</v>
      </c>
      <c r="V468" s="1">
        <v>46053</v>
      </c>
      <c r="W468" s="1">
        <v>46053</v>
      </c>
      <c r="X468" t="s">
        <v>77</v>
      </c>
      <c r="Y468" t="s">
        <v>646</v>
      </c>
      <c r="Z468" t="s">
        <v>6</v>
      </c>
      <c r="AA468" t="s">
        <v>646</v>
      </c>
      <c r="AB468" s="4">
        <f t="shared" si="30"/>
        <v>577630</v>
      </c>
      <c r="AC468" s="5" t="s">
        <v>2215</v>
      </c>
      <c r="AD468" s="4">
        <f t="shared" si="31"/>
        <v>48135.833333333336</v>
      </c>
      <c r="AE468" s="4">
        <f t="shared" si="29"/>
        <v>-9627.1666666666642</v>
      </c>
    </row>
    <row r="469" spans="1:31" x14ac:dyDescent="0.25">
      <c r="A469" t="s">
        <v>0</v>
      </c>
      <c r="B469" s="3" t="s">
        <v>2219</v>
      </c>
      <c r="C469" t="s">
        <v>1172</v>
      </c>
      <c r="D469" t="s">
        <v>160</v>
      </c>
      <c r="E469" t="s">
        <v>1195</v>
      </c>
      <c r="F469" s="1">
        <v>46060</v>
      </c>
      <c r="G469" s="1">
        <v>46063</v>
      </c>
      <c r="H469" t="s">
        <v>882</v>
      </c>
      <c r="I469" t="s">
        <v>5</v>
      </c>
      <c r="J469" t="s">
        <v>6</v>
      </c>
      <c r="K469" t="s">
        <v>4</v>
      </c>
      <c r="L469" t="s">
        <v>1196</v>
      </c>
      <c r="M469" t="s">
        <v>1196</v>
      </c>
      <c r="N469" s="2">
        <v>105369</v>
      </c>
      <c r="O469" t="s">
        <v>1175</v>
      </c>
      <c r="P469" t="s">
        <v>9</v>
      </c>
      <c r="Q469" t="s">
        <v>75</v>
      </c>
      <c r="R469" t="e">
        <f>VLOOKUP(Q469,#REF!,2,FALSE)</f>
        <v>#REF!</v>
      </c>
      <c r="S469">
        <v>1511</v>
      </c>
      <c r="T469" t="s">
        <v>2224</v>
      </c>
      <c r="U469" t="s">
        <v>1176</v>
      </c>
      <c r="V469" s="1">
        <v>46053</v>
      </c>
      <c r="W469" s="1">
        <v>46053</v>
      </c>
      <c r="X469" t="s">
        <v>77</v>
      </c>
      <c r="Y469" t="s">
        <v>646</v>
      </c>
      <c r="Z469" t="s">
        <v>6</v>
      </c>
      <c r="AA469" t="s">
        <v>646</v>
      </c>
      <c r="AB469" s="4">
        <f t="shared" si="30"/>
        <v>1053690</v>
      </c>
      <c r="AC469" s="5" t="s">
        <v>2215</v>
      </c>
      <c r="AD469" s="4">
        <f t="shared" si="31"/>
        <v>87807.5</v>
      </c>
      <c r="AE469" s="4">
        <f t="shared" si="29"/>
        <v>-17561.5</v>
      </c>
    </row>
    <row r="470" spans="1:31" x14ac:dyDescent="0.25">
      <c r="A470" t="s">
        <v>0</v>
      </c>
      <c r="B470" s="3" t="s">
        <v>2219</v>
      </c>
      <c r="C470" t="s">
        <v>1172</v>
      </c>
      <c r="D470" t="s">
        <v>160</v>
      </c>
      <c r="E470" t="s">
        <v>1197</v>
      </c>
      <c r="F470" s="1">
        <v>46060</v>
      </c>
      <c r="G470" s="1">
        <v>46063</v>
      </c>
      <c r="H470" t="s">
        <v>882</v>
      </c>
      <c r="I470" t="s">
        <v>5</v>
      </c>
      <c r="J470" t="s">
        <v>6</v>
      </c>
      <c r="K470" t="s">
        <v>4</v>
      </c>
      <c r="L470" t="s">
        <v>1198</v>
      </c>
      <c r="M470" t="s">
        <v>1198</v>
      </c>
      <c r="N470" s="2">
        <v>66890</v>
      </c>
      <c r="O470" t="s">
        <v>1175</v>
      </c>
      <c r="P470" t="s">
        <v>9</v>
      </c>
      <c r="Q470" t="s">
        <v>75</v>
      </c>
      <c r="R470" t="e">
        <f>VLOOKUP(Q470,#REF!,2,FALSE)</f>
        <v>#REF!</v>
      </c>
      <c r="S470">
        <v>1511</v>
      </c>
      <c r="T470" t="s">
        <v>2224</v>
      </c>
      <c r="U470" t="s">
        <v>1176</v>
      </c>
      <c r="V470" s="1">
        <v>46053</v>
      </c>
      <c r="W470" s="1">
        <v>46053</v>
      </c>
      <c r="X470" t="s">
        <v>77</v>
      </c>
      <c r="Y470" t="s">
        <v>646</v>
      </c>
      <c r="Z470" t="s">
        <v>6</v>
      </c>
      <c r="AA470" t="s">
        <v>646</v>
      </c>
      <c r="AB470" s="4">
        <f t="shared" si="30"/>
        <v>668900</v>
      </c>
      <c r="AC470" s="5" t="s">
        <v>2215</v>
      </c>
      <c r="AD470" s="4">
        <f t="shared" si="31"/>
        <v>55741.666666666664</v>
      </c>
      <c r="AE470" s="4">
        <f t="shared" si="29"/>
        <v>-11148.333333333336</v>
      </c>
    </row>
    <row r="471" spans="1:31" x14ac:dyDescent="0.25">
      <c r="A471" t="s">
        <v>0</v>
      </c>
      <c r="B471" s="3" t="s">
        <v>2219</v>
      </c>
      <c r="C471" t="s">
        <v>1172</v>
      </c>
      <c r="D471" t="s">
        <v>160</v>
      </c>
      <c r="E471" t="s">
        <v>1199</v>
      </c>
      <c r="F471" s="1">
        <v>46060</v>
      </c>
      <c r="G471" s="1">
        <v>46063</v>
      </c>
      <c r="H471" t="s">
        <v>882</v>
      </c>
      <c r="I471" t="s">
        <v>5</v>
      </c>
      <c r="J471" t="s">
        <v>6</v>
      </c>
      <c r="K471" t="s">
        <v>4</v>
      </c>
      <c r="L471" t="s">
        <v>1200</v>
      </c>
      <c r="M471" t="s">
        <v>1200</v>
      </c>
      <c r="N471" s="2">
        <v>165614</v>
      </c>
      <c r="O471" t="s">
        <v>1175</v>
      </c>
      <c r="P471" t="s">
        <v>9</v>
      </c>
      <c r="Q471" t="s">
        <v>75</v>
      </c>
      <c r="R471" t="e">
        <f>VLOOKUP(Q471,#REF!,2,FALSE)</f>
        <v>#REF!</v>
      </c>
      <c r="S471">
        <v>1511</v>
      </c>
      <c r="T471" t="s">
        <v>2224</v>
      </c>
      <c r="U471" t="s">
        <v>1176</v>
      </c>
      <c r="V471" s="1">
        <v>46053</v>
      </c>
      <c r="W471" s="1">
        <v>46053</v>
      </c>
      <c r="X471" t="s">
        <v>77</v>
      </c>
      <c r="Y471" t="s">
        <v>646</v>
      </c>
      <c r="Z471" t="s">
        <v>6</v>
      </c>
      <c r="AA471" t="s">
        <v>646</v>
      </c>
      <c r="AB471" s="4">
        <f t="shared" si="30"/>
        <v>1656140</v>
      </c>
      <c r="AC471" s="5" t="s">
        <v>2215</v>
      </c>
      <c r="AD471" s="4">
        <f t="shared" si="31"/>
        <v>138011.66666666666</v>
      </c>
      <c r="AE471" s="4">
        <f t="shared" si="29"/>
        <v>-27602.333333333343</v>
      </c>
    </row>
    <row r="472" spans="1:31" x14ac:dyDescent="0.25">
      <c r="A472" t="s">
        <v>0</v>
      </c>
      <c r="B472" s="3" t="s">
        <v>2219</v>
      </c>
      <c r="C472" t="s">
        <v>1172</v>
      </c>
      <c r="D472" t="s">
        <v>160</v>
      </c>
      <c r="E472" t="s">
        <v>1201</v>
      </c>
      <c r="F472" s="1">
        <v>46060</v>
      </c>
      <c r="G472" s="1">
        <v>46063</v>
      </c>
      <c r="H472" t="s">
        <v>882</v>
      </c>
      <c r="I472" t="s">
        <v>5</v>
      </c>
      <c r="J472" t="s">
        <v>6</v>
      </c>
      <c r="K472" t="s">
        <v>4</v>
      </c>
      <c r="L472" t="s">
        <v>1202</v>
      </c>
      <c r="M472" t="s">
        <v>1202</v>
      </c>
      <c r="N472" s="2">
        <v>6443</v>
      </c>
      <c r="O472" t="s">
        <v>1175</v>
      </c>
      <c r="P472" t="s">
        <v>9</v>
      </c>
      <c r="Q472" t="s">
        <v>75</v>
      </c>
      <c r="R472" t="e">
        <f>VLOOKUP(Q472,#REF!,2,FALSE)</f>
        <v>#REF!</v>
      </c>
      <c r="S472">
        <v>1511</v>
      </c>
      <c r="T472" t="s">
        <v>2224</v>
      </c>
      <c r="U472" t="s">
        <v>1176</v>
      </c>
      <c r="V472" s="1">
        <v>46053</v>
      </c>
      <c r="W472" s="1">
        <v>46053</v>
      </c>
      <c r="X472" t="s">
        <v>77</v>
      </c>
      <c r="Y472" t="s">
        <v>646</v>
      </c>
      <c r="Z472" t="s">
        <v>6</v>
      </c>
      <c r="AA472" t="s">
        <v>646</v>
      </c>
      <c r="AB472" s="4">
        <f t="shared" si="30"/>
        <v>64430</v>
      </c>
      <c r="AC472" s="5" t="s">
        <v>2215</v>
      </c>
      <c r="AD472" s="4">
        <f t="shared" si="31"/>
        <v>5369.166666666667</v>
      </c>
      <c r="AE472" s="4">
        <f t="shared" si="29"/>
        <v>-1073.833333333333</v>
      </c>
    </row>
    <row r="473" spans="1:31" x14ac:dyDescent="0.25">
      <c r="A473" t="s">
        <v>0</v>
      </c>
      <c r="B473" s="3" t="s">
        <v>2219</v>
      </c>
      <c r="C473" t="s">
        <v>1172</v>
      </c>
      <c r="D473" t="s">
        <v>160</v>
      </c>
      <c r="E473" t="s">
        <v>1203</v>
      </c>
      <c r="F473" s="1">
        <v>46060</v>
      </c>
      <c r="G473" s="1">
        <v>46063</v>
      </c>
      <c r="H473" t="s">
        <v>882</v>
      </c>
      <c r="I473" t="s">
        <v>5</v>
      </c>
      <c r="J473" t="s">
        <v>6</v>
      </c>
      <c r="K473" t="s">
        <v>4</v>
      </c>
      <c r="L473" t="s">
        <v>1204</v>
      </c>
      <c r="M473" t="s">
        <v>1204</v>
      </c>
      <c r="N473" s="2">
        <v>51312</v>
      </c>
      <c r="O473" t="s">
        <v>1175</v>
      </c>
      <c r="P473" t="s">
        <v>9</v>
      </c>
      <c r="Q473" t="s">
        <v>75</v>
      </c>
      <c r="R473" t="e">
        <f>VLOOKUP(Q473,#REF!,2,FALSE)</f>
        <v>#REF!</v>
      </c>
      <c r="S473">
        <v>1511</v>
      </c>
      <c r="T473" t="s">
        <v>2224</v>
      </c>
      <c r="U473" t="s">
        <v>1176</v>
      </c>
      <c r="V473" s="1">
        <v>46053</v>
      </c>
      <c r="W473" s="1">
        <v>46053</v>
      </c>
      <c r="X473" t="s">
        <v>77</v>
      </c>
      <c r="Y473" t="s">
        <v>646</v>
      </c>
      <c r="Z473" t="s">
        <v>6</v>
      </c>
      <c r="AA473" t="s">
        <v>646</v>
      </c>
      <c r="AB473" s="4">
        <f t="shared" si="30"/>
        <v>513120</v>
      </c>
      <c r="AC473" s="5" t="s">
        <v>2215</v>
      </c>
      <c r="AD473" s="4">
        <f t="shared" si="31"/>
        <v>42760</v>
      </c>
      <c r="AE473" s="4">
        <f t="shared" si="29"/>
        <v>-8552</v>
      </c>
    </row>
    <row r="474" spans="1:31" x14ac:dyDescent="0.25">
      <c r="A474" t="s">
        <v>0</v>
      </c>
      <c r="B474" s="3" t="s">
        <v>2219</v>
      </c>
      <c r="C474" t="s">
        <v>1172</v>
      </c>
      <c r="D474" t="s">
        <v>160</v>
      </c>
      <c r="E474" t="s">
        <v>1205</v>
      </c>
      <c r="F474" s="1">
        <v>46060</v>
      </c>
      <c r="G474" s="1">
        <v>46063</v>
      </c>
      <c r="H474" t="s">
        <v>882</v>
      </c>
      <c r="I474" t="s">
        <v>5</v>
      </c>
      <c r="J474" t="s">
        <v>6</v>
      </c>
      <c r="K474" t="s">
        <v>4</v>
      </c>
      <c r="L474" t="s">
        <v>1206</v>
      </c>
      <c r="M474" t="s">
        <v>1206</v>
      </c>
      <c r="N474" s="2">
        <v>32968</v>
      </c>
      <c r="O474" t="s">
        <v>1175</v>
      </c>
      <c r="P474" t="s">
        <v>9</v>
      </c>
      <c r="Q474" t="s">
        <v>75</v>
      </c>
      <c r="R474" t="e">
        <f>VLOOKUP(Q474,#REF!,2,FALSE)</f>
        <v>#REF!</v>
      </c>
      <c r="S474">
        <v>1511</v>
      </c>
      <c r="T474" t="s">
        <v>2224</v>
      </c>
      <c r="U474" t="s">
        <v>1176</v>
      </c>
      <c r="V474" s="1">
        <v>46053</v>
      </c>
      <c r="W474" s="1">
        <v>46053</v>
      </c>
      <c r="X474" t="s">
        <v>77</v>
      </c>
      <c r="Y474" t="s">
        <v>646</v>
      </c>
      <c r="Z474" t="s">
        <v>6</v>
      </c>
      <c r="AA474" t="s">
        <v>646</v>
      </c>
      <c r="AB474" s="4">
        <f t="shared" si="30"/>
        <v>329680</v>
      </c>
      <c r="AC474" s="5" t="s">
        <v>2215</v>
      </c>
      <c r="AD474" s="4">
        <f t="shared" si="31"/>
        <v>27473.333333333332</v>
      </c>
      <c r="AE474" s="4">
        <f t="shared" si="29"/>
        <v>-5494.6666666666679</v>
      </c>
    </row>
    <row r="475" spans="1:31" x14ac:dyDescent="0.25">
      <c r="A475" t="s">
        <v>0</v>
      </c>
      <c r="B475" s="3" t="s">
        <v>2219</v>
      </c>
      <c r="C475" t="s">
        <v>1172</v>
      </c>
      <c r="D475" t="s">
        <v>160</v>
      </c>
      <c r="E475" t="s">
        <v>1207</v>
      </c>
      <c r="F475" s="1">
        <v>46060</v>
      </c>
      <c r="G475" s="1">
        <v>46063</v>
      </c>
      <c r="H475" t="s">
        <v>882</v>
      </c>
      <c r="I475" t="s">
        <v>5</v>
      </c>
      <c r="J475" t="s">
        <v>6</v>
      </c>
      <c r="K475" t="s">
        <v>4</v>
      </c>
      <c r="L475" t="s">
        <v>1208</v>
      </c>
      <c r="M475" t="s">
        <v>1208</v>
      </c>
      <c r="N475" s="2">
        <v>71217</v>
      </c>
      <c r="O475" t="s">
        <v>1175</v>
      </c>
      <c r="P475" t="s">
        <v>9</v>
      </c>
      <c r="Q475" t="s">
        <v>75</v>
      </c>
      <c r="R475" t="e">
        <f>VLOOKUP(Q475,#REF!,2,FALSE)</f>
        <v>#REF!</v>
      </c>
      <c r="S475">
        <v>1511</v>
      </c>
      <c r="T475" t="s">
        <v>2224</v>
      </c>
      <c r="U475" t="s">
        <v>1176</v>
      </c>
      <c r="V475" s="1">
        <v>46053</v>
      </c>
      <c r="W475" s="1">
        <v>46053</v>
      </c>
      <c r="X475" t="s">
        <v>77</v>
      </c>
      <c r="Y475" t="s">
        <v>646</v>
      </c>
      <c r="Z475" t="s">
        <v>6</v>
      </c>
      <c r="AA475" t="s">
        <v>646</v>
      </c>
      <c r="AB475" s="4">
        <f t="shared" si="30"/>
        <v>712170</v>
      </c>
      <c r="AC475" s="5" t="s">
        <v>2215</v>
      </c>
      <c r="AD475" s="4">
        <f t="shared" si="31"/>
        <v>59347.5</v>
      </c>
      <c r="AE475" s="4">
        <f t="shared" si="29"/>
        <v>-11869.5</v>
      </c>
    </row>
    <row r="476" spans="1:31" x14ac:dyDescent="0.25">
      <c r="A476" t="s">
        <v>0</v>
      </c>
      <c r="B476" s="3" t="s">
        <v>2219</v>
      </c>
      <c r="C476" t="s">
        <v>1172</v>
      </c>
      <c r="D476" t="s">
        <v>160</v>
      </c>
      <c r="E476" t="s">
        <v>1209</v>
      </c>
      <c r="F476" s="1">
        <v>46060</v>
      </c>
      <c r="G476" s="1">
        <v>46063</v>
      </c>
      <c r="H476" t="s">
        <v>882</v>
      </c>
      <c r="I476" t="s">
        <v>5</v>
      </c>
      <c r="J476" t="s">
        <v>6</v>
      </c>
      <c r="K476" t="s">
        <v>4</v>
      </c>
      <c r="L476" t="s">
        <v>1210</v>
      </c>
      <c r="M476" t="s">
        <v>1210</v>
      </c>
      <c r="N476" s="2">
        <v>55524</v>
      </c>
      <c r="O476" t="s">
        <v>1175</v>
      </c>
      <c r="P476" t="s">
        <v>9</v>
      </c>
      <c r="Q476" t="s">
        <v>75</v>
      </c>
      <c r="R476" t="e">
        <f>VLOOKUP(Q476,#REF!,2,FALSE)</f>
        <v>#REF!</v>
      </c>
      <c r="S476">
        <v>1511</v>
      </c>
      <c r="T476" t="s">
        <v>2224</v>
      </c>
      <c r="U476" t="s">
        <v>1176</v>
      </c>
      <c r="V476" s="1">
        <v>46053</v>
      </c>
      <c r="W476" s="1">
        <v>46053</v>
      </c>
      <c r="X476" t="s">
        <v>77</v>
      </c>
      <c r="Y476" t="s">
        <v>646</v>
      </c>
      <c r="Z476" t="s">
        <v>6</v>
      </c>
      <c r="AA476" t="s">
        <v>646</v>
      </c>
      <c r="AB476" s="4">
        <f t="shared" si="30"/>
        <v>555240</v>
      </c>
      <c r="AC476" s="5" t="s">
        <v>2215</v>
      </c>
      <c r="AD476" s="4">
        <f t="shared" si="31"/>
        <v>46270</v>
      </c>
      <c r="AE476" s="4">
        <f t="shared" si="29"/>
        <v>-9254</v>
      </c>
    </row>
    <row r="477" spans="1:31" x14ac:dyDescent="0.25">
      <c r="A477" t="s">
        <v>0</v>
      </c>
      <c r="B477" s="3" t="s">
        <v>2219</v>
      </c>
      <c r="C477" t="s">
        <v>1172</v>
      </c>
      <c r="D477" t="s">
        <v>160</v>
      </c>
      <c r="E477" t="s">
        <v>1211</v>
      </c>
      <c r="F477" s="1">
        <v>46060</v>
      </c>
      <c r="G477" s="1">
        <v>46063</v>
      </c>
      <c r="H477" t="s">
        <v>882</v>
      </c>
      <c r="I477" t="s">
        <v>5</v>
      </c>
      <c r="J477" t="s">
        <v>6</v>
      </c>
      <c r="K477" t="s">
        <v>4</v>
      </c>
      <c r="L477" t="s">
        <v>1212</v>
      </c>
      <c r="M477" t="s">
        <v>1212</v>
      </c>
      <c r="N477" s="2">
        <v>15477</v>
      </c>
      <c r="O477" t="s">
        <v>1175</v>
      </c>
      <c r="P477" t="s">
        <v>9</v>
      </c>
      <c r="Q477" t="s">
        <v>75</v>
      </c>
      <c r="R477" t="e">
        <f>VLOOKUP(Q477,#REF!,2,FALSE)</f>
        <v>#REF!</v>
      </c>
      <c r="S477">
        <v>1511</v>
      </c>
      <c r="T477" t="s">
        <v>2224</v>
      </c>
      <c r="U477" t="s">
        <v>1176</v>
      </c>
      <c r="V477" s="1">
        <v>46053</v>
      </c>
      <c r="W477" s="1">
        <v>46053</v>
      </c>
      <c r="X477" t="s">
        <v>77</v>
      </c>
      <c r="Y477" t="s">
        <v>646</v>
      </c>
      <c r="Z477" t="s">
        <v>6</v>
      </c>
      <c r="AA477" t="s">
        <v>646</v>
      </c>
      <c r="AB477" s="4">
        <f t="shared" si="30"/>
        <v>154770</v>
      </c>
      <c r="AC477" s="5" t="s">
        <v>2215</v>
      </c>
      <c r="AD477" s="4">
        <f t="shared" si="31"/>
        <v>12897.5</v>
      </c>
      <c r="AE477" s="4">
        <f t="shared" si="29"/>
        <v>-2579.5</v>
      </c>
    </row>
    <row r="478" spans="1:31" x14ac:dyDescent="0.25">
      <c r="A478" t="s">
        <v>0</v>
      </c>
      <c r="B478" s="3" t="s">
        <v>2219</v>
      </c>
      <c r="C478" t="s">
        <v>1172</v>
      </c>
      <c r="D478" t="s">
        <v>160</v>
      </c>
      <c r="E478" t="s">
        <v>1213</v>
      </c>
      <c r="F478" s="1">
        <v>46060</v>
      </c>
      <c r="G478" s="1">
        <v>46063</v>
      </c>
      <c r="H478" t="s">
        <v>882</v>
      </c>
      <c r="I478" t="s">
        <v>5</v>
      </c>
      <c r="J478" t="s">
        <v>6</v>
      </c>
      <c r="K478" t="s">
        <v>4</v>
      </c>
      <c r="L478" t="s">
        <v>1214</v>
      </c>
      <c r="M478" t="s">
        <v>1214</v>
      </c>
      <c r="N478" s="2">
        <v>53639</v>
      </c>
      <c r="O478" t="s">
        <v>1175</v>
      </c>
      <c r="P478" t="s">
        <v>9</v>
      </c>
      <c r="Q478" t="s">
        <v>75</v>
      </c>
      <c r="R478" t="e">
        <f>VLOOKUP(Q478,#REF!,2,FALSE)</f>
        <v>#REF!</v>
      </c>
      <c r="S478">
        <v>1511</v>
      </c>
      <c r="T478" t="s">
        <v>2224</v>
      </c>
      <c r="U478" t="s">
        <v>1176</v>
      </c>
      <c r="V478" s="1">
        <v>46053</v>
      </c>
      <c r="W478" s="1">
        <v>46053</v>
      </c>
      <c r="X478" t="s">
        <v>77</v>
      </c>
      <c r="Y478" t="s">
        <v>646</v>
      </c>
      <c r="Z478" t="s">
        <v>6</v>
      </c>
      <c r="AA478" t="s">
        <v>646</v>
      </c>
      <c r="AB478" s="4">
        <f t="shared" si="30"/>
        <v>536390</v>
      </c>
      <c r="AC478" s="5" t="s">
        <v>2215</v>
      </c>
      <c r="AD478" s="4">
        <f t="shared" si="31"/>
        <v>44699.166666666664</v>
      </c>
      <c r="AE478" s="4">
        <f t="shared" si="29"/>
        <v>-8939.8333333333358</v>
      </c>
    </row>
    <row r="479" spans="1:31" x14ac:dyDescent="0.25">
      <c r="A479" t="s">
        <v>0</v>
      </c>
      <c r="B479" s="3" t="s">
        <v>2219</v>
      </c>
      <c r="C479" t="s">
        <v>1172</v>
      </c>
      <c r="D479" t="s">
        <v>160</v>
      </c>
      <c r="E479" t="s">
        <v>1215</v>
      </c>
      <c r="F479" s="1">
        <v>46060</v>
      </c>
      <c r="G479" s="1">
        <v>46063</v>
      </c>
      <c r="H479" t="s">
        <v>901</v>
      </c>
      <c r="I479" t="s">
        <v>5</v>
      </c>
      <c r="J479" t="s">
        <v>6</v>
      </c>
      <c r="K479" t="s">
        <v>4</v>
      </c>
      <c r="L479" t="s">
        <v>1216</v>
      </c>
      <c r="M479" t="s">
        <v>1216</v>
      </c>
      <c r="N479" s="2">
        <v>12540</v>
      </c>
      <c r="O479" t="s">
        <v>1175</v>
      </c>
      <c r="P479" t="s">
        <v>9</v>
      </c>
      <c r="Q479" t="s">
        <v>82</v>
      </c>
      <c r="R479" t="e">
        <f>VLOOKUP(Q479,#REF!,2,FALSE)</f>
        <v>#REF!</v>
      </c>
      <c r="S479">
        <v>1511</v>
      </c>
      <c r="T479" t="s">
        <v>2224</v>
      </c>
      <c r="U479" t="s">
        <v>1176</v>
      </c>
      <c r="V479" s="1">
        <v>46053</v>
      </c>
      <c r="W479" s="1">
        <v>46053</v>
      </c>
      <c r="X479" t="s">
        <v>77</v>
      </c>
      <c r="Y479" t="s">
        <v>646</v>
      </c>
      <c r="Z479" t="s">
        <v>6</v>
      </c>
      <c r="AA479" t="s">
        <v>646</v>
      </c>
      <c r="AB479" s="4">
        <f>L479/0.08</f>
        <v>156750</v>
      </c>
      <c r="AC479" s="6">
        <v>0.1</v>
      </c>
      <c r="AD479" s="4">
        <f>AB479*AC479</f>
        <v>15675</v>
      </c>
      <c r="AE479" s="4">
        <f t="shared" si="29"/>
        <v>3135</v>
      </c>
    </row>
    <row r="480" spans="1:31" x14ac:dyDescent="0.25">
      <c r="A480" t="s">
        <v>0</v>
      </c>
      <c r="B480" s="3" t="s">
        <v>2219</v>
      </c>
      <c r="C480" t="s">
        <v>1172</v>
      </c>
      <c r="D480" t="s">
        <v>160</v>
      </c>
      <c r="E480" t="s">
        <v>1217</v>
      </c>
      <c r="F480" s="1">
        <v>46060</v>
      </c>
      <c r="G480" s="1">
        <v>46063</v>
      </c>
      <c r="H480" t="s">
        <v>904</v>
      </c>
      <c r="I480" t="s">
        <v>5</v>
      </c>
      <c r="J480" t="s">
        <v>6</v>
      </c>
      <c r="K480" t="s">
        <v>4</v>
      </c>
      <c r="L480" t="s">
        <v>1218</v>
      </c>
      <c r="M480" t="s">
        <v>1218</v>
      </c>
      <c r="N480" s="2">
        <v>1060</v>
      </c>
      <c r="O480" t="s">
        <v>1175</v>
      </c>
      <c r="P480" t="s">
        <v>9</v>
      </c>
      <c r="Q480" t="s">
        <v>86</v>
      </c>
      <c r="R480" t="e">
        <f>VLOOKUP(Q480,#REF!,2,FALSE)</f>
        <v>#REF!</v>
      </c>
      <c r="S480">
        <v>1511</v>
      </c>
      <c r="T480" t="s">
        <v>2224</v>
      </c>
      <c r="U480" t="s">
        <v>1176</v>
      </c>
      <c r="V480" s="1">
        <v>46053</v>
      </c>
      <c r="W480" s="1">
        <v>46053</v>
      </c>
      <c r="X480" t="s">
        <v>77</v>
      </c>
      <c r="Y480" t="s">
        <v>646</v>
      </c>
      <c r="Z480" t="s">
        <v>6</v>
      </c>
      <c r="AA480" t="s">
        <v>646</v>
      </c>
      <c r="AB480" s="4">
        <f t="shared" ref="AB480:AB499" si="32">L480/0.03</f>
        <v>35333.333333333336</v>
      </c>
      <c r="AC480" s="6">
        <v>0.04</v>
      </c>
      <c r="AD480" s="4">
        <f t="shared" ref="AD480:AD499" si="33">AB480*AC480</f>
        <v>1413.3333333333335</v>
      </c>
      <c r="AE480" s="4">
        <f t="shared" si="29"/>
        <v>353.33333333333348</v>
      </c>
    </row>
    <row r="481" spans="1:31" x14ac:dyDescent="0.25">
      <c r="A481" t="s">
        <v>0</v>
      </c>
      <c r="B481" s="3" t="s">
        <v>2219</v>
      </c>
      <c r="C481" t="s">
        <v>1172</v>
      </c>
      <c r="D481" t="s">
        <v>160</v>
      </c>
      <c r="E481" t="s">
        <v>1219</v>
      </c>
      <c r="F481" s="1">
        <v>46060</v>
      </c>
      <c r="G481" s="1">
        <v>46063</v>
      </c>
      <c r="H481" t="s">
        <v>904</v>
      </c>
      <c r="I481" t="s">
        <v>5</v>
      </c>
      <c r="J481" t="s">
        <v>6</v>
      </c>
      <c r="K481" t="s">
        <v>4</v>
      </c>
      <c r="L481" t="s">
        <v>1220</v>
      </c>
      <c r="M481" t="s">
        <v>1220</v>
      </c>
      <c r="N481" s="2">
        <v>5950</v>
      </c>
      <c r="O481" t="s">
        <v>1175</v>
      </c>
      <c r="P481" t="s">
        <v>9</v>
      </c>
      <c r="Q481" t="s">
        <v>86</v>
      </c>
      <c r="R481" t="e">
        <f>VLOOKUP(Q481,#REF!,2,FALSE)</f>
        <v>#REF!</v>
      </c>
      <c r="S481">
        <v>1511</v>
      </c>
      <c r="T481" t="s">
        <v>2224</v>
      </c>
      <c r="U481" t="s">
        <v>1176</v>
      </c>
      <c r="V481" s="1">
        <v>46053</v>
      </c>
      <c r="W481" s="1">
        <v>46053</v>
      </c>
      <c r="X481" t="s">
        <v>77</v>
      </c>
      <c r="Y481" t="s">
        <v>646</v>
      </c>
      <c r="Z481" t="s">
        <v>6</v>
      </c>
      <c r="AA481" t="s">
        <v>646</v>
      </c>
      <c r="AB481" s="4">
        <f t="shared" si="32"/>
        <v>198333.33333333334</v>
      </c>
      <c r="AC481" s="6">
        <v>0.04</v>
      </c>
      <c r="AD481" s="4">
        <f t="shared" si="33"/>
        <v>7933.3333333333339</v>
      </c>
      <c r="AE481" s="4">
        <f t="shared" si="29"/>
        <v>1983.3333333333339</v>
      </c>
    </row>
    <row r="482" spans="1:31" x14ac:dyDescent="0.25">
      <c r="A482" t="s">
        <v>0</v>
      </c>
      <c r="B482" s="3" t="s">
        <v>2219</v>
      </c>
      <c r="C482" t="s">
        <v>1172</v>
      </c>
      <c r="D482" t="s">
        <v>160</v>
      </c>
      <c r="E482" t="s">
        <v>1221</v>
      </c>
      <c r="F482" s="1">
        <v>46060</v>
      </c>
      <c r="G482" s="1">
        <v>46063</v>
      </c>
      <c r="H482" t="s">
        <v>904</v>
      </c>
      <c r="I482" t="s">
        <v>5</v>
      </c>
      <c r="J482" t="s">
        <v>6</v>
      </c>
      <c r="K482" t="s">
        <v>4</v>
      </c>
      <c r="L482" t="s">
        <v>1222</v>
      </c>
      <c r="M482" t="s">
        <v>1222</v>
      </c>
      <c r="N482" s="2">
        <v>7476</v>
      </c>
      <c r="O482" t="s">
        <v>1175</v>
      </c>
      <c r="P482" t="s">
        <v>9</v>
      </c>
      <c r="Q482" t="s">
        <v>86</v>
      </c>
      <c r="R482" t="e">
        <f>VLOOKUP(Q482,#REF!,2,FALSE)</f>
        <v>#REF!</v>
      </c>
      <c r="S482">
        <v>1511</v>
      </c>
      <c r="T482" t="s">
        <v>2224</v>
      </c>
      <c r="U482" t="s">
        <v>1176</v>
      </c>
      <c r="V482" s="1">
        <v>46053</v>
      </c>
      <c r="W482" s="1">
        <v>46053</v>
      </c>
      <c r="X482" t="s">
        <v>77</v>
      </c>
      <c r="Y482" t="s">
        <v>646</v>
      </c>
      <c r="Z482" t="s">
        <v>6</v>
      </c>
      <c r="AA482" t="s">
        <v>646</v>
      </c>
      <c r="AB482" s="4">
        <f t="shared" si="32"/>
        <v>249200</v>
      </c>
      <c r="AC482" s="6">
        <v>0.04</v>
      </c>
      <c r="AD482" s="4">
        <f t="shared" si="33"/>
        <v>9968</v>
      </c>
      <c r="AE482" s="4">
        <f t="shared" si="29"/>
        <v>2492</v>
      </c>
    </row>
    <row r="483" spans="1:31" x14ac:dyDescent="0.25">
      <c r="A483" t="s">
        <v>0</v>
      </c>
      <c r="B483" s="3" t="s">
        <v>2219</v>
      </c>
      <c r="C483" t="s">
        <v>1172</v>
      </c>
      <c r="D483" t="s">
        <v>160</v>
      </c>
      <c r="E483" t="s">
        <v>1223</v>
      </c>
      <c r="F483" s="1">
        <v>46060</v>
      </c>
      <c r="G483" s="1">
        <v>46063</v>
      </c>
      <c r="H483" t="s">
        <v>904</v>
      </c>
      <c r="I483" t="s">
        <v>5</v>
      </c>
      <c r="J483" t="s">
        <v>6</v>
      </c>
      <c r="K483" t="s">
        <v>4</v>
      </c>
      <c r="L483" t="s">
        <v>1224</v>
      </c>
      <c r="M483" t="s">
        <v>1224</v>
      </c>
      <c r="N483" s="2">
        <v>963</v>
      </c>
      <c r="O483" t="s">
        <v>1175</v>
      </c>
      <c r="P483" t="s">
        <v>9</v>
      </c>
      <c r="Q483" t="s">
        <v>86</v>
      </c>
      <c r="R483" t="e">
        <f>VLOOKUP(Q483,#REF!,2,FALSE)</f>
        <v>#REF!</v>
      </c>
      <c r="S483">
        <v>1511</v>
      </c>
      <c r="T483" t="s">
        <v>2224</v>
      </c>
      <c r="U483" t="s">
        <v>1176</v>
      </c>
      <c r="V483" s="1">
        <v>46053</v>
      </c>
      <c r="W483" s="1">
        <v>46053</v>
      </c>
      <c r="X483" t="s">
        <v>77</v>
      </c>
      <c r="Y483" t="s">
        <v>646</v>
      </c>
      <c r="Z483" t="s">
        <v>6</v>
      </c>
      <c r="AA483" t="s">
        <v>646</v>
      </c>
      <c r="AB483" s="4">
        <f t="shared" si="32"/>
        <v>32100</v>
      </c>
      <c r="AC483" s="6">
        <v>0.04</v>
      </c>
      <c r="AD483" s="4">
        <f t="shared" si="33"/>
        <v>1284</v>
      </c>
      <c r="AE483" s="4">
        <f t="shared" si="29"/>
        <v>321</v>
      </c>
    </row>
    <row r="484" spans="1:31" x14ac:dyDescent="0.25">
      <c r="A484" t="s">
        <v>0</v>
      </c>
      <c r="B484" s="3" t="s">
        <v>2219</v>
      </c>
      <c r="C484" t="s">
        <v>1172</v>
      </c>
      <c r="D484" t="s">
        <v>160</v>
      </c>
      <c r="E484" t="s">
        <v>1225</v>
      </c>
      <c r="F484" s="1">
        <v>46060</v>
      </c>
      <c r="G484" s="1">
        <v>46063</v>
      </c>
      <c r="H484" t="s">
        <v>904</v>
      </c>
      <c r="I484" t="s">
        <v>5</v>
      </c>
      <c r="J484" t="s">
        <v>6</v>
      </c>
      <c r="K484" t="s">
        <v>4</v>
      </c>
      <c r="L484" t="s">
        <v>1226</v>
      </c>
      <c r="M484" t="s">
        <v>1226</v>
      </c>
      <c r="N484" s="2">
        <v>5511</v>
      </c>
      <c r="O484" t="s">
        <v>1175</v>
      </c>
      <c r="P484" t="s">
        <v>9</v>
      </c>
      <c r="Q484" t="s">
        <v>86</v>
      </c>
      <c r="R484" t="e">
        <f>VLOOKUP(Q484,#REF!,2,FALSE)</f>
        <v>#REF!</v>
      </c>
      <c r="S484">
        <v>1511</v>
      </c>
      <c r="T484" t="s">
        <v>2224</v>
      </c>
      <c r="U484" t="s">
        <v>1176</v>
      </c>
      <c r="V484" s="1">
        <v>46053</v>
      </c>
      <c r="W484" s="1">
        <v>46053</v>
      </c>
      <c r="X484" t="s">
        <v>77</v>
      </c>
      <c r="Y484" t="s">
        <v>646</v>
      </c>
      <c r="Z484" t="s">
        <v>6</v>
      </c>
      <c r="AA484" t="s">
        <v>646</v>
      </c>
      <c r="AB484" s="4">
        <f t="shared" si="32"/>
        <v>183700</v>
      </c>
      <c r="AC484" s="6">
        <v>0.04</v>
      </c>
      <c r="AD484" s="4">
        <f t="shared" si="33"/>
        <v>7348</v>
      </c>
      <c r="AE484" s="4">
        <f t="shared" si="29"/>
        <v>1837</v>
      </c>
    </row>
    <row r="485" spans="1:31" x14ac:dyDescent="0.25">
      <c r="A485" t="s">
        <v>0</v>
      </c>
      <c r="B485" s="3" t="s">
        <v>2219</v>
      </c>
      <c r="C485" t="s">
        <v>1172</v>
      </c>
      <c r="D485" t="s">
        <v>160</v>
      </c>
      <c r="E485" t="s">
        <v>1227</v>
      </c>
      <c r="F485" s="1">
        <v>46060</v>
      </c>
      <c r="G485" s="1">
        <v>46063</v>
      </c>
      <c r="H485" t="s">
        <v>904</v>
      </c>
      <c r="I485" t="s">
        <v>5</v>
      </c>
      <c r="J485" t="s">
        <v>6</v>
      </c>
      <c r="K485" t="s">
        <v>4</v>
      </c>
      <c r="L485" t="s">
        <v>1228</v>
      </c>
      <c r="M485" t="s">
        <v>1228</v>
      </c>
      <c r="N485" s="2">
        <v>4571</v>
      </c>
      <c r="O485" t="s">
        <v>1175</v>
      </c>
      <c r="P485" t="s">
        <v>9</v>
      </c>
      <c r="Q485" t="s">
        <v>86</v>
      </c>
      <c r="R485" t="e">
        <f>VLOOKUP(Q485,#REF!,2,FALSE)</f>
        <v>#REF!</v>
      </c>
      <c r="S485">
        <v>1511</v>
      </c>
      <c r="T485" t="s">
        <v>2224</v>
      </c>
      <c r="U485" t="s">
        <v>1176</v>
      </c>
      <c r="V485" s="1">
        <v>46053</v>
      </c>
      <c r="W485" s="1">
        <v>46053</v>
      </c>
      <c r="X485" t="s">
        <v>77</v>
      </c>
      <c r="Y485" t="s">
        <v>646</v>
      </c>
      <c r="Z485" t="s">
        <v>6</v>
      </c>
      <c r="AA485" t="s">
        <v>646</v>
      </c>
      <c r="AB485" s="4">
        <f t="shared" si="32"/>
        <v>152366.66666666669</v>
      </c>
      <c r="AC485" s="6">
        <v>0.04</v>
      </c>
      <c r="AD485" s="4">
        <f t="shared" si="33"/>
        <v>6094.6666666666679</v>
      </c>
      <c r="AE485" s="4">
        <f t="shared" si="29"/>
        <v>1523.6666666666679</v>
      </c>
    </row>
    <row r="486" spans="1:31" x14ac:dyDescent="0.25">
      <c r="A486" t="s">
        <v>0</v>
      </c>
      <c r="B486" s="3" t="s">
        <v>2219</v>
      </c>
      <c r="C486" t="s">
        <v>1172</v>
      </c>
      <c r="D486" t="s">
        <v>160</v>
      </c>
      <c r="E486" t="s">
        <v>1229</v>
      </c>
      <c r="F486" s="1">
        <v>46060</v>
      </c>
      <c r="G486" s="1">
        <v>46063</v>
      </c>
      <c r="H486" t="s">
        <v>904</v>
      </c>
      <c r="I486" t="s">
        <v>5</v>
      </c>
      <c r="J486" t="s">
        <v>6</v>
      </c>
      <c r="K486" t="s">
        <v>4</v>
      </c>
      <c r="L486" t="s">
        <v>1230</v>
      </c>
      <c r="M486" t="s">
        <v>1230</v>
      </c>
      <c r="N486" s="2">
        <v>9270</v>
      </c>
      <c r="O486" t="s">
        <v>1175</v>
      </c>
      <c r="P486" t="s">
        <v>9</v>
      </c>
      <c r="Q486" t="s">
        <v>86</v>
      </c>
      <c r="R486" t="e">
        <f>VLOOKUP(Q486,#REF!,2,FALSE)</f>
        <v>#REF!</v>
      </c>
      <c r="S486">
        <v>1511</v>
      </c>
      <c r="T486" t="s">
        <v>2224</v>
      </c>
      <c r="U486" t="s">
        <v>1176</v>
      </c>
      <c r="V486" s="1">
        <v>46053</v>
      </c>
      <c r="W486" s="1">
        <v>46053</v>
      </c>
      <c r="X486" t="s">
        <v>77</v>
      </c>
      <c r="Y486" t="s">
        <v>646</v>
      </c>
      <c r="Z486" t="s">
        <v>6</v>
      </c>
      <c r="AA486" t="s">
        <v>646</v>
      </c>
      <c r="AB486" s="4">
        <f t="shared" si="32"/>
        <v>309000</v>
      </c>
      <c r="AC486" s="6">
        <v>0.04</v>
      </c>
      <c r="AD486" s="4">
        <f t="shared" si="33"/>
        <v>12360</v>
      </c>
      <c r="AE486" s="4">
        <f t="shared" si="29"/>
        <v>3090</v>
      </c>
    </row>
    <row r="487" spans="1:31" x14ac:dyDescent="0.25">
      <c r="A487" t="s">
        <v>0</v>
      </c>
      <c r="B487" s="3" t="s">
        <v>2219</v>
      </c>
      <c r="C487" t="s">
        <v>1172</v>
      </c>
      <c r="D487" t="s">
        <v>160</v>
      </c>
      <c r="E487" t="s">
        <v>1231</v>
      </c>
      <c r="F487" s="1">
        <v>46060</v>
      </c>
      <c r="G487" s="1">
        <v>46063</v>
      </c>
      <c r="H487" t="s">
        <v>904</v>
      </c>
      <c r="I487" t="s">
        <v>5</v>
      </c>
      <c r="J487" t="s">
        <v>6</v>
      </c>
      <c r="K487" t="s">
        <v>4</v>
      </c>
      <c r="L487" t="s">
        <v>1232</v>
      </c>
      <c r="M487" t="s">
        <v>1232</v>
      </c>
      <c r="N487" s="2">
        <v>111</v>
      </c>
      <c r="O487" t="s">
        <v>1175</v>
      </c>
      <c r="P487" t="s">
        <v>9</v>
      </c>
      <c r="Q487" t="s">
        <v>86</v>
      </c>
      <c r="R487" t="e">
        <f>VLOOKUP(Q487,#REF!,2,FALSE)</f>
        <v>#REF!</v>
      </c>
      <c r="S487">
        <v>1511</v>
      </c>
      <c r="T487" t="s">
        <v>2224</v>
      </c>
      <c r="U487" t="s">
        <v>1176</v>
      </c>
      <c r="V487" s="1">
        <v>46053</v>
      </c>
      <c r="W487" s="1">
        <v>46053</v>
      </c>
      <c r="X487" t="s">
        <v>77</v>
      </c>
      <c r="Y487" t="s">
        <v>646</v>
      </c>
      <c r="Z487" t="s">
        <v>6</v>
      </c>
      <c r="AA487" t="s">
        <v>646</v>
      </c>
      <c r="AB487" s="4">
        <f t="shared" si="32"/>
        <v>3700</v>
      </c>
      <c r="AC487" s="6">
        <v>0.04</v>
      </c>
      <c r="AD487" s="4">
        <f t="shared" si="33"/>
        <v>148</v>
      </c>
      <c r="AE487" s="4">
        <f t="shared" si="29"/>
        <v>37</v>
      </c>
    </row>
    <row r="488" spans="1:31" x14ac:dyDescent="0.25">
      <c r="A488" t="s">
        <v>0</v>
      </c>
      <c r="B488" s="3" t="s">
        <v>2219</v>
      </c>
      <c r="C488" t="s">
        <v>1172</v>
      </c>
      <c r="D488" t="s">
        <v>160</v>
      </c>
      <c r="E488" t="s">
        <v>1233</v>
      </c>
      <c r="F488" s="1">
        <v>46060</v>
      </c>
      <c r="G488" s="1">
        <v>46063</v>
      </c>
      <c r="H488" t="s">
        <v>904</v>
      </c>
      <c r="I488" t="s">
        <v>5</v>
      </c>
      <c r="J488" t="s">
        <v>6</v>
      </c>
      <c r="K488" t="s">
        <v>4</v>
      </c>
      <c r="L488" t="s">
        <v>1234</v>
      </c>
      <c r="M488" t="s">
        <v>1234</v>
      </c>
      <c r="N488" s="2">
        <v>1808</v>
      </c>
      <c r="O488" t="s">
        <v>1175</v>
      </c>
      <c r="P488" t="s">
        <v>9</v>
      </c>
      <c r="Q488" t="s">
        <v>86</v>
      </c>
      <c r="R488" t="e">
        <f>VLOOKUP(Q488,#REF!,2,FALSE)</f>
        <v>#REF!</v>
      </c>
      <c r="S488">
        <v>1511</v>
      </c>
      <c r="T488" t="s">
        <v>2224</v>
      </c>
      <c r="U488" t="s">
        <v>1176</v>
      </c>
      <c r="V488" s="1">
        <v>46053</v>
      </c>
      <c r="W488" s="1">
        <v>46053</v>
      </c>
      <c r="X488" t="s">
        <v>77</v>
      </c>
      <c r="Y488" t="s">
        <v>646</v>
      </c>
      <c r="Z488" t="s">
        <v>6</v>
      </c>
      <c r="AA488" t="s">
        <v>646</v>
      </c>
      <c r="AB488" s="4">
        <f t="shared" si="32"/>
        <v>60266.666666666672</v>
      </c>
      <c r="AC488" s="6">
        <v>0.04</v>
      </c>
      <c r="AD488" s="4">
        <f t="shared" si="33"/>
        <v>2410.666666666667</v>
      </c>
      <c r="AE488" s="4">
        <f t="shared" si="29"/>
        <v>602.66666666666697</v>
      </c>
    </row>
    <row r="489" spans="1:31" x14ac:dyDescent="0.25">
      <c r="A489" t="s">
        <v>0</v>
      </c>
      <c r="B489" s="3" t="s">
        <v>2219</v>
      </c>
      <c r="C489" t="s">
        <v>1172</v>
      </c>
      <c r="D489" t="s">
        <v>160</v>
      </c>
      <c r="E489" t="s">
        <v>1235</v>
      </c>
      <c r="F489" s="1">
        <v>46060</v>
      </c>
      <c r="G489" s="1">
        <v>46063</v>
      </c>
      <c r="H489" t="s">
        <v>904</v>
      </c>
      <c r="I489" t="s">
        <v>5</v>
      </c>
      <c r="J489" t="s">
        <v>6</v>
      </c>
      <c r="K489" t="s">
        <v>4</v>
      </c>
      <c r="L489" t="s">
        <v>1236</v>
      </c>
      <c r="M489" t="s">
        <v>1236</v>
      </c>
      <c r="N489" s="2">
        <v>2311</v>
      </c>
      <c r="O489" t="s">
        <v>1175</v>
      </c>
      <c r="P489" t="s">
        <v>9</v>
      </c>
      <c r="Q489" t="s">
        <v>86</v>
      </c>
      <c r="R489" t="e">
        <f>VLOOKUP(Q489,#REF!,2,FALSE)</f>
        <v>#REF!</v>
      </c>
      <c r="S489">
        <v>1511</v>
      </c>
      <c r="T489" t="s">
        <v>2224</v>
      </c>
      <c r="U489" t="s">
        <v>1176</v>
      </c>
      <c r="V489" s="1">
        <v>46053</v>
      </c>
      <c r="W489" s="1">
        <v>46053</v>
      </c>
      <c r="X489" t="s">
        <v>77</v>
      </c>
      <c r="Y489" t="s">
        <v>646</v>
      </c>
      <c r="Z489" t="s">
        <v>6</v>
      </c>
      <c r="AA489" t="s">
        <v>646</v>
      </c>
      <c r="AB489" s="4">
        <f t="shared" si="32"/>
        <v>77033.333333333343</v>
      </c>
      <c r="AC489" s="6">
        <v>0.04</v>
      </c>
      <c r="AD489" s="4">
        <f t="shared" si="33"/>
        <v>3081.3333333333339</v>
      </c>
      <c r="AE489" s="4">
        <f t="shared" si="29"/>
        <v>770.33333333333394</v>
      </c>
    </row>
    <row r="490" spans="1:31" x14ac:dyDescent="0.25">
      <c r="A490" t="s">
        <v>0</v>
      </c>
      <c r="B490" s="3" t="s">
        <v>2219</v>
      </c>
      <c r="C490" t="s">
        <v>1172</v>
      </c>
      <c r="D490" t="s">
        <v>160</v>
      </c>
      <c r="E490" t="s">
        <v>1237</v>
      </c>
      <c r="F490" s="1">
        <v>46060</v>
      </c>
      <c r="G490" s="1">
        <v>46063</v>
      </c>
      <c r="H490" t="s">
        <v>904</v>
      </c>
      <c r="I490" t="s">
        <v>5</v>
      </c>
      <c r="J490" t="s">
        <v>6</v>
      </c>
      <c r="K490" t="s">
        <v>4</v>
      </c>
      <c r="L490" t="s">
        <v>1238</v>
      </c>
      <c r="M490" t="s">
        <v>1238</v>
      </c>
      <c r="N490" s="2">
        <v>4214</v>
      </c>
      <c r="O490" t="s">
        <v>1175</v>
      </c>
      <c r="P490" t="s">
        <v>9</v>
      </c>
      <c r="Q490" t="s">
        <v>86</v>
      </c>
      <c r="R490" t="e">
        <f>VLOOKUP(Q490,#REF!,2,FALSE)</f>
        <v>#REF!</v>
      </c>
      <c r="S490">
        <v>1511</v>
      </c>
      <c r="T490" t="s">
        <v>2224</v>
      </c>
      <c r="U490" t="s">
        <v>1176</v>
      </c>
      <c r="V490" s="1">
        <v>46053</v>
      </c>
      <c r="W490" s="1">
        <v>46053</v>
      </c>
      <c r="X490" t="s">
        <v>77</v>
      </c>
      <c r="Y490" t="s">
        <v>646</v>
      </c>
      <c r="Z490" t="s">
        <v>6</v>
      </c>
      <c r="AA490" t="s">
        <v>646</v>
      </c>
      <c r="AB490" s="4">
        <f t="shared" si="32"/>
        <v>140466.66666666669</v>
      </c>
      <c r="AC490" s="6">
        <v>0.04</v>
      </c>
      <c r="AD490" s="4">
        <f t="shared" si="33"/>
        <v>5618.6666666666679</v>
      </c>
      <c r="AE490" s="4">
        <f t="shared" si="29"/>
        <v>1404.6666666666679</v>
      </c>
    </row>
    <row r="491" spans="1:31" x14ac:dyDescent="0.25">
      <c r="A491" t="s">
        <v>0</v>
      </c>
      <c r="B491" s="3" t="s">
        <v>2219</v>
      </c>
      <c r="C491" t="s">
        <v>1172</v>
      </c>
      <c r="D491" t="s">
        <v>160</v>
      </c>
      <c r="E491" t="s">
        <v>1239</v>
      </c>
      <c r="F491" s="1">
        <v>46060</v>
      </c>
      <c r="G491" s="1">
        <v>46063</v>
      </c>
      <c r="H491" t="s">
        <v>904</v>
      </c>
      <c r="I491" t="s">
        <v>5</v>
      </c>
      <c r="J491" t="s">
        <v>6</v>
      </c>
      <c r="K491" t="s">
        <v>4</v>
      </c>
      <c r="L491" t="s">
        <v>1240</v>
      </c>
      <c r="M491" t="s">
        <v>1240</v>
      </c>
      <c r="N491" s="2">
        <v>2677</v>
      </c>
      <c r="O491" t="s">
        <v>1175</v>
      </c>
      <c r="P491" t="s">
        <v>9</v>
      </c>
      <c r="Q491" t="s">
        <v>86</v>
      </c>
      <c r="R491" t="e">
        <f>VLOOKUP(Q491,#REF!,2,FALSE)</f>
        <v>#REF!</v>
      </c>
      <c r="S491">
        <v>1511</v>
      </c>
      <c r="T491" t="s">
        <v>2224</v>
      </c>
      <c r="U491" t="s">
        <v>1176</v>
      </c>
      <c r="V491" s="1">
        <v>46053</v>
      </c>
      <c r="W491" s="1">
        <v>46053</v>
      </c>
      <c r="X491" t="s">
        <v>77</v>
      </c>
      <c r="Y491" t="s">
        <v>646</v>
      </c>
      <c r="Z491" t="s">
        <v>6</v>
      </c>
      <c r="AA491" t="s">
        <v>646</v>
      </c>
      <c r="AB491" s="4">
        <f t="shared" si="32"/>
        <v>89233.333333333343</v>
      </c>
      <c r="AC491" s="6">
        <v>0.04</v>
      </c>
      <c r="AD491" s="4">
        <f t="shared" si="33"/>
        <v>3569.3333333333339</v>
      </c>
      <c r="AE491" s="4">
        <f t="shared" si="29"/>
        <v>892.33333333333394</v>
      </c>
    </row>
    <row r="492" spans="1:31" x14ac:dyDescent="0.25">
      <c r="A492" t="s">
        <v>0</v>
      </c>
      <c r="B492" s="3" t="s">
        <v>2219</v>
      </c>
      <c r="C492" t="s">
        <v>1172</v>
      </c>
      <c r="D492" t="s">
        <v>160</v>
      </c>
      <c r="E492" t="s">
        <v>1241</v>
      </c>
      <c r="F492" s="1">
        <v>46060</v>
      </c>
      <c r="G492" s="1">
        <v>46063</v>
      </c>
      <c r="H492" t="s">
        <v>904</v>
      </c>
      <c r="I492" t="s">
        <v>5</v>
      </c>
      <c r="J492" t="s">
        <v>6</v>
      </c>
      <c r="K492" t="s">
        <v>4</v>
      </c>
      <c r="L492" t="s">
        <v>1242</v>
      </c>
      <c r="M492" t="s">
        <v>1242</v>
      </c>
      <c r="N492" s="2">
        <v>7126</v>
      </c>
      <c r="O492" t="s">
        <v>1175</v>
      </c>
      <c r="P492" t="s">
        <v>9</v>
      </c>
      <c r="Q492" t="s">
        <v>86</v>
      </c>
      <c r="R492" t="e">
        <f>VLOOKUP(Q492,#REF!,2,FALSE)</f>
        <v>#REF!</v>
      </c>
      <c r="S492">
        <v>1511</v>
      </c>
      <c r="T492" t="s">
        <v>2224</v>
      </c>
      <c r="U492" t="s">
        <v>1176</v>
      </c>
      <c r="V492" s="1">
        <v>46053</v>
      </c>
      <c r="W492" s="1">
        <v>46053</v>
      </c>
      <c r="X492" t="s">
        <v>77</v>
      </c>
      <c r="Y492" t="s">
        <v>646</v>
      </c>
      <c r="Z492" t="s">
        <v>6</v>
      </c>
      <c r="AA492" t="s">
        <v>646</v>
      </c>
      <c r="AB492" s="4">
        <f t="shared" si="32"/>
        <v>237533.33333333334</v>
      </c>
      <c r="AC492" s="6">
        <v>0.04</v>
      </c>
      <c r="AD492" s="4">
        <f t="shared" si="33"/>
        <v>9501.3333333333339</v>
      </c>
      <c r="AE492" s="4">
        <f t="shared" si="29"/>
        <v>2375.3333333333339</v>
      </c>
    </row>
    <row r="493" spans="1:31" x14ac:dyDescent="0.25">
      <c r="A493" t="s">
        <v>0</v>
      </c>
      <c r="B493" s="3" t="s">
        <v>2219</v>
      </c>
      <c r="C493" t="s">
        <v>1172</v>
      </c>
      <c r="D493" t="s">
        <v>160</v>
      </c>
      <c r="E493" t="s">
        <v>1243</v>
      </c>
      <c r="F493" s="1">
        <v>46060</v>
      </c>
      <c r="G493" s="1">
        <v>46063</v>
      </c>
      <c r="H493" t="s">
        <v>904</v>
      </c>
      <c r="I493" t="s">
        <v>5</v>
      </c>
      <c r="J493" t="s">
        <v>6</v>
      </c>
      <c r="K493" t="s">
        <v>4</v>
      </c>
      <c r="L493" t="s">
        <v>1244</v>
      </c>
      <c r="M493" t="s">
        <v>1244</v>
      </c>
      <c r="N493" s="2">
        <v>258</v>
      </c>
      <c r="O493" t="s">
        <v>1175</v>
      </c>
      <c r="P493" t="s">
        <v>9</v>
      </c>
      <c r="Q493" t="s">
        <v>86</v>
      </c>
      <c r="R493" t="e">
        <f>VLOOKUP(Q493,#REF!,2,FALSE)</f>
        <v>#REF!</v>
      </c>
      <c r="S493">
        <v>1511</v>
      </c>
      <c r="T493" t="s">
        <v>2224</v>
      </c>
      <c r="U493" t="s">
        <v>1176</v>
      </c>
      <c r="V493" s="1">
        <v>46053</v>
      </c>
      <c r="W493" s="1">
        <v>46053</v>
      </c>
      <c r="X493" t="s">
        <v>77</v>
      </c>
      <c r="Y493" t="s">
        <v>646</v>
      </c>
      <c r="Z493" t="s">
        <v>6</v>
      </c>
      <c r="AA493" t="s">
        <v>646</v>
      </c>
      <c r="AB493" s="4">
        <f t="shared" si="32"/>
        <v>8600</v>
      </c>
      <c r="AC493" s="6">
        <v>0.04</v>
      </c>
      <c r="AD493" s="4">
        <f t="shared" si="33"/>
        <v>344</v>
      </c>
      <c r="AE493" s="4">
        <f t="shared" si="29"/>
        <v>86</v>
      </c>
    </row>
    <row r="494" spans="1:31" x14ac:dyDescent="0.25">
      <c r="A494" t="s">
        <v>0</v>
      </c>
      <c r="B494" s="3" t="s">
        <v>2219</v>
      </c>
      <c r="C494" t="s">
        <v>1172</v>
      </c>
      <c r="D494" t="s">
        <v>160</v>
      </c>
      <c r="E494" t="s">
        <v>1245</v>
      </c>
      <c r="F494" s="1">
        <v>46060</v>
      </c>
      <c r="G494" s="1">
        <v>46063</v>
      </c>
      <c r="H494" t="s">
        <v>904</v>
      </c>
      <c r="I494" t="s">
        <v>5</v>
      </c>
      <c r="J494" t="s">
        <v>6</v>
      </c>
      <c r="K494" t="s">
        <v>4</v>
      </c>
      <c r="L494" t="s">
        <v>1246</v>
      </c>
      <c r="M494" t="s">
        <v>1246</v>
      </c>
      <c r="N494" s="2">
        <v>2052</v>
      </c>
      <c r="O494" t="s">
        <v>1175</v>
      </c>
      <c r="P494" t="s">
        <v>9</v>
      </c>
      <c r="Q494" t="s">
        <v>86</v>
      </c>
      <c r="R494" t="e">
        <f>VLOOKUP(Q494,#REF!,2,FALSE)</f>
        <v>#REF!</v>
      </c>
      <c r="S494">
        <v>1511</v>
      </c>
      <c r="T494" t="s">
        <v>2224</v>
      </c>
      <c r="U494" t="s">
        <v>1176</v>
      </c>
      <c r="V494" s="1">
        <v>46053</v>
      </c>
      <c r="W494" s="1">
        <v>46053</v>
      </c>
      <c r="X494" t="s">
        <v>77</v>
      </c>
      <c r="Y494" t="s">
        <v>646</v>
      </c>
      <c r="Z494" t="s">
        <v>6</v>
      </c>
      <c r="AA494" t="s">
        <v>646</v>
      </c>
      <c r="AB494" s="4">
        <f t="shared" si="32"/>
        <v>68400</v>
      </c>
      <c r="AC494" s="6">
        <v>0.04</v>
      </c>
      <c r="AD494" s="4">
        <f t="shared" si="33"/>
        <v>2736</v>
      </c>
      <c r="AE494" s="4">
        <f t="shared" si="29"/>
        <v>684</v>
      </c>
    </row>
    <row r="495" spans="1:31" x14ac:dyDescent="0.25">
      <c r="A495" t="s">
        <v>0</v>
      </c>
      <c r="B495" s="3" t="s">
        <v>2219</v>
      </c>
      <c r="C495" t="s">
        <v>1172</v>
      </c>
      <c r="D495" t="s">
        <v>160</v>
      </c>
      <c r="E495" t="s">
        <v>1247</v>
      </c>
      <c r="F495" s="1">
        <v>46060</v>
      </c>
      <c r="G495" s="1">
        <v>46063</v>
      </c>
      <c r="H495" t="s">
        <v>904</v>
      </c>
      <c r="I495" t="s">
        <v>5</v>
      </c>
      <c r="J495" t="s">
        <v>6</v>
      </c>
      <c r="K495" t="s">
        <v>4</v>
      </c>
      <c r="L495" t="s">
        <v>1248</v>
      </c>
      <c r="M495" t="s">
        <v>1248</v>
      </c>
      <c r="N495" s="2">
        <v>1319</v>
      </c>
      <c r="O495" t="s">
        <v>1175</v>
      </c>
      <c r="P495" t="s">
        <v>9</v>
      </c>
      <c r="Q495" t="s">
        <v>86</v>
      </c>
      <c r="R495" t="e">
        <f>VLOOKUP(Q495,#REF!,2,FALSE)</f>
        <v>#REF!</v>
      </c>
      <c r="S495">
        <v>1511</v>
      </c>
      <c r="T495" t="s">
        <v>2224</v>
      </c>
      <c r="U495" t="s">
        <v>1176</v>
      </c>
      <c r="V495" s="1">
        <v>46053</v>
      </c>
      <c r="W495" s="1">
        <v>46053</v>
      </c>
      <c r="X495" t="s">
        <v>77</v>
      </c>
      <c r="Y495" t="s">
        <v>646</v>
      </c>
      <c r="Z495" t="s">
        <v>6</v>
      </c>
      <c r="AA495" t="s">
        <v>646</v>
      </c>
      <c r="AB495" s="4">
        <f t="shared" si="32"/>
        <v>43966.666666666672</v>
      </c>
      <c r="AC495" s="6">
        <v>0.04</v>
      </c>
      <c r="AD495" s="4">
        <f t="shared" si="33"/>
        <v>1758.666666666667</v>
      </c>
      <c r="AE495" s="4">
        <f t="shared" si="29"/>
        <v>439.66666666666697</v>
      </c>
    </row>
    <row r="496" spans="1:31" x14ac:dyDescent="0.25">
      <c r="A496" t="s">
        <v>0</v>
      </c>
      <c r="B496" s="3" t="s">
        <v>2219</v>
      </c>
      <c r="C496" t="s">
        <v>1172</v>
      </c>
      <c r="D496" t="s">
        <v>160</v>
      </c>
      <c r="E496" t="s">
        <v>1249</v>
      </c>
      <c r="F496" s="1">
        <v>46060</v>
      </c>
      <c r="G496" s="1">
        <v>46063</v>
      </c>
      <c r="H496" t="s">
        <v>904</v>
      </c>
      <c r="I496" t="s">
        <v>5</v>
      </c>
      <c r="J496" t="s">
        <v>6</v>
      </c>
      <c r="K496" t="s">
        <v>4</v>
      </c>
      <c r="L496" t="s">
        <v>1250</v>
      </c>
      <c r="M496" t="s">
        <v>1250</v>
      </c>
      <c r="N496" s="2">
        <v>2849</v>
      </c>
      <c r="O496" t="s">
        <v>1175</v>
      </c>
      <c r="P496" t="s">
        <v>9</v>
      </c>
      <c r="Q496" t="s">
        <v>86</v>
      </c>
      <c r="R496" t="e">
        <f>VLOOKUP(Q496,#REF!,2,FALSE)</f>
        <v>#REF!</v>
      </c>
      <c r="S496">
        <v>1511</v>
      </c>
      <c r="T496" t="s">
        <v>2224</v>
      </c>
      <c r="U496" t="s">
        <v>1176</v>
      </c>
      <c r="V496" s="1">
        <v>46053</v>
      </c>
      <c r="W496" s="1">
        <v>46053</v>
      </c>
      <c r="X496" t="s">
        <v>77</v>
      </c>
      <c r="Y496" t="s">
        <v>646</v>
      </c>
      <c r="Z496" t="s">
        <v>6</v>
      </c>
      <c r="AA496" t="s">
        <v>646</v>
      </c>
      <c r="AB496" s="4">
        <f t="shared" si="32"/>
        <v>94966.666666666672</v>
      </c>
      <c r="AC496" s="6">
        <v>0.04</v>
      </c>
      <c r="AD496" s="4">
        <f t="shared" si="33"/>
        <v>3798.666666666667</v>
      </c>
      <c r="AE496" s="4">
        <f t="shared" si="29"/>
        <v>949.66666666666697</v>
      </c>
    </row>
    <row r="497" spans="1:31" x14ac:dyDescent="0.25">
      <c r="A497" t="s">
        <v>0</v>
      </c>
      <c r="B497" s="3" t="s">
        <v>2219</v>
      </c>
      <c r="C497" t="s">
        <v>1172</v>
      </c>
      <c r="D497" t="s">
        <v>160</v>
      </c>
      <c r="E497" t="s">
        <v>1251</v>
      </c>
      <c r="F497" s="1">
        <v>46060</v>
      </c>
      <c r="G497" s="1">
        <v>46063</v>
      </c>
      <c r="H497" t="s">
        <v>904</v>
      </c>
      <c r="I497" t="s">
        <v>5</v>
      </c>
      <c r="J497" t="s">
        <v>6</v>
      </c>
      <c r="K497" t="s">
        <v>4</v>
      </c>
      <c r="L497" t="s">
        <v>1252</v>
      </c>
      <c r="M497" t="s">
        <v>1252</v>
      </c>
      <c r="N497" s="2">
        <v>2221</v>
      </c>
      <c r="O497" t="s">
        <v>1175</v>
      </c>
      <c r="P497" t="s">
        <v>9</v>
      </c>
      <c r="Q497" t="s">
        <v>86</v>
      </c>
      <c r="R497" t="e">
        <f>VLOOKUP(Q497,#REF!,2,FALSE)</f>
        <v>#REF!</v>
      </c>
      <c r="S497">
        <v>1511</v>
      </c>
      <c r="T497" t="s">
        <v>2224</v>
      </c>
      <c r="U497" t="s">
        <v>1176</v>
      </c>
      <c r="V497" s="1">
        <v>46053</v>
      </c>
      <c r="W497" s="1">
        <v>46053</v>
      </c>
      <c r="X497" t="s">
        <v>77</v>
      </c>
      <c r="Y497" t="s">
        <v>646</v>
      </c>
      <c r="Z497" t="s">
        <v>6</v>
      </c>
      <c r="AA497" t="s">
        <v>646</v>
      </c>
      <c r="AB497" s="4">
        <f t="shared" si="32"/>
        <v>74033.333333333343</v>
      </c>
      <c r="AC497" s="6">
        <v>0.04</v>
      </c>
      <c r="AD497" s="4">
        <f t="shared" si="33"/>
        <v>2961.3333333333339</v>
      </c>
      <c r="AE497" s="4">
        <f t="shared" si="29"/>
        <v>740.33333333333394</v>
      </c>
    </row>
    <row r="498" spans="1:31" x14ac:dyDescent="0.25">
      <c r="A498" t="s">
        <v>0</v>
      </c>
      <c r="B498" s="3" t="s">
        <v>2219</v>
      </c>
      <c r="C498" t="s">
        <v>1172</v>
      </c>
      <c r="D498" t="s">
        <v>160</v>
      </c>
      <c r="E498" t="s">
        <v>1253</v>
      </c>
      <c r="F498" s="1">
        <v>46060</v>
      </c>
      <c r="G498" s="1">
        <v>46063</v>
      </c>
      <c r="H498" t="s">
        <v>904</v>
      </c>
      <c r="I498" t="s">
        <v>5</v>
      </c>
      <c r="J498" t="s">
        <v>6</v>
      </c>
      <c r="K498" t="s">
        <v>4</v>
      </c>
      <c r="L498" t="s">
        <v>1254</v>
      </c>
      <c r="M498" t="s">
        <v>1254</v>
      </c>
      <c r="N498" s="2">
        <v>619</v>
      </c>
      <c r="O498" t="s">
        <v>1175</v>
      </c>
      <c r="P498" t="s">
        <v>9</v>
      </c>
      <c r="Q498" t="s">
        <v>86</v>
      </c>
      <c r="R498" t="e">
        <f>VLOOKUP(Q498,#REF!,2,FALSE)</f>
        <v>#REF!</v>
      </c>
      <c r="S498">
        <v>1511</v>
      </c>
      <c r="T498" t="s">
        <v>2224</v>
      </c>
      <c r="U498" t="s">
        <v>1176</v>
      </c>
      <c r="V498" s="1">
        <v>46053</v>
      </c>
      <c r="W498" s="1">
        <v>46053</v>
      </c>
      <c r="X498" t="s">
        <v>77</v>
      </c>
      <c r="Y498" t="s">
        <v>646</v>
      </c>
      <c r="Z498" t="s">
        <v>6</v>
      </c>
      <c r="AA498" t="s">
        <v>646</v>
      </c>
      <c r="AB498" s="4">
        <f t="shared" si="32"/>
        <v>20633.333333333336</v>
      </c>
      <c r="AC498" s="6">
        <v>0.04</v>
      </c>
      <c r="AD498" s="4">
        <f t="shared" si="33"/>
        <v>825.33333333333348</v>
      </c>
      <c r="AE498" s="4">
        <f t="shared" si="29"/>
        <v>206.33333333333348</v>
      </c>
    </row>
    <row r="499" spans="1:31" x14ac:dyDescent="0.25">
      <c r="A499" t="s">
        <v>0</v>
      </c>
      <c r="B499" s="3" t="s">
        <v>2219</v>
      </c>
      <c r="C499" t="s">
        <v>1172</v>
      </c>
      <c r="D499" t="s">
        <v>160</v>
      </c>
      <c r="E499" t="s">
        <v>1255</v>
      </c>
      <c r="F499" s="1">
        <v>46060</v>
      </c>
      <c r="G499" s="1">
        <v>46063</v>
      </c>
      <c r="H499" t="s">
        <v>904</v>
      </c>
      <c r="I499" t="s">
        <v>5</v>
      </c>
      <c r="J499" t="s">
        <v>6</v>
      </c>
      <c r="K499" t="s">
        <v>4</v>
      </c>
      <c r="L499" t="s">
        <v>1256</v>
      </c>
      <c r="M499" t="s">
        <v>1256</v>
      </c>
      <c r="N499" s="2">
        <v>2146</v>
      </c>
      <c r="O499" t="s">
        <v>1175</v>
      </c>
      <c r="P499" t="s">
        <v>9</v>
      </c>
      <c r="Q499" t="s">
        <v>86</v>
      </c>
      <c r="R499" t="e">
        <f>VLOOKUP(Q499,#REF!,2,FALSE)</f>
        <v>#REF!</v>
      </c>
      <c r="S499">
        <v>1511</v>
      </c>
      <c r="T499" t="s">
        <v>2224</v>
      </c>
      <c r="U499" t="s">
        <v>1176</v>
      </c>
      <c r="V499" s="1">
        <v>46053</v>
      </c>
      <c r="W499" s="1">
        <v>46053</v>
      </c>
      <c r="X499" t="s">
        <v>77</v>
      </c>
      <c r="Y499" t="s">
        <v>646</v>
      </c>
      <c r="Z499" t="s">
        <v>6</v>
      </c>
      <c r="AA499" t="s">
        <v>646</v>
      </c>
      <c r="AB499" s="4">
        <f t="shared" si="32"/>
        <v>71533.333333333343</v>
      </c>
      <c r="AC499" s="6">
        <v>0.04</v>
      </c>
      <c r="AD499" s="4">
        <f t="shared" si="33"/>
        <v>2861.3333333333339</v>
      </c>
      <c r="AE499" s="4">
        <f t="shared" si="29"/>
        <v>715.33333333333394</v>
      </c>
    </row>
    <row r="500" spans="1:31" x14ac:dyDescent="0.25">
      <c r="A500" t="s">
        <v>0</v>
      </c>
      <c r="B500" s="3" t="s">
        <v>2219</v>
      </c>
      <c r="C500" t="s">
        <v>1257</v>
      </c>
      <c r="D500" t="s">
        <v>160</v>
      </c>
      <c r="E500" t="s">
        <v>1258</v>
      </c>
      <c r="F500" s="1">
        <v>46060</v>
      </c>
      <c r="G500" s="1">
        <v>46063</v>
      </c>
      <c r="H500" t="s">
        <v>882</v>
      </c>
      <c r="I500" t="s">
        <v>5</v>
      </c>
      <c r="J500" t="s">
        <v>6</v>
      </c>
      <c r="K500" t="s">
        <v>4</v>
      </c>
      <c r="L500" t="s">
        <v>1259</v>
      </c>
      <c r="M500" t="s">
        <v>1259</v>
      </c>
      <c r="N500" s="2">
        <v>129486</v>
      </c>
      <c r="O500" t="s">
        <v>1260</v>
      </c>
      <c r="P500" t="s">
        <v>9</v>
      </c>
      <c r="Q500" t="s">
        <v>75</v>
      </c>
      <c r="R500" t="e">
        <f>VLOOKUP(Q500,#REF!,2,FALSE)</f>
        <v>#REF!</v>
      </c>
      <c r="S500">
        <v>1004</v>
      </c>
      <c r="T500" t="s">
        <v>2225</v>
      </c>
      <c r="U500" t="s">
        <v>1261</v>
      </c>
      <c r="V500" s="1">
        <v>46053</v>
      </c>
      <c r="W500" s="1">
        <v>46053</v>
      </c>
      <c r="X500" t="s">
        <v>77</v>
      </c>
      <c r="Y500" t="s">
        <v>78</v>
      </c>
      <c r="Z500" t="s">
        <v>6</v>
      </c>
      <c r="AA500" t="s">
        <v>78</v>
      </c>
      <c r="AB500" s="4">
        <f t="shared" ref="AB500:AB506" si="34">L500/0.1</f>
        <v>1294860</v>
      </c>
      <c r="AC500" s="5" t="s">
        <v>2215</v>
      </c>
      <c r="AD500" s="4">
        <f t="shared" ref="AD500:AD506" si="35">AB500/12</f>
        <v>107905</v>
      </c>
      <c r="AE500" s="4">
        <f t="shared" si="29"/>
        <v>-21581</v>
      </c>
    </row>
    <row r="501" spans="1:31" x14ac:dyDescent="0.25">
      <c r="A501" t="s">
        <v>0</v>
      </c>
      <c r="B501" s="3" t="s">
        <v>2219</v>
      </c>
      <c r="C501" t="s">
        <v>1257</v>
      </c>
      <c r="D501" t="s">
        <v>160</v>
      </c>
      <c r="E501" t="s">
        <v>1262</v>
      </c>
      <c r="F501" s="1">
        <v>46060</v>
      </c>
      <c r="G501" s="1">
        <v>46063</v>
      </c>
      <c r="H501" t="s">
        <v>882</v>
      </c>
      <c r="I501" t="s">
        <v>5</v>
      </c>
      <c r="J501" t="s">
        <v>6</v>
      </c>
      <c r="K501" t="s">
        <v>4</v>
      </c>
      <c r="L501" t="s">
        <v>1263</v>
      </c>
      <c r="M501" t="s">
        <v>1263</v>
      </c>
      <c r="N501" s="2">
        <v>157402</v>
      </c>
      <c r="O501" t="s">
        <v>1260</v>
      </c>
      <c r="P501" t="s">
        <v>9</v>
      </c>
      <c r="Q501" t="s">
        <v>75</v>
      </c>
      <c r="R501" t="e">
        <f>VLOOKUP(Q501,#REF!,2,FALSE)</f>
        <v>#REF!</v>
      </c>
      <c r="S501">
        <v>1004</v>
      </c>
      <c r="T501" t="s">
        <v>2225</v>
      </c>
      <c r="U501" t="s">
        <v>1261</v>
      </c>
      <c r="V501" s="1">
        <v>46053</v>
      </c>
      <c r="W501" s="1">
        <v>46053</v>
      </c>
      <c r="X501" t="s">
        <v>77</v>
      </c>
      <c r="Y501" t="s">
        <v>78</v>
      </c>
      <c r="Z501" t="s">
        <v>6</v>
      </c>
      <c r="AA501" t="s">
        <v>78</v>
      </c>
      <c r="AB501" s="4">
        <f t="shared" si="34"/>
        <v>1574020</v>
      </c>
      <c r="AC501" s="5" t="s">
        <v>2215</v>
      </c>
      <c r="AD501" s="4">
        <f t="shared" si="35"/>
        <v>131168.33333333334</v>
      </c>
      <c r="AE501" s="4">
        <f t="shared" si="29"/>
        <v>-26233.666666666657</v>
      </c>
    </row>
    <row r="502" spans="1:31" x14ac:dyDescent="0.25">
      <c r="A502" t="s">
        <v>0</v>
      </c>
      <c r="B502" s="3" t="s">
        <v>2219</v>
      </c>
      <c r="C502" t="s">
        <v>1257</v>
      </c>
      <c r="D502" t="s">
        <v>160</v>
      </c>
      <c r="E502" t="s">
        <v>1264</v>
      </c>
      <c r="F502" s="1">
        <v>46060</v>
      </c>
      <c r="G502" s="1">
        <v>46063</v>
      </c>
      <c r="H502" t="s">
        <v>882</v>
      </c>
      <c r="I502" t="s">
        <v>5</v>
      </c>
      <c r="J502" t="s">
        <v>6</v>
      </c>
      <c r="K502" t="s">
        <v>4</v>
      </c>
      <c r="L502" t="s">
        <v>1265</v>
      </c>
      <c r="M502" t="s">
        <v>1265</v>
      </c>
      <c r="N502" s="2">
        <v>65738</v>
      </c>
      <c r="O502" t="s">
        <v>1260</v>
      </c>
      <c r="P502" t="s">
        <v>9</v>
      </c>
      <c r="Q502" t="s">
        <v>75</v>
      </c>
      <c r="R502" t="e">
        <f>VLOOKUP(Q502,#REF!,2,FALSE)</f>
        <v>#REF!</v>
      </c>
      <c r="S502">
        <v>1004</v>
      </c>
      <c r="T502" t="s">
        <v>2225</v>
      </c>
      <c r="U502" t="s">
        <v>1261</v>
      </c>
      <c r="V502" s="1">
        <v>46053</v>
      </c>
      <c r="W502" s="1">
        <v>46053</v>
      </c>
      <c r="X502" t="s">
        <v>77</v>
      </c>
      <c r="Y502" t="s">
        <v>78</v>
      </c>
      <c r="Z502" t="s">
        <v>6</v>
      </c>
      <c r="AA502" t="s">
        <v>78</v>
      </c>
      <c r="AB502" s="4">
        <f t="shared" si="34"/>
        <v>657380</v>
      </c>
      <c r="AC502" s="5" t="s">
        <v>2215</v>
      </c>
      <c r="AD502" s="4">
        <f t="shared" si="35"/>
        <v>54781.666666666664</v>
      </c>
      <c r="AE502" s="4">
        <f t="shared" si="29"/>
        <v>-10956.333333333336</v>
      </c>
    </row>
    <row r="503" spans="1:31" x14ac:dyDescent="0.25">
      <c r="A503" t="s">
        <v>0</v>
      </c>
      <c r="B503" s="3" t="s">
        <v>2219</v>
      </c>
      <c r="C503" t="s">
        <v>1257</v>
      </c>
      <c r="D503" t="s">
        <v>160</v>
      </c>
      <c r="E503" t="s">
        <v>1266</v>
      </c>
      <c r="F503" s="1">
        <v>46060</v>
      </c>
      <c r="G503" s="1">
        <v>46063</v>
      </c>
      <c r="H503" t="s">
        <v>882</v>
      </c>
      <c r="I503" t="s">
        <v>5</v>
      </c>
      <c r="J503" t="s">
        <v>6</v>
      </c>
      <c r="K503" t="s">
        <v>4</v>
      </c>
      <c r="L503" t="s">
        <v>1267</v>
      </c>
      <c r="M503" t="s">
        <v>1267</v>
      </c>
      <c r="N503" s="2">
        <v>8557</v>
      </c>
      <c r="O503" t="s">
        <v>1260</v>
      </c>
      <c r="P503" t="s">
        <v>9</v>
      </c>
      <c r="Q503" t="s">
        <v>75</v>
      </c>
      <c r="R503" t="e">
        <f>VLOOKUP(Q503,#REF!,2,FALSE)</f>
        <v>#REF!</v>
      </c>
      <c r="S503">
        <v>1004</v>
      </c>
      <c r="T503" t="s">
        <v>2225</v>
      </c>
      <c r="U503" t="s">
        <v>1261</v>
      </c>
      <c r="V503" s="1">
        <v>46053</v>
      </c>
      <c r="W503" s="1">
        <v>46053</v>
      </c>
      <c r="X503" t="s">
        <v>77</v>
      </c>
      <c r="Y503" t="s">
        <v>78</v>
      </c>
      <c r="Z503" t="s">
        <v>6</v>
      </c>
      <c r="AA503" t="s">
        <v>78</v>
      </c>
      <c r="AB503" s="4">
        <f t="shared" si="34"/>
        <v>85570</v>
      </c>
      <c r="AC503" s="5" t="s">
        <v>2215</v>
      </c>
      <c r="AD503" s="4">
        <f t="shared" si="35"/>
        <v>7130.833333333333</v>
      </c>
      <c r="AE503" s="4">
        <f t="shared" si="29"/>
        <v>-1426.166666666667</v>
      </c>
    </row>
    <row r="504" spans="1:31" x14ac:dyDescent="0.25">
      <c r="A504" t="s">
        <v>0</v>
      </c>
      <c r="B504" s="3" t="s">
        <v>2219</v>
      </c>
      <c r="C504" t="s">
        <v>1257</v>
      </c>
      <c r="D504" t="s">
        <v>160</v>
      </c>
      <c r="E504" t="s">
        <v>1268</v>
      </c>
      <c r="F504" s="1">
        <v>46060</v>
      </c>
      <c r="G504" s="1">
        <v>46063</v>
      </c>
      <c r="H504" t="s">
        <v>882</v>
      </c>
      <c r="I504" t="s">
        <v>5</v>
      </c>
      <c r="J504" t="s">
        <v>6</v>
      </c>
      <c r="K504" t="s">
        <v>4</v>
      </c>
      <c r="L504" t="s">
        <v>1269</v>
      </c>
      <c r="M504" t="s">
        <v>1269</v>
      </c>
      <c r="N504" s="2">
        <v>228506</v>
      </c>
      <c r="O504" t="s">
        <v>1260</v>
      </c>
      <c r="P504" t="s">
        <v>9</v>
      </c>
      <c r="Q504" t="s">
        <v>75</v>
      </c>
      <c r="R504" t="e">
        <f>VLOOKUP(Q504,#REF!,2,FALSE)</f>
        <v>#REF!</v>
      </c>
      <c r="S504">
        <v>1004</v>
      </c>
      <c r="T504" t="s">
        <v>2225</v>
      </c>
      <c r="U504" t="s">
        <v>1261</v>
      </c>
      <c r="V504" s="1">
        <v>46053</v>
      </c>
      <c r="W504" s="1">
        <v>46053</v>
      </c>
      <c r="X504" t="s">
        <v>77</v>
      </c>
      <c r="Y504" t="s">
        <v>78</v>
      </c>
      <c r="Z504" t="s">
        <v>6</v>
      </c>
      <c r="AA504" t="s">
        <v>78</v>
      </c>
      <c r="AB504" s="4">
        <f t="shared" si="34"/>
        <v>2285060</v>
      </c>
      <c r="AC504" s="5" t="s">
        <v>2215</v>
      </c>
      <c r="AD504" s="4">
        <f t="shared" si="35"/>
        <v>190421.66666666666</v>
      </c>
      <c r="AE504" s="4">
        <f t="shared" si="29"/>
        <v>-38084.333333333343</v>
      </c>
    </row>
    <row r="505" spans="1:31" x14ac:dyDescent="0.25">
      <c r="A505" t="s">
        <v>0</v>
      </c>
      <c r="B505" s="3" t="s">
        <v>2219</v>
      </c>
      <c r="C505" t="s">
        <v>1257</v>
      </c>
      <c r="D505" t="s">
        <v>160</v>
      </c>
      <c r="E505" t="s">
        <v>1270</v>
      </c>
      <c r="F505" s="1">
        <v>46060</v>
      </c>
      <c r="G505" s="1">
        <v>46063</v>
      </c>
      <c r="H505" t="s">
        <v>882</v>
      </c>
      <c r="I505" t="s">
        <v>5</v>
      </c>
      <c r="J505" t="s">
        <v>6</v>
      </c>
      <c r="K505" t="s">
        <v>4</v>
      </c>
      <c r="L505" t="s">
        <v>1271</v>
      </c>
      <c r="M505" t="s">
        <v>1271</v>
      </c>
      <c r="N505" s="2">
        <v>24762</v>
      </c>
      <c r="O505" t="s">
        <v>1260</v>
      </c>
      <c r="P505" t="s">
        <v>9</v>
      </c>
      <c r="Q505" t="s">
        <v>75</v>
      </c>
      <c r="R505" t="e">
        <f>VLOOKUP(Q505,#REF!,2,FALSE)</f>
        <v>#REF!</v>
      </c>
      <c r="S505">
        <v>1004</v>
      </c>
      <c r="T505" t="s">
        <v>2225</v>
      </c>
      <c r="U505" t="s">
        <v>1261</v>
      </c>
      <c r="V505" s="1">
        <v>46053</v>
      </c>
      <c r="W505" s="1">
        <v>46053</v>
      </c>
      <c r="X505" t="s">
        <v>77</v>
      </c>
      <c r="Y505" t="s">
        <v>78</v>
      </c>
      <c r="Z505" t="s">
        <v>6</v>
      </c>
      <c r="AA505" t="s">
        <v>78</v>
      </c>
      <c r="AB505" s="4">
        <f t="shared" si="34"/>
        <v>247620</v>
      </c>
      <c r="AC505" s="5" t="s">
        <v>2215</v>
      </c>
      <c r="AD505" s="4">
        <f t="shared" si="35"/>
        <v>20635</v>
      </c>
      <c r="AE505" s="4">
        <f t="shared" si="29"/>
        <v>-4127</v>
      </c>
    </row>
    <row r="506" spans="1:31" x14ac:dyDescent="0.25">
      <c r="A506" t="s">
        <v>0</v>
      </c>
      <c r="B506" s="3" t="s">
        <v>2219</v>
      </c>
      <c r="C506" t="s">
        <v>1257</v>
      </c>
      <c r="D506" t="s">
        <v>160</v>
      </c>
      <c r="E506" t="s">
        <v>1272</v>
      </c>
      <c r="F506" s="1">
        <v>46060</v>
      </c>
      <c r="G506" s="1">
        <v>46063</v>
      </c>
      <c r="H506" t="s">
        <v>882</v>
      </c>
      <c r="I506" t="s">
        <v>5</v>
      </c>
      <c r="J506" t="s">
        <v>6</v>
      </c>
      <c r="K506" t="s">
        <v>4</v>
      </c>
      <c r="L506" t="s">
        <v>1273</v>
      </c>
      <c r="M506" t="s">
        <v>1273</v>
      </c>
      <c r="N506" s="2">
        <v>13458</v>
      </c>
      <c r="O506" t="s">
        <v>1260</v>
      </c>
      <c r="P506" t="s">
        <v>9</v>
      </c>
      <c r="Q506" t="s">
        <v>75</v>
      </c>
      <c r="R506" t="e">
        <f>VLOOKUP(Q506,#REF!,2,FALSE)</f>
        <v>#REF!</v>
      </c>
      <c r="S506">
        <v>1004</v>
      </c>
      <c r="T506" t="s">
        <v>2225</v>
      </c>
      <c r="U506" t="s">
        <v>1261</v>
      </c>
      <c r="V506" s="1">
        <v>46053</v>
      </c>
      <c r="W506" s="1">
        <v>46053</v>
      </c>
      <c r="X506" t="s">
        <v>77</v>
      </c>
      <c r="Y506" t="s">
        <v>78</v>
      </c>
      <c r="Z506" t="s">
        <v>6</v>
      </c>
      <c r="AA506" t="s">
        <v>78</v>
      </c>
      <c r="AB506" s="4">
        <f t="shared" si="34"/>
        <v>134580</v>
      </c>
      <c r="AC506" s="5" t="s">
        <v>2215</v>
      </c>
      <c r="AD506" s="4">
        <f t="shared" si="35"/>
        <v>11215</v>
      </c>
      <c r="AE506" s="4">
        <f t="shared" si="29"/>
        <v>-2243</v>
      </c>
    </row>
    <row r="507" spans="1:31" x14ac:dyDescent="0.25">
      <c r="A507" t="s">
        <v>0</v>
      </c>
      <c r="B507" s="3" t="s">
        <v>2219</v>
      </c>
      <c r="C507" t="s">
        <v>1257</v>
      </c>
      <c r="D507" t="s">
        <v>160</v>
      </c>
      <c r="E507" t="s">
        <v>1274</v>
      </c>
      <c r="F507" s="1">
        <v>46060</v>
      </c>
      <c r="G507" s="1">
        <v>46063</v>
      </c>
      <c r="H507" t="s">
        <v>901</v>
      </c>
      <c r="I507" t="s">
        <v>5</v>
      </c>
      <c r="J507" t="s">
        <v>6</v>
      </c>
      <c r="K507" t="s">
        <v>4</v>
      </c>
      <c r="L507" t="s">
        <v>1275</v>
      </c>
      <c r="M507" t="s">
        <v>1275</v>
      </c>
      <c r="N507" s="2">
        <v>12948</v>
      </c>
      <c r="O507" t="s">
        <v>1260</v>
      </c>
      <c r="P507" t="s">
        <v>9</v>
      </c>
      <c r="Q507" t="s">
        <v>82</v>
      </c>
      <c r="R507" t="e">
        <f>VLOOKUP(Q507,#REF!,2,FALSE)</f>
        <v>#REF!</v>
      </c>
      <c r="S507">
        <v>1004</v>
      </c>
      <c r="T507" t="s">
        <v>2225</v>
      </c>
      <c r="U507" t="s">
        <v>1261</v>
      </c>
      <c r="V507" s="1">
        <v>46053</v>
      </c>
      <c r="W507" s="1">
        <v>46053</v>
      </c>
      <c r="X507" t="s">
        <v>77</v>
      </c>
      <c r="Y507" t="s">
        <v>78</v>
      </c>
      <c r="Z507" t="s">
        <v>6</v>
      </c>
      <c r="AA507" t="s">
        <v>78</v>
      </c>
      <c r="AB507" s="4">
        <f>L507/0.08</f>
        <v>161850</v>
      </c>
      <c r="AC507" s="6">
        <v>0.1</v>
      </c>
      <c r="AD507" s="4">
        <f t="shared" ref="AD507:AD509" si="36">AB507*AC507</f>
        <v>16185</v>
      </c>
      <c r="AE507" s="4">
        <f t="shared" si="29"/>
        <v>3237</v>
      </c>
    </row>
    <row r="508" spans="1:31" x14ac:dyDescent="0.25">
      <c r="A508" t="s">
        <v>0</v>
      </c>
      <c r="B508" s="3" t="s">
        <v>2219</v>
      </c>
      <c r="C508" t="s">
        <v>1257</v>
      </c>
      <c r="D508" t="s">
        <v>160</v>
      </c>
      <c r="E508" t="s">
        <v>1276</v>
      </c>
      <c r="F508" s="1">
        <v>46060</v>
      </c>
      <c r="G508" s="1">
        <v>46063</v>
      </c>
      <c r="H508" t="s">
        <v>901</v>
      </c>
      <c r="I508" t="s">
        <v>5</v>
      </c>
      <c r="J508" t="s">
        <v>6</v>
      </c>
      <c r="K508" t="s">
        <v>4</v>
      </c>
      <c r="L508" t="s">
        <v>1277</v>
      </c>
      <c r="M508" t="s">
        <v>1277</v>
      </c>
      <c r="N508" s="2">
        <v>13651</v>
      </c>
      <c r="O508" t="s">
        <v>1260</v>
      </c>
      <c r="P508" t="s">
        <v>9</v>
      </c>
      <c r="Q508" t="s">
        <v>82</v>
      </c>
      <c r="R508" t="e">
        <f>VLOOKUP(Q508,#REF!,2,FALSE)</f>
        <v>#REF!</v>
      </c>
      <c r="S508">
        <v>1004</v>
      </c>
      <c r="T508" t="s">
        <v>2225</v>
      </c>
      <c r="U508" t="s">
        <v>1261</v>
      </c>
      <c r="V508" s="1">
        <v>46053</v>
      </c>
      <c r="W508" s="1">
        <v>46053</v>
      </c>
      <c r="X508" t="s">
        <v>77</v>
      </c>
      <c r="Y508" t="s">
        <v>78</v>
      </c>
      <c r="Z508" t="s">
        <v>6</v>
      </c>
      <c r="AA508" t="s">
        <v>78</v>
      </c>
      <c r="AB508" s="4">
        <f>L508/0.08</f>
        <v>170637.5</v>
      </c>
      <c r="AC508" s="6">
        <v>0.1</v>
      </c>
      <c r="AD508" s="4">
        <f t="shared" si="36"/>
        <v>17063.75</v>
      </c>
      <c r="AE508" s="4">
        <f t="shared" si="29"/>
        <v>3412.75</v>
      </c>
    </row>
    <row r="509" spans="1:31" x14ac:dyDescent="0.25">
      <c r="A509" t="s">
        <v>0</v>
      </c>
      <c r="B509" s="3" t="s">
        <v>2219</v>
      </c>
      <c r="C509" t="s">
        <v>1257</v>
      </c>
      <c r="D509" t="s">
        <v>160</v>
      </c>
      <c r="E509" t="s">
        <v>1278</v>
      </c>
      <c r="F509" s="1">
        <v>46060</v>
      </c>
      <c r="G509" s="1">
        <v>46063</v>
      </c>
      <c r="H509" t="s">
        <v>901</v>
      </c>
      <c r="I509" t="s">
        <v>5</v>
      </c>
      <c r="J509" t="s">
        <v>6</v>
      </c>
      <c r="K509" t="s">
        <v>4</v>
      </c>
      <c r="L509" t="s">
        <v>1279</v>
      </c>
      <c r="M509" t="s">
        <v>1279</v>
      </c>
      <c r="N509" s="2">
        <v>34276</v>
      </c>
      <c r="O509" t="s">
        <v>1260</v>
      </c>
      <c r="P509" t="s">
        <v>9</v>
      </c>
      <c r="Q509" t="s">
        <v>82</v>
      </c>
      <c r="R509" t="e">
        <f>VLOOKUP(Q509,#REF!,2,FALSE)</f>
        <v>#REF!</v>
      </c>
      <c r="S509">
        <v>1004</v>
      </c>
      <c r="T509" t="s">
        <v>2225</v>
      </c>
      <c r="U509" t="s">
        <v>1261</v>
      </c>
      <c r="V509" s="1">
        <v>46053</v>
      </c>
      <c r="W509" s="1">
        <v>46053</v>
      </c>
      <c r="X509" t="s">
        <v>77</v>
      </c>
      <c r="Y509" t="s">
        <v>78</v>
      </c>
      <c r="Z509" t="s">
        <v>6</v>
      </c>
      <c r="AA509" t="s">
        <v>78</v>
      </c>
      <c r="AB509" s="4">
        <f>L509/0.08</f>
        <v>428450</v>
      </c>
      <c r="AC509" s="6">
        <v>0.1</v>
      </c>
      <c r="AD509" s="4">
        <f t="shared" si="36"/>
        <v>42845</v>
      </c>
      <c r="AE509" s="4">
        <f t="shared" si="29"/>
        <v>8569</v>
      </c>
    </row>
    <row r="510" spans="1:31" x14ac:dyDescent="0.25">
      <c r="A510" t="s">
        <v>0</v>
      </c>
      <c r="B510" s="3" t="s">
        <v>2219</v>
      </c>
      <c r="C510" t="s">
        <v>1257</v>
      </c>
      <c r="D510" t="s">
        <v>160</v>
      </c>
      <c r="E510" t="s">
        <v>1280</v>
      </c>
      <c r="F510" s="1">
        <v>46060</v>
      </c>
      <c r="G510" s="1">
        <v>46063</v>
      </c>
      <c r="H510" t="s">
        <v>904</v>
      </c>
      <c r="I510" t="s">
        <v>5</v>
      </c>
      <c r="J510" t="s">
        <v>6</v>
      </c>
      <c r="K510" t="s">
        <v>4</v>
      </c>
      <c r="L510" t="s">
        <v>1281</v>
      </c>
      <c r="M510" t="s">
        <v>1281</v>
      </c>
      <c r="N510" s="2">
        <v>5697</v>
      </c>
      <c r="O510" t="s">
        <v>1260</v>
      </c>
      <c r="P510" t="s">
        <v>9</v>
      </c>
      <c r="Q510" t="s">
        <v>86</v>
      </c>
      <c r="R510" t="e">
        <f>VLOOKUP(Q510,#REF!,2,FALSE)</f>
        <v>#REF!</v>
      </c>
      <c r="S510">
        <v>1004</v>
      </c>
      <c r="T510" t="s">
        <v>2225</v>
      </c>
      <c r="U510" t="s">
        <v>1261</v>
      </c>
      <c r="V510" s="1">
        <v>46053</v>
      </c>
      <c r="W510" s="1">
        <v>46053</v>
      </c>
      <c r="X510" t="s">
        <v>77</v>
      </c>
      <c r="Y510" t="s">
        <v>78</v>
      </c>
      <c r="Z510" t="s">
        <v>6</v>
      </c>
      <c r="AA510" t="s">
        <v>78</v>
      </c>
      <c r="AB510" s="4">
        <f t="shared" ref="AB510:AB533" si="37">L510/0.03</f>
        <v>189900</v>
      </c>
      <c r="AC510" s="6">
        <v>0.04</v>
      </c>
      <c r="AD510" s="4">
        <f t="shared" ref="AD510:AD533" si="38">AB510*AC510</f>
        <v>7596</v>
      </c>
      <c r="AE510" s="4">
        <f t="shared" si="29"/>
        <v>1899</v>
      </c>
    </row>
    <row r="511" spans="1:31" x14ac:dyDescent="0.25">
      <c r="A511" t="s">
        <v>0</v>
      </c>
      <c r="B511" s="3" t="s">
        <v>2219</v>
      </c>
      <c r="C511" t="s">
        <v>1257</v>
      </c>
      <c r="D511" t="s">
        <v>160</v>
      </c>
      <c r="E511" t="s">
        <v>1282</v>
      </c>
      <c r="F511" s="1">
        <v>46060</v>
      </c>
      <c r="G511" s="1">
        <v>46063</v>
      </c>
      <c r="H511" t="s">
        <v>904</v>
      </c>
      <c r="I511" t="s">
        <v>5</v>
      </c>
      <c r="J511" t="s">
        <v>6</v>
      </c>
      <c r="K511" t="s">
        <v>4</v>
      </c>
      <c r="L511" t="s">
        <v>1283</v>
      </c>
      <c r="M511" t="s">
        <v>1283</v>
      </c>
      <c r="N511" s="2">
        <v>6842</v>
      </c>
      <c r="O511" t="s">
        <v>1260</v>
      </c>
      <c r="P511" t="s">
        <v>9</v>
      </c>
      <c r="Q511" t="s">
        <v>86</v>
      </c>
      <c r="R511" t="e">
        <f>VLOOKUP(Q511,#REF!,2,FALSE)</f>
        <v>#REF!</v>
      </c>
      <c r="S511">
        <v>1004</v>
      </c>
      <c r="T511" t="s">
        <v>2225</v>
      </c>
      <c r="U511" t="s">
        <v>1261</v>
      </c>
      <c r="V511" s="1">
        <v>46053</v>
      </c>
      <c r="W511" s="1">
        <v>46053</v>
      </c>
      <c r="X511" t="s">
        <v>77</v>
      </c>
      <c r="Y511" t="s">
        <v>78</v>
      </c>
      <c r="Z511" t="s">
        <v>6</v>
      </c>
      <c r="AA511" t="s">
        <v>78</v>
      </c>
      <c r="AB511" s="4">
        <f t="shared" si="37"/>
        <v>228066.66666666669</v>
      </c>
      <c r="AC511" s="6">
        <v>0.04</v>
      </c>
      <c r="AD511" s="4">
        <f t="shared" si="38"/>
        <v>9122.6666666666679</v>
      </c>
      <c r="AE511" s="4">
        <f t="shared" si="29"/>
        <v>2280.6666666666679</v>
      </c>
    </row>
    <row r="512" spans="1:31" x14ac:dyDescent="0.25">
      <c r="A512" t="s">
        <v>0</v>
      </c>
      <c r="B512" s="3" t="s">
        <v>2219</v>
      </c>
      <c r="C512" t="s">
        <v>1257</v>
      </c>
      <c r="D512" t="s">
        <v>160</v>
      </c>
      <c r="E512" t="s">
        <v>1284</v>
      </c>
      <c r="F512" s="1">
        <v>46060</v>
      </c>
      <c r="G512" s="1">
        <v>46063</v>
      </c>
      <c r="H512" t="s">
        <v>904</v>
      </c>
      <c r="I512" t="s">
        <v>5</v>
      </c>
      <c r="J512" t="s">
        <v>6</v>
      </c>
      <c r="K512" t="s">
        <v>4</v>
      </c>
      <c r="L512" t="s">
        <v>1285</v>
      </c>
      <c r="M512" t="s">
        <v>1285</v>
      </c>
      <c r="N512" s="2">
        <v>2630</v>
      </c>
      <c r="O512" t="s">
        <v>1260</v>
      </c>
      <c r="P512" t="s">
        <v>9</v>
      </c>
      <c r="Q512" t="s">
        <v>86</v>
      </c>
      <c r="R512" t="e">
        <f>VLOOKUP(Q512,#REF!,2,FALSE)</f>
        <v>#REF!</v>
      </c>
      <c r="S512">
        <v>1004</v>
      </c>
      <c r="T512" t="s">
        <v>2225</v>
      </c>
      <c r="U512" t="s">
        <v>1261</v>
      </c>
      <c r="V512" s="1">
        <v>46053</v>
      </c>
      <c r="W512" s="1">
        <v>46053</v>
      </c>
      <c r="X512" t="s">
        <v>77</v>
      </c>
      <c r="Y512" t="s">
        <v>78</v>
      </c>
      <c r="Z512" t="s">
        <v>6</v>
      </c>
      <c r="AA512" t="s">
        <v>78</v>
      </c>
      <c r="AB512" s="4">
        <f t="shared" si="37"/>
        <v>87666.666666666672</v>
      </c>
      <c r="AC512" s="6">
        <v>0.04</v>
      </c>
      <c r="AD512" s="4">
        <f t="shared" si="38"/>
        <v>3506.666666666667</v>
      </c>
      <c r="AE512" s="4">
        <f t="shared" si="29"/>
        <v>876.66666666666697</v>
      </c>
    </row>
    <row r="513" spans="1:31" x14ac:dyDescent="0.25">
      <c r="A513" t="s">
        <v>0</v>
      </c>
      <c r="B513" s="3" t="s">
        <v>2219</v>
      </c>
      <c r="C513" t="s">
        <v>1257</v>
      </c>
      <c r="D513" t="s">
        <v>160</v>
      </c>
      <c r="E513" t="s">
        <v>1286</v>
      </c>
      <c r="F513" s="1">
        <v>46060</v>
      </c>
      <c r="G513" s="1">
        <v>46063</v>
      </c>
      <c r="H513" t="s">
        <v>904</v>
      </c>
      <c r="I513" t="s">
        <v>5</v>
      </c>
      <c r="J513" t="s">
        <v>6</v>
      </c>
      <c r="K513" t="s">
        <v>4</v>
      </c>
      <c r="L513" t="s">
        <v>1287</v>
      </c>
      <c r="M513" t="s">
        <v>1287</v>
      </c>
      <c r="N513" s="2">
        <v>342</v>
      </c>
      <c r="O513" t="s">
        <v>1260</v>
      </c>
      <c r="P513" t="s">
        <v>9</v>
      </c>
      <c r="Q513" t="s">
        <v>86</v>
      </c>
      <c r="R513" t="e">
        <f>VLOOKUP(Q513,#REF!,2,FALSE)</f>
        <v>#REF!</v>
      </c>
      <c r="S513">
        <v>1004</v>
      </c>
      <c r="T513" t="s">
        <v>2225</v>
      </c>
      <c r="U513" t="s">
        <v>1261</v>
      </c>
      <c r="V513" s="1">
        <v>46053</v>
      </c>
      <c r="W513" s="1">
        <v>46053</v>
      </c>
      <c r="X513" t="s">
        <v>77</v>
      </c>
      <c r="Y513" t="s">
        <v>78</v>
      </c>
      <c r="Z513" t="s">
        <v>6</v>
      </c>
      <c r="AA513" t="s">
        <v>78</v>
      </c>
      <c r="AB513" s="4">
        <f t="shared" si="37"/>
        <v>11400</v>
      </c>
      <c r="AC513" s="6">
        <v>0.04</v>
      </c>
      <c r="AD513" s="4">
        <f t="shared" si="38"/>
        <v>456</v>
      </c>
      <c r="AE513" s="4">
        <f t="shared" si="29"/>
        <v>114</v>
      </c>
    </row>
    <row r="514" spans="1:31" x14ac:dyDescent="0.25">
      <c r="A514" t="s">
        <v>0</v>
      </c>
      <c r="B514" s="3" t="s">
        <v>2219</v>
      </c>
      <c r="C514" t="s">
        <v>1257</v>
      </c>
      <c r="D514" t="s">
        <v>160</v>
      </c>
      <c r="E514" t="s">
        <v>1288</v>
      </c>
      <c r="F514" s="1">
        <v>46060</v>
      </c>
      <c r="G514" s="1">
        <v>46063</v>
      </c>
      <c r="H514" t="s">
        <v>904</v>
      </c>
      <c r="I514" t="s">
        <v>5</v>
      </c>
      <c r="J514" t="s">
        <v>6</v>
      </c>
      <c r="K514" t="s">
        <v>4</v>
      </c>
      <c r="L514" t="s">
        <v>1289</v>
      </c>
      <c r="M514" t="s">
        <v>1289</v>
      </c>
      <c r="N514" s="2">
        <v>10511</v>
      </c>
      <c r="O514" t="s">
        <v>1260</v>
      </c>
      <c r="P514" t="s">
        <v>9</v>
      </c>
      <c r="Q514" t="s">
        <v>86</v>
      </c>
      <c r="R514" t="e">
        <f>VLOOKUP(Q514,#REF!,2,FALSE)</f>
        <v>#REF!</v>
      </c>
      <c r="S514">
        <v>1004</v>
      </c>
      <c r="T514" t="s">
        <v>2225</v>
      </c>
      <c r="U514" t="s">
        <v>1261</v>
      </c>
      <c r="V514" s="1">
        <v>46053</v>
      </c>
      <c r="W514" s="1">
        <v>46053</v>
      </c>
      <c r="X514" t="s">
        <v>77</v>
      </c>
      <c r="Y514" t="s">
        <v>78</v>
      </c>
      <c r="Z514" t="s">
        <v>6</v>
      </c>
      <c r="AA514" t="s">
        <v>78</v>
      </c>
      <c r="AB514" s="4">
        <f t="shared" si="37"/>
        <v>350366.66666666669</v>
      </c>
      <c r="AC514" s="6">
        <v>0.04</v>
      </c>
      <c r="AD514" s="4">
        <f t="shared" si="38"/>
        <v>14014.666666666668</v>
      </c>
      <c r="AE514" s="4">
        <f t="shared" ref="AE514:AE577" si="39">AD514-L514</f>
        <v>3503.6666666666679</v>
      </c>
    </row>
    <row r="515" spans="1:31" x14ac:dyDescent="0.25">
      <c r="A515" t="s">
        <v>0</v>
      </c>
      <c r="B515" s="3" t="s">
        <v>2219</v>
      </c>
      <c r="C515" t="s">
        <v>1257</v>
      </c>
      <c r="D515" t="s">
        <v>160</v>
      </c>
      <c r="E515" t="s">
        <v>1290</v>
      </c>
      <c r="F515" s="1">
        <v>46060</v>
      </c>
      <c r="G515" s="1">
        <v>46063</v>
      </c>
      <c r="H515" t="s">
        <v>904</v>
      </c>
      <c r="I515" t="s">
        <v>5</v>
      </c>
      <c r="J515" t="s">
        <v>6</v>
      </c>
      <c r="K515" t="s">
        <v>4</v>
      </c>
      <c r="L515" t="s">
        <v>1291</v>
      </c>
      <c r="M515" t="s">
        <v>1291</v>
      </c>
      <c r="N515" s="2">
        <v>991</v>
      </c>
      <c r="O515" t="s">
        <v>1260</v>
      </c>
      <c r="P515" t="s">
        <v>9</v>
      </c>
      <c r="Q515" t="s">
        <v>86</v>
      </c>
      <c r="R515" t="e">
        <f>VLOOKUP(Q515,#REF!,2,FALSE)</f>
        <v>#REF!</v>
      </c>
      <c r="S515">
        <v>1004</v>
      </c>
      <c r="T515" t="s">
        <v>2225</v>
      </c>
      <c r="U515" t="s">
        <v>1261</v>
      </c>
      <c r="V515" s="1">
        <v>46053</v>
      </c>
      <c r="W515" s="1">
        <v>46053</v>
      </c>
      <c r="X515" t="s">
        <v>77</v>
      </c>
      <c r="Y515" t="s">
        <v>78</v>
      </c>
      <c r="Z515" t="s">
        <v>6</v>
      </c>
      <c r="AA515" t="s">
        <v>78</v>
      </c>
      <c r="AB515" s="4">
        <f t="shared" si="37"/>
        <v>33033.333333333336</v>
      </c>
      <c r="AC515" s="6">
        <v>0.04</v>
      </c>
      <c r="AD515" s="4">
        <f t="shared" si="38"/>
        <v>1321.3333333333335</v>
      </c>
      <c r="AE515" s="4">
        <f t="shared" si="39"/>
        <v>330.33333333333348</v>
      </c>
    </row>
    <row r="516" spans="1:31" x14ac:dyDescent="0.25">
      <c r="A516" t="s">
        <v>0</v>
      </c>
      <c r="B516" s="3" t="s">
        <v>2219</v>
      </c>
      <c r="C516" t="s">
        <v>1257</v>
      </c>
      <c r="D516" t="s">
        <v>160</v>
      </c>
      <c r="E516" t="s">
        <v>1292</v>
      </c>
      <c r="F516" s="1">
        <v>46060</v>
      </c>
      <c r="G516" s="1">
        <v>46063</v>
      </c>
      <c r="H516" t="s">
        <v>904</v>
      </c>
      <c r="I516" t="s">
        <v>5</v>
      </c>
      <c r="J516" t="s">
        <v>6</v>
      </c>
      <c r="K516" t="s">
        <v>4</v>
      </c>
      <c r="L516" t="s">
        <v>1293</v>
      </c>
      <c r="M516" t="s">
        <v>1293</v>
      </c>
      <c r="N516" s="2">
        <v>538</v>
      </c>
      <c r="O516" t="s">
        <v>1260</v>
      </c>
      <c r="P516" t="s">
        <v>9</v>
      </c>
      <c r="Q516" t="s">
        <v>86</v>
      </c>
      <c r="R516" t="e">
        <f>VLOOKUP(Q516,#REF!,2,FALSE)</f>
        <v>#REF!</v>
      </c>
      <c r="S516">
        <v>1004</v>
      </c>
      <c r="T516" t="s">
        <v>2225</v>
      </c>
      <c r="U516" t="s">
        <v>1261</v>
      </c>
      <c r="V516" s="1">
        <v>46053</v>
      </c>
      <c r="W516" s="1">
        <v>46053</v>
      </c>
      <c r="X516" t="s">
        <v>77</v>
      </c>
      <c r="Y516" t="s">
        <v>78</v>
      </c>
      <c r="Z516" t="s">
        <v>6</v>
      </c>
      <c r="AA516" t="s">
        <v>78</v>
      </c>
      <c r="AB516" s="4">
        <f t="shared" si="37"/>
        <v>17933.333333333336</v>
      </c>
      <c r="AC516" s="6">
        <v>0.04</v>
      </c>
      <c r="AD516" s="4">
        <f t="shared" si="38"/>
        <v>717.33333333333348</v>
      </c>
      <c r="AE516" s="4">
        <f t="shared" si="39"/>
        <v>179.33333333333348</v>
      </c>
    </row>
    <row r="517" spans="1:31" x14ac:dyDescent="0.25">
      <c r="A517" t="s">
        <v>0</v>
      </c>
      <c r="B517" s="3" t="s">
        <v>2219</v>
      </c>
      <c r="C517" t="s">
        <v>1294</v>
      </c>
      <c r="D517" t="s">
        <v>160</v>
      </c>
      <c r="E517" t="s">
        <v>1258</v>
      </c>
      <c r="F517" s="1">
        <v>46060</v>
      </c>
      <c r="G517" s="1">
        <v>46063</v>
      </c>
      <c r="H517" t="s">
        <v>904</v>
      </c>
      <c r="I517" t="s">
        <v>5</v>
      </c>
      <c r="J517" t="s">
        <v>6</v>
      </c>
      <c r="K517" t="s">
        <v>4</v>
      </c>
      <c r="L517" t="s">
        <v>991</v>
      </c>
      <c r="M517" t="s">
        <v>991</v>
      </c>
      <c r="N517" s="2">
        <v>1993</v>
      </c>
      <c r="O517" t="s">
        <v>1295</v>
      </c>
      <c r="P517" t="s">
        <v>9</v>
      </c>
      <c r="Q517" t="s">
        <v>86</v>
      </c>
      <c r="R517" t="e">
        <f>VLOOKUP(Q517,#REF!,2,FALSE)</f>
        <v>#REF!</v>
      </c>
      <c r="S517">
        <v>1004</v>
      </c>
      <c r="T517" t="s">
        <v>2225</v>
      </c>
      <c r="U517" t="s">
        <v>1296</v>
      </c>
      <c r="V517" s="1">
        <v>46053</v>
      </c>
      <c r="W517" s="1">
        <v>46053</v>
      </c>
      <c r="X517" t="s">
        <v>77</v>
      </c>
      <c r="Y517" t="s">
        <v>646</v>
      </c>
      <c r="Z517" t="s">
        <v>6</v>
      </c>
      <c r="AA517" t="s">
        <v>646</v>
      </c>
      <c r="AB517" s="4">
        <f t="shared" si="37"/>
        <v>66433.333333333343</v>
      </c>
      <c r="AC517" s="6">
        <v>0.04</v>
      </c>
      <c r="AD517" s="4">
        <f t="shared" si="38"/>
        <v>2657.3333333333339</v>
      </c>
      <c r="AE517" s="4">
        <f t="shared" si="39"/>
        <v>664.33333333333394</v>
      </c>
    </row>
    <row r="518" spans="1:31" x14ac:dyDescent="0.25">
      <c r="A518" t="s">
        <v>0</v>
      </c>
      <c r="B518" s="3" t="s">
        <v>2219</v>
      </c>
      <c r="C518" t="s">
        <v>1294</v>
      </c>
      <c r="D518" t="s">
        <v>160</v>
      </c>
      <c r="E518" t="s">
        <v>1262</v>
      </c>
      <c r="F518" s="1">
        <v>46060</v>
      </c>
      <c r="G518" s="1">
        <v>46063</v>
      </c>
      <c r="H518" t="s">
        <v>904</v>
      </c>
      <c r="I518" t="s">
        <v>5</v>
      </c>
      <c r="J518" t="s">
        <v>6</v>
      </c>
      <c r="K518" t="s">
        <v>4</v>
      </c>
      <c r="L518" t="s">
        <v>911</v>
      </c>
      <c r="M518" t="s">
        <v>911</v>
      </c>
      <c r="N518" s="2">
        <v>520</v>
      </c>
      <c r="O518" t="s">
        <v>1295</v>
      </c>
      <c r="P518" t="s">
        <v>9</v>
      </c>
      <c r="Q518" t="s">
        <v>86</v>
      </c>
      <c r="R518" t="e">
        <f>VLOOKUP(Q518,#REF!,2,FALSE)</f>
        <v>#REF!</v>
      </c>
      <c r="S518">
        <v>1004</v>
      </c>
      <c r="T518" t="s">
        <v>2225</v>
      </c>
      <c r="U518" t="s">
        <v>1296</v>
      </c>
      <c r="V518" s="1">
        <v>46053</v>
      </c>
      <c r="W518" s="1">
        <v>46053</v>
      </c>
      <c r="X518" t="s">
        <v>77</v>
      </c>
      <c r="Y518" t="s">
        <v>646</v>
      </c>
      <c r="Z518" t="s">
        <v>6</v>
      </c>
      <c r="AA518" t="s">
        <v>646</v>
      </c>
      <c r="AB518" s="4">
        <f t="shared" si="37"/>
        <v>17333.333333333336</v>
      </c>
      <c r="AC518" s="6">
        <v>0.04</v>
      </c>
      <c r="AD518" s="4">
        <f t="shared" si="38"/>
        <v>693.33333333333348</v>
      </c>
      <c r="AE518" s="4">
        <f t="shared" si="39"/>
        <v>173.33333333333348</v>
      </c>
    </row>
    <row r="519" spans="1:31" x14ac:dyDescent="0.25">
      <c r="A519" t="s">
        <v>0</v>
      </c>
      <c r="B519" s="3" t="s">
        <v>2219</v>
      </c>
      <c r="C519" t="s">
        <v>1294</v>
      </c>
      <c r="D519" t="s">
        <v>160</v>
      </c>
      <c r="E519" t="s">
        <v>1264</v>
      </c>
      <c r="F519" s="1">
        <v>46060</v>
      </c>
      <c r="G519" s="1">
        <v>46063</v>
      </c>
      <c r="H519" t="s">
        <v>904</v>
      </c>
      <c r="I519" t="s">
        <v>5</v>
      </c>
      <c r="J519" t="s">
        <v>6</v>
      </c>
      <c r="K519" t="s">
        <v>4</v>
      </c>
      <c r="L519" t="s">
        <v>1297</v>
      </c>
      <c r="M519" t="s">
        <v>1297</v>
      </c>
      <c r="N519" s="2">
        <v>1786</v>
      </c>
      <c r="O519" t="s">
        <v>1295</v>
      </c>
      <c r="P519" t="s">
        <v>9</v>
      </c>
      <c r="Q519" t="s">
        <v>86</v>
      </c>
      <c r="R519" t="e">
        <f>VLOOKUP(Q519,#REF!,2,FALSE)</f>
        <v>#REF!</v>
      </c>
      <c r="S519">
        <v>1004</v>
      </c>
      <c r="T519" t="s">
        <v>2225</v>
      </c>
      <c r="U519" t="s">
        <v>1296</v>
      </c>
      <c r="V519" s="1">
        <v>46053</v>
      </c>
      <c r="W519" s="1">
        <v>46053</v>
      </c>
      <c r="X519" t="s">
        <v>77</v>
      </c>
      <c r="Y519" t="s">
        <v>646</v>
      </c>
      <c r="Z519" t="s">
        <v>6</v>
      </c>
      <c r="AA519" t="s">
        <v>646</v>
      </c>
      <c r="AB519" s="4">
        <f t="shared" si="37"/>
        <v>59533.333333333336</v>
      </c>
      <c r="AC519" s="6">
        <v>0.04</v>
      </c>
      <c r="AD519" s="4">
        <f t="shared" si="38"/>
        <v>2381.3333333333335</v>
      </c>
      <c r="AE519" s="4">
        <f t="shared" si="39"/>
        <v>595.33333333333348</v>
      </c>
    </row>
    <row r="520" spans="1:31" x14ac:dyDescent="0.25">
      <c r="A520" t="s">
        <v>0</v>
      </c>
      <c r="B520" s="3" t="s">
        <v>2219</v>
      </c>
      <c r="C520" t="s">
        <v>1294</v>
      </c>
      <c r="D520" t="s">
        <v>160</v>
      </c>
      <c r="E520" t="s">
        <v>1266</v>
      </c>
      <c r="F520" s="1">
        <v>46060</v>
      </c>
      <c r="G520" s="1">
        <v>46063</v>
      </c>
      <c r="H520" t="s">
        <v>904</v>
      </c>
      <c r="I520" t="s">
        <v>5</v>
      </c>
      <c r="J520" t="s">
        <v>6</v>
      </c>
      <c r="K520" t="s">
        <v>4</v>
      </c>
      <c r="L520" t="s">
        <v>1298</v>
      </c>
      <c r="M520" t="s">
        <v>1298</v>
      </c>
      <c r="N520" s="2">
        <v>549</v>
      </c>
      <c r="O520" t="s">
        <v>1295</v>
      </c>
      <c r="P520" t="s">
        <v>9</v>
      </c>
      <c r="Q520" t="s">
        <v>86</v>
      </c>
      <c r="R520" t="e">
        <f>VLOOKUP(Q520,#REF!,2,FALSE)</f>
        <v>#REF!</v>
      </c>
      <c r="S520">
        <v>1004</v>
      </c>
      <c r="T520" t="s">
        <v>2225</v>
      </c>
      <c r="U520" t="s">
        <v>1296</v>
      </c>
      <c r="V520" s="1">
        <v>46053</v>
      </c>
      <c r="W520" s="1">
        <v>46053</v>
      </c>
      <c r="X520" t="s">
        <v>77</v>
      </c>
      <c r="Y520" t="s">
        <v>646</v>
      </c>
      <c r="Z520" t="s">
        <v>6</v>
      </c>
      <c r="AA520" t="s">
        <v>646</v>
      </c>
      <c r="AB520" s="4">
        <f t="shared" si="37"/>
        <v>18300</v>
      </c>
      <c r="AC520" s="6">
        <v>0.04</v>
      </c>
      <c r="AD520" s="4">
        <f t="shared" si="38"/>
        <v>732</v>
      </c>
      <c r="AE520" s="4">
        <f t="shared" si="39"/>
        <v>183</v>
      </c>
    </row>
    <row r="521" spans="1:31" x14ac:dyDescent="0.25">
      <c r="A521" t="s">
        <v>0</v>
      </c>
      <c r="B521" s="3" t="s">
        <v>2219</v>
      </c>
      <c r="C521" t="s">
        <v>1294</v>
      </c>
      <c r="D521" t="s">
        <v>160</v>
      </c>
      <c r="E521" t="s">
        <v>1268</v>
      </c>
      <c r="F521" s="1">
        <v>46060</v>
      </c>
      <c r="G521" s="1">
        <v>46063</v>
      </c>
      <c r="H521" t="s">
        <v>904</v>
      </c>
      <c r="I521" t="s">
        <v>5</v>
      </c>
      <c r="J521" t="s">
        <v>6</v>
      </c>
      <c r="K521" t="s">
        <v>4</v>
      </c>
      <c r="L521" t="s">
        <v>1299</v>
      </c>
      <c r="M521" t="s">
        <v>1299</v>
      </c>
      <c r="N521" s="2">
        <v>694</v>
      </c>
      <c r="O521" t="s">
        <v>1295</v>
      </c>
      <c r="P521" t="s">
        <v>9</v>
      </c>
      <c r="Q521" t="s">
        <v>86</v>
      </c>
      <c r="R521" t="e">
        <f>VLOOKUP(Q521,#REF!,2,FALSE)</f>
        <v>#REF!</v>
      </c>
      <c r="S521">
        <v>1004</v>
      </c>
      <c r="T521" t="s">
        <v>2225</v>
      </c>
      <c r="U521" t="s">
        <v>1296</v>
      </c>
      <c r="V521" s="1">
        <v>46053</v>
      </c>
      <c r="W521" s="1">
        <v>46053</v>
      </c>
      <c r="X521" t="s">
        <v>77</v>
      </c>
      <c r="Y521" t="s">
        <v>646</v>
      </c>
      <c r="Z521" t="s">
        <v>6</v>
      </c>
      <c r="AA521" t="s">
        <v>646</v>
      </c>
      <c r="AB521" s="4">
        <f t="shared" si="37"/>
        <v>23133.333333333336</v>
      </c>
      <c r="AC521" s="6">
        <v>0.04</v>
      </c>
      <c r="AD521" s="4">
        <f t="shared" si="38"/>
        <v>925.33333333333348</v>
      </c>
      <c r="AE521" s="4">
        <f t="shared" si="39"/>
        <v>231.33333333333348</v>
      </c>
    </row>
    <row r="522" spans="1:31" x14ac:dyDescent="0.25">
      <c r="A522" t="s">
        <v>0</v>
      </c>
      <c r="B522" s="3" t="s">
        <v>2219</v>
      </c>
      <c r="C522" t="s">
        <v>1294</v>
      </c>
      <c r="D522" t="s">
        <v>160</v>
      </c>
      <c r="E522" t="s">
        <v>1270</v>
      </c>
      <c r="F522" s="1">
        <v>46060</v>
      </c>
      <c r="G522" s="1">
        <v>46063</v>
      </c>
      <c r="H522" t="s">
        <v>904</v>
      </c>
      <c r="I522" t="s">
        <v>5</v>
      </c>
      <c r="J522" t="s">
        <v>6</v>
      </c>
      <c r="K522" t="s">
        <v>4</v>
      </c>
      <c r="L522" t="s">
        <v>1300</v>
      </c>
      <c r="M522" t="s">
        <v>1300</v>
      </c>
      <c r="N522" s="2">
        <v>347</v>
      </c>
      <c r="O522" t="s">
        <v>1295</v>
      </c>
      <c r="P522" t="s">
        <v>9</v>
      </c>
      <c r="Q522" t="s">
        <v>86</v>
      </c>
      <c r="R522" t="e">
        <f>VLOOKUP(Q522,#REF!,2,FALSE)</f>
        <v>#REF!</v>
      </c>
      <c r="S522">
        <v>1004</v>
      </c>
      <c r="T522" t="s">
        <v>2225</v>
      </c>
      <c r="U522" t="s">
        <v>1296</v>
      </c>
      <c r="V522" s="1">
        <v>46053</v>
      </c>
      <c r="W522" s="1">
        <v>46053</v>
      </c>
      <c r="X522" t="s">
        <v>77</v>
      </c>
      <c r="Y522" t="s">
        <v>646</v>
      </c>
      <c r="Z522" t="s">
        <v>6</v>
      </c>
      <c r="AA522" t="s">
        <v>646</v>
      </c>
      <c r="AB522" s="4">
        <f t="shared" si="37"/>
        <v>11566.666666666668</v>
      </c>
      <c r="AC522" s="6">
        <v>0.04</v>
      </c>
      <c r="AD522" s="4">
        <f t="shared" si="38"/>
        <v>462.66666666666674</v>
      </c>
      <c r="AE522" s="4">
        <f t="shared" si="39"/>
        <v>115.66666666666674</v>
      </c>
    </row>
    <row r="523" spans="1:31" x14ac:dyDescent="0.25">
      <c r="A523" t="s">
        <v>0</v>
      </c>
      <c r="B523" s="3" t="s">
        <v>2219</v>
      </c>
      <c r="C523" t="s">
        <v>1294</v>
      </c>
      <c r="D523" t="s">
        <v>160</v>
      </c>
      <c r="E523" t="s">
        <v>1272</v>
      </c>
      <c r="F523" s="1">
        <v>46060</v>
      </c>
      <c r="G523" s="1">
        <v>46063</v>
      </c>
      <c r="H523" t="s">
        <v>904</v>
      </c>
      <c r="I523" t="s">
        <v>5</v>
      </c>
      <c r="J523" t="s">
        <v>6</v>
      </c>
      <c r="K523" t="s">
        <v>4</v>
      </c>
      <c r="L523" t="s">
        <v>1091</v>
      </c>
      <c r="M523" t="s">
        <v>1091</v>
      </c>
      <c r="N523" s="2">
        <v>960</v>
      </c>
      <c r="O523" t="s">
        <v>1295</v>
      </c>
      <c r="P523" t="s">
        <v>9</v>
      </c>
      <c r="Q523" t="s">
        <v>86</v>
      </c>
      <c r="R523" t="e">
        <f>VLOOKUP(Q523,#REF!,2,FALSE)</f>
        <v>#REF!</v>
      </c>
      <c r="S523">
        <v>1004</v>
      </c>
      <c r="T523" t="s">
        <v>2225</v>
      </c>
      <c r="U523" t="s">
        <v>1296</v>
      </c>
      <c r="V523" s="1">
        <v>46053</v>
      </c>
      <c r="W523" s="1">
        <v>46053</v>
      </c>
      <c r="X523" t="s">
        <v>77</v>
      </c>
      <c r="Y523" t="s">
        <v>646</v>
      </c>
      <c r="Z523" t="s">
        <v>6</v>
      </c>
      <c r="AA523" t="s">
        <v>646</v>
      </c>
      <c r="AB523" s="4">
        <f t="shared" si="37"/>
        <v>32000</v>
      </c>
      <c r="AC523" s="6">
        <v>0.04</v>
      </c>
      <c r="AD523" s="4">
        <f t="shared" si="38"/>
        <v>1280</v>
      </c>
      <c r="AE523" s="4">
        <f t="shared" si="39"/>
        <v>320</v>
      </c>
    </row>
    <row r="524" spans="1:31" x14ac:dyDescent="0.25">
      <c r="A524" t="s">
        <v>0</v>
      </c>
      <c r="B524" s="3" t="s">
        <v>2219</v>
      </c>
      <c r="C524" t="s">
        <v>1294</v>
      </c>
      <c r="D524" t="s">
        <v>160</v>
      </c>
      <c r="E524" t="s">
        <v>1274</v>
      </c>
      <c r="F524" s="1">
        <v>46060</v>
      </c>
      <c r="G524" s="1">
        <v>46063</v>
      </c>
      <c r="H524" t="s">
        <v>904</v>
      </c>
      <c r="I524" t="s">
        <v>5</v>
      </c>
      <c r="J524" t="s">
        <v>6</v>
      </c>
      <c r="K524" t="s">
        <v>4</v>
      </c>
      <c r="L524" t="s">
        <v>1301</v>
      </c>
      <c r="M524" t="s">
        <v>1301</v>
      </c>
      <c r="N524" s="2">
        <v>10363</v>
      </c>
      <c r="O524" t="s">
        <v>1295</v>
      </c>
      <c r="P524" t="s">
        <v>9</v>
      </c>
      <c r="Q524" t="s">
        <v>86</v>
      </c>
      <c r="R524" t="e">
        <f>VLOOKUP(Q524,#REF!,2,FALSE)</f>
        <v>#REF!</v>
      </c>
      <c r="S524">
        <v>1004</v>
      </c>
      <c r="T524" t="s">
        <v>2225</v>
      </c>
      <c r="U524" t="s">
        <v>1296</v>
      </c>
      <c r="V524" s="1">
        <v>46053</v>
      </c>
      <c r="W524" s="1">
        <v>46053</v>
      </c>
      <c r="X524" t="s">
        <v>77</v>
      </c>
      <c r="Y524" t="s">
        <v>646</v>
      </c>
      <c r="Z524" t="s">
        <v>6</v>
      </c>
      <c r="AA524" t="s">
        <v>646</v>
      </c>
      <c r="AB524" s="4">
        <f t="shared" si="37"/>
        <v>345433.33333333337</v>
      </c>
      <c r="AC524" s="6">
        <v>0.04</v>
      </c>
      <c r="AD524" s="4">
        <f t="shared" si="38"/>
        <v>13817.333333333336</v>
      </c>
      <c r="AE524" s="4">
        <f t="shared" si="39"/>
        <v>3454.3333333333358</v>
      </c>
    </row>
    <row r="525" spans="1:31" x14ac:dyDescent="0.25">
      <c r="A525" t="s">
        <v>0</v>
      </c>
      <c r="B525" s="3" t="s">
        <v>2219</v>
      </c>
      <c r="C525" t="s">
        <v>1294</v>
      </c>
      <c r="D525" t="s">
        <v>160</v>
      </c>
      <c r="E525" t="s">
        <v>1276</v>
      </c>
      <c r="F525" s="1">
        <v>46060</v>
      </c>
      <c r="G525" s="1">
        <v>46063</v>
      </c>
      <c r="H525" t="s">
        <v>904</v>
      </c>
      <c r="I525" t="s">
        <v>5</v>
      </c>
      <c r="J525" t="s">
        <v>6</v>
      </c>
      <c r="K525" t="s">
        <v>4</v>
      </c>
      <c r="L525" t="s">
        <v>1302</v>
      </c>
      <c r="M525" t="s">
        <v>1302</v>
      </c>
      <c r="N525" s="2">
        <v>5602</v>
      </c>
      <c r="O525" t="s">
        <v>1295</v>
      </c>
      <c r="P525" t="s">
        <v>9</v>
      </c>
      <c r="Q525" t="s">
        <v>86</v>
      </c>
      <c r="R525" t="e">
        <f>VLOOKUP(Q525,#REF!,2,FALSE)</f>
        <v>#REF!</v>
      </c>
      <c r="S525">
        <v>1004</v>
      </c>
      <c r="T525" t="s">
        <v>2225</v>
      </c>
      <c r="U525" t="s">
        <v>1296</v>
      </c>
      <c r="V525" s="1">
        <v>46053</v>
      </c>
      <c r="W525" s="1">
        <v>46053</v>
      </c>
      <c r="X525" t="s">
        <v>77</v>
      </c>
      <c r="Y525" t="s">
        <v>646</v>
      </c>
      <c r="Z525" t="s">
        <v>6</v>
      </c>
      <c r="AA525" t="s">
        <v>646</v>
      </c>
      <c r="AB525" s="4">
        <f t="shared" si="37"/>
        <v>186733.33333333334</v>
      </c>
      <c r="AC525" s="6">
        <v>0.04</v>
      </c>
      <c r="AD525" s="4">
        <f t="shared" si="38"/>
        <v>7469.3333333333339</v>
      </c>
      <c r="AE525" s="4">
        <f t="shared" si="39"/>
        <v>1867.3333333333339</v>
      </c>
    </row>
    <row r="526" spans="1:31" x14ac:dyDescent="0.25">
      <c r="A526" t="s">
        <v>0</v>
      </c>
      <c r="B526" s="3" t="s">
        <v>2219</v>
      </c>
      <c r="C526" t="s">
        <v>1294</v>
      </c>
      <c r="D526" t="s">
        <v>160</v>
      </c>
      <c r="E526" t="s">
        <v>1278</v>
      </c>
      <c r="F526" s="1">
        <v>46060</v>
      </c>
      <c r="G526" s="1">
        <v>46063</v>
      </c>
      <c r="H526" t="s">
        <v>904</v>
      </c>
      <c r="I526" t="s">
        <v>5</v>
      </c>
      <c r="J526" t="s">
        <v>6</v>
      </c>
      <c r="K526" t="s">
        <v>4</v>
      </c>
      <c r="L526" t="s">
        <v>1303</v>
      </c>
      <c r="M526" t="s">
        <v>1303</v>
      </c>
      <c r="N526" s="2">
        <v>13804</v>
      </c>
      <c r="O526" t="s">
        <v>1295</v>
      </c>
      <c r="P526" t="s">
        <v>9</v>
      </c>
      <c r="Q526" t="s">
        <v>86</v>
      </c>
      <c r="R526" t="e">
        <f>VLOOKUP(Q526,#REF!,2,FALSE)</f>
        <v>#REF!</v>
      </c>
      <c r="S526">
        <v>1004</v>
      </c>
      <c r="T526" t="s">
        <v>2225</v>
      </c>
      <c r="U526" t="s">
        <v>1296</v>
      </c>
      <c r="V526" s="1">
        <v>46053</v>
      </c>
      <c r="W526" s="1">
        <v>46053</v>
      </c>
      <c r="X526" t="s">
        <v>77</v>
      </c>
      <c r="Y526" t="s">
        <v>646</v>
      </c>
      <c r="Z526" t="s">
        <v>6</v>
      </c>
      <c r="AA526" t="s">
        <v>646</v>
      </c>
      <c r="AB526" s="4">
        <f t="shared" si="37"/>
        <v>460133.33333333337</v>
      </c>
      <c r="AC526" s="6">
        <v>0.04</v>
      </c>
      <c r="AD526" s="4">
        <f t="shared" si="38"/>
        <v>18405.333333333336</v>
      </c>
      <c r="AE526" s="4">
        <f t="shared" si="39"/>
        <v>4601.3333333333358</v>
      </c>
    </row>
    <row r="527" spans="1:31" x14ac:dyDescent="0.25">
      <c r="A527" t="s">
        <v>0</v>
      </c>
      <c r="B527" s="3" t="s">
        <v>2219</v>
      </c>
      <c r="C527" t="s">
        <v>1294</v>
      </c>
      <c r="D527" t="s">
        <v>160</v>
      </c>
      <c r="E527" t="s">
        <v>1280</v>
      </c>
      <c r="F527" s="1">
        <v>46060</v>
      </c>
      <c r="G527" s="1">
        <v>46063</v>
      </c>
      <c r="H527" t="s">
        <v>904</v>
      </c>
      <c r="I527" t="s">
        <v>5</v>
      </c>
      <c r="J527" t="s">
        <v>6</v>
      </c>
      <c r="K527" t="s">
        <v>4</v>
      </c>
      <c r="L527" t="s">
        <v>1304</v>
      </c>
      <c r="M527" t="s">
        <v>1304</v>
      </c>
      <c r="N527" s="2">
        <v>448</v>
      </c>
      <c r="O527" t="s">
        <v>1295</v>
      </c>
      <c r="P527" t="s">
        <v>9</v>
      </c>
      <c r="Q527" t="s">
        <v>86</v>
      </c>
      <c r="R527" t="e">
        <f>VLOOKUP(Q527,#REF!,2,FALSE)</f>
        <v>#REF!</v>
      </c>
      <c r="S527">
        <v>1004</v>
      </c>
      <c r="T527" t="s">
        <v>2225</v>
      </c>
      <c r="U527" t="s">
        <v>1296</v>
      </c>
      <c r="V527" s="1">
        <v>46053</v>
      </c>
      <c r="W527" s="1">
        <v>46053</v>
      </c>
      <c r="X527" t="s">
        <v>77</v>
      </c>
      <c r="Y527" t="s">
        <v>646</v>
      </c>
      <c r="Z527" t="s">
        <v>6</v>
      </c>
      <c r="AA527" t="s">
        <v>646</v>
      </c>
      <c r="AB527" s="4">
        <f t="shared" si="37"/>
        <v>14933.333333333334</v>
      </c>
      <c r="AC527" s="6">
        <v>0.04</v>
      </c>
      <c r="AD527" s="4">
        <f t="shared" si="38"/>
        <v>597.33333333333337</v>
      </c>
      <c r="AE527" s="4">
        <f t="shared" si="39"/>
        <v>149.33333333333337</v>
      </c>
    </row>
    <row r="528" spans="1:31" x14ac:dyDescent="0.25">
      <c r="A528" t="s">
        <v>0</v>
      </c>
      <c r="B528" s="3" t="s">
        <v>2219</v>
      </c>
      <c r="C528" t="s">
        <v>1294</v>
      </c>
      <c r="D528" t="s">
        <v>160</v>
      </c>
      <c r="E528" t="s">
        <v>1282</v>
      </c>
      <c r="F528" s="1">
        <v>46060</v>
      </c>
      <c r="G528" s="1">
        <v>46063</v>
      </c>
      <c r="H528" t="s">
        <v>904</v>
      </c>
      <c r="I528" t="s">
        <v>5</v>
      </c>
      <c r="J528" t="s">
        <v>6</v>
      </c>
      <c r="K528" t="s">
        <v>4</v>
      </c>
      <c r="L528" t="s">
        <v>1305</v>
      </c>
      <c r="M528" t="s">
        <v>1305</v>
      </c>
      <c r="N528" s="2">
        <v>650</v>
      </c>
      <c r="O528" t="s">
        <v>1295</v>
      </c>
      <c r="P528" t="s">
        <v>9</v>
      </c>
      <c r="Q528" t="s">
        <v>86</v>
      </c>
      <c r="R528" t="e">
        <f>VLOOKUP(Q528,#REF!,2,FALSE)</f>
        <v>#REF!</v>
      </c>
      <c r="S528">
        <v>1004</v>
      </c>
      <c r="T528" t="s">
        <v>2225</v>
      </c>
      <c r="U528" t="s">
        <v>1296</v>
      </c>
      <c r="V528" s="1">
        <v>46053</v>
      </c>
      <c r="W528" s="1">
        <v>46053</v>
      </c>
      <c r="X528" t="s">
        <v>77</v>
      </c>
      <c r="Y528" t="s">
        <v>646</v>
      </c>
      <c r="Z528" t="s">
        <v>6</v>
      </c>
      <c r="AA528" t="s">
        <v>646</v>
      </c>
      <c r="AB528" s="4">
        <f t="shared" si="37"/>
        <v>21666.666666666668</v>
      </c>
      <c r="AC528" s="6">
        <v>0.04</v>
      </c>
      <c r="AD528" s="4">
        <f t="shared" si="38"/>
        <v>866.66666666666674</v>
      </c>
      <c r="AE528" s="4">
        <f t="shared" si="39"/>
        <v>216.66666666666674</v>
      </c>
    </row>
    <row r="529" spans="1:31" x14ac:dyDescent="0.25">
      <c r="A529" t="s">
        <v>0</v>
      </c>
      <c r="B529" s="3" t="s">
        <v>2219</v>
      </c>
      <c r="C529" t="s">
        <v>1294</v>
      </c>
      <c r="D529" t="s">
        <v>160</v>
      </c>
      <c r="E529" t="s">
        <v>1284</v>
      </c>
      <c r="F529" s="1">
        <v>46060</v>
      </c>
      <c r="G529" s="1">
        <v>46063</v>
      </c>
      <c r="H529" t="s">
        <v>904</v>
      </c>
      <c r="I529" t="s">
        <v>5</v>
      </c>
      <c r="J529" t="s">
        <v>6</v>
      </c>
      <c r="K529" t="s">
        <v>4</v>
      </c>
      <c r="L529" t="s">
        <v>1306</v>
      </c>
      <c r="M529" t="s">
        <v>1306</v>
      </c>
      <c r="N529" s="2">
        <v>2189</v>
      </c>
      <c r="O529" t="s">
        <v>1295</v>
      </c>
      <c r="P529" t="s">
        <v>9</v>
      </c>
      <c r="Q529" t="s">
        <v>86</v>
      </c>
      <c r="R529" t="e">
        <f>VLOOKUP(Q529,#REF!,2,FALSE)</f>
        <v>#REF!</v>
      </c>
      <c r="S529">
        <v>1004</v>
      </c>
      <c r="T529" t="s">
        <v>2225</v>
      </c>
      <c r="U529" t="s">
        <v>1296</v>
      </c>
      <c r="V529" s="1">
        <v>46053</v>
      </c>
      <c r="W529" s="1">
        <v>46053</v>
      </c>
      <c r="X529" t="s">
        <v>77</v>
      </c>
      <c r="Y529" t="s">
        <v>646</v>
      </c>
      <c r="Z529" t="s">
        <v>6</v>
      </c>
      <c r="AA529" t="s">
        <v>646</v>
      </c>
      <c r="AB529" s="4">
        <f t="shared" si="37"/>
        <v>72966.666666666672</v>
      </c>
      <c r="AC529" s="6">
        <v>0.04</v>
      </c>
      <c r="AD529" s="4">
        <f t="shared" si="38"/>
        <v>2918.666666666667</v>
      </c>
      <c r="AE529" s="4">
        <f t="shared" si="39"/>
        <v>729.66666666666697</v>
      </c>
    </row>
    <row r="530" spans="1:31" x14ac:dyDescent="0.25">
      <c r="A530" t="s">
        <v>0</v>
      </c>
      <c r="B530" s="3" t="s">
        <v>2219</v>
      </c>
      <c r="C530" t="s">
        <v>1294</v>
      </c>
      <c r="D530" t="s">
        <v>160</v>
      </c>
      <c r="E530" t="s">
        <v>1286</v>
      </c>
      <c r="F530" s="1">
        <v>46060</v>
      </c>
      <c r="G530" s="1">
        <v>46063</v>
      </c>
      <c r="H530" t="s">
        <v>904</v>
      </c>
      <c r="I530" t="s">
        <v>5</v>
      </c>
      <c r="J530" t="s">
        <v>6</v>
      </c>
      <c r="K530" t="s">
        <v>4</v>
      </c>
      <c r="L530" t="s">
        <v>991</v>
      </c>
      <c r="M530" t="s">
        <v>991</v>
      </c>
      <c r="N530" s="2">
        <v>1993</v>
      </c>
      <c r="O530" t="s">
        <v>1295</v>
      </c>
      <c r="P530" t="s">
        <v>9</v>
      </c>
      <c r="Q530" t="s">
        <v>86</v>
      </c>
      <c r="R530" t="e">
        <f>VLOOKUP(Q530,#REF!,2,FALSE)</f>
        <v>#REF!</v>
      </c>
      <c r="S530">
        <v>1004</v>
      </c>
      <c r="T530" t="s">
        <v>2225</v>
      </c>
      <c r="U530" t="s">
        <v>1296</v>
      </c>
      <c r="V530" s="1">
        <v>46053</v>
      </c>
      <c r="W530" s="1">
        <v>46053</v>
      </c>
      <c r="X530" t="s">
        <v>77</v>
      </c>
      <c r="Y530" t="s">
        <v>646</v>
      </c>
      <c r="Z530" t="s">
        <v>6</v>
      </c>
      <c r="AA530" t="s">
        <v>646</v>
      </c>
      <c r="AB530" s="4">
        <f t="shared" si="37"/>
        <v>66433.333333333343</v>
      </c>
      <c r="AC530" s="6">
        <v>0.04</v>
      </c>
      <c r="AD530" s="4">
        <f t="shared" si="38"/>
        <v>2657.3333333333339</v>
      </c>
      <c r="AE530" s="4">
        <f t="shared" si="39"/>
        <v>664.33333333333394</v>
      </c>
    </row>
    <row r="531" spans="1:31" x14ac:dyDescent="0.25">
      <c r="A531" t="s">
        <v>0</v>
      </c>
      <c r="B531" s="3" t="s">
        <v>2219</v>
      </c>
      <c r="C531" t="s">
        <v>1294</v>
      </c>
      <c r="D531" t="s">
        <v>160</v>
      </c>
      <c r="E531" t="s">
        <v>1288</v>
      </c>
      <c r="F531" s="1">
        <v>46060</v>
      </c>
      <c r="G531" s="1">
        <v>46063</v>
      </c>
      <c r="H531" t="s">
        <v>904</v>
      </c>
      <c r="I531" t="s">
        <v>5</v>
      </c>
      <c r="J531" t="s">
        <v>6</v>
      </c>
      <c r="K531" t="s">
        <v>4</v>
      </c>
      <c r="L531" t="s">
        <v>1307</v>
      </c>
      <c r="M531" t="s">
        <v>1307</v>
      </c>
      <c r="N531" s="2">
        <v>390</v>
      </c>
      <c r="O531" t="s">
        <v>1295</v>
      </c>
      <c r="P531" t="s">
        <v>9</v>
      </c>
      <c r="Q531" t="s">
        <v>86</v>
      </c>
      <c r="R531" t="e">
        <f>VLOOKUP(Q531,#REF!,2,FALSE)</f>
        <v>#REF!</v>
      </c>
      <c r="S531">
        <v>1004</v>
      </c>
      <c r="T531" t="s">
        <v>2225</v>
      </c>
      <c r="U531" t="s">
        <v>1296</v>
      </c>
      <c r="V531" s="1">
        <v>46053</v>
      </c>
      <c r="W531" s="1">
        <v>46053</v>
      </c>
      <c r="X531" t="s">
        <v>77</v>
      </c>
      <c r="Y531" t="s">
        <v>646</v>
      </c>
      <c r="Z531" t="s">
        <v>6</v>
      </c>
      <c r="AA531" t="s">
        <v>646</v>
      </c>
      <c r="AB531" s="4">
        <f t="shared" si="37"/>
        <v>13000</v>
      </c>
      <c r="AC531" s="6">
        <v>0.04</v>
      </c>
      <c r="AD531" s="4">
        <f t="shared" si="38"/>
        <v>520</v>
      </c>
      <c r="AE531" s="4">
        <f t="shared" si="39"/>
        <v>130</v>
      </c>
    </row>
    <row r="532" spans="1:31" x14ac:dyDescent="0.25">
      <c r="A532" t="s">
        <v>0</v>
      </c>
      <c r="B532" s="3" t="s">
        <v>2219</v>
      </c>
      <c r="C532" t="s">
        <v>1294</v>
      </c>
      <c r="D532" t="s">
        <v>160</v>
      </c>
      <c r="E532" t="s">
        <v>1290</v>
      </c>
      <c r="F532" s="1">
        <v>46060</v>
      </c>
      <c r="G532" s="1">
        <v>46063</v>
      </c>
      <c r="H532" t="s">
        <v>904</v>
      </c>
      <c r="I532" t="s">
        <v>5</v>
      </c>
      <c r="J532" t="s">
        <v>6</v>
      </c>
      <c r="K532" t="s">
        <v>4</v>
      </c>
      <c r="L532" t="s">
        <v>1308</v>
      </c>
      <c r="M532" t="s">
        <v>1308</v>
      </c>
      <c r="N532" s="2">
        <v>3087</v>
      </c>
      <c r="O532" t="s">
        <v>1295</v>
      </c>
      <c r="P532" t="s">
        <v>9</v>
      </c>
      <c r="Q532" t="s">
        <v>86</v>
      </c>
      <c r="R532" t="e">
        <f>VLOOKUP(Q532,#REF!,2,FALSE)</f>
        <v>#REF!</v>
      </c>
      <c r="S532">
        <v>1004</v>
      </c>
      <c r="T532" t="s">
        <v>2225</v>
      </c>
      <c r="U532" t="s">
        <v>1296</v>
      </c>
      <c r="V532" s="1">
        <v>46053</v>
      </c>
      <c r="W532" s="1">
        <v>46053</v>
      </c>
      <c r="X532" t="s">
        <v>77</v>
      </c>
      <c r="Y532" t="s">
        <v>646</v>
      </c>
      <c r="Z532" t="s">
        <v>6</v>
      </c>
      <c r="AA532" t="s">
        <v>646</v>
      </c>
      <c r="AB532" s="4">
        <f t="shared" si="37"/>
        <v>102900</v>
      </c>
      <c r="AC532" s="6">
        <v>0.04</v>
      </c>
      <c r="AD532" s="4">
        <f t="shared" si="38"/>
        <v>4116</v>
      </c>
      <c r="AE532" s="4">
        <f t="shared" si="39"/>
        <v>1029</v>
      </c>
    </row>
    <row r="533" spans="1:31" x14ac:dyDescent="0.25">
      <c r="A533" t="s">
        <v>0</v>
      </c>
      <c r="B533" s="3" t="s">
        <v>2219</v>
      </c>
      <c r="C533" t="s">
        <v>1294</v>
      </c>
      <c r="D533" t="s">
        <v>160</v>
      </c>
      <c r="E533" t="s">
        <v>1292</v>
      </c>
      <c r="F533" s="1">
        <v>46060</v>
      </c>
      <c r="G533" s="1">
        <v>46063</v>
      </c>
      <c r="H533" t="s">
        <v>904</v>
      </c>
      <c r="I533" t="s">
        <v>5</v>
      </c>
      <c r="J533" t="s">
        <v>6</v>
      </c>
      <c r="K533" t="s">
        <v>4</v>
      </c>
      <c r="L533" t="s">
        <v>1309</v>
      </c>
      <c r="M533" t="s">
        <v>1309</v>
      </c>
      <c r="N533" s="2">
        <v>592</v>
      </c>
      <c r="O533" t="s">
        <v>1295</v>
      </c>
      <c r="P533" t="s">
        <v>9</v>
      </c>
      <c r="Q533" t="s">
        <v>86</v>
      </c>
      <c r="R533" t="e">
        <f>VLOOKUP(Q533,#REF!,2,FALSE)</f>
        <v>#REF!</v>
      </c>
      <c r="S533">
        <v>1004</v>
      </c>
      <c r="T533" t="s">
        <v>2225</v>
      </c>
      <c r="U533" t="s">
        <v>1296</v>
      </c>
      <c r="V533" s="1">
        <v>46053</v>
      </c>
      <c r="W533" s="1">
        <v>46053</v>
      </c>
      <c r="X533" t="s">
        <v>77</v>
      </c>
      <c r="Y533" t="s">
        <v>646</v>
      </c>
      <c r="Z533" t="s">
        <v>6</v>
      </c>
      <c r="AA533" t="s">
        <v>646</v>
      </c>
      <c r="AB533" s="4">
        <f t="shared" si="37"/>
        <v>19733.333333333336</v>
      </c>
      <c r="AC533" s="6">
        <v>0.04</v>
      </c>
      <c r="AD533" s="4">
        <f t="shared" si="38"/>
        <v>789.33333333333348</v>
      </c>
      <c r="AE533" s="4">
        <f t="shared" si="39"/>
        <v>197.33333333333348</v>
      </c>
    </row>
    <row r="534" spans="1:31" x14ac:dyDescent="0.25">
      <c r="A534" t="s">
        <v>0</v>
      </c>
      <c r="B534" s="3" t="s">
        <v>2219</v>
      </c>
      <c r="C534" t="s">
        <v>1294</v>
      </c>
      <c r="D534" t="s">
        <v>160</v>
      </c>
      <c r="E534" t="s">
        <v>666</v>
      </c>
      <c r="F534" s="1">
        <v>46060</v>
      </c>
      <c r="G534" s="1">
        <v>46063</v>
      </c>
      <c r="H534" t="s">
        <v>882</v>
      </c>
      <c r="I534" t="s">
        <v>5</v>
      </c>
      <c r="J534" t="s">
        <v>6</v>
      </c>
      <c r="K534" t="s">
        <v>4</v>
      </c>
      <c r="L534" t="s">
        <v>1310</v>
      </c>
      <c r="M534" t="s">
        <v>1310</v>
      </c>
      <c r="N534" s="2">
        <v>90714</v>
      </c>
      <c r="O534" t="s">
        <v>1295</v>
      </c>
      <c r="P534" t="s">
        <v>9</v>
      </c>
      <c r="Q534" t="s">
        <v>75</v>
      </c>
      <c r="R534" t="e">
        <f>VLOOKUP(Q534,#REF!,2,FALSE)</f>
        <v>#REF!</v>
      </c>
      <c r="S534">
        <v>1004</v>
      </c>
      <c r="T534" t="s">
        <v>2225</v>
      </c>
      <c r="U534" t="s">
        <v>1296</v>
      </c>
      <c r="V534" s="1">
        <v>46053</v>
      </c>
      <c r="W534" s="1">
        <v>46053</v>
      </c>
      <c r="X534" t="s">
        <v>77</v>
      </c>
      <c r="Y534" t="s">
        <v>646</v>
      </c>
      <c r="Z534" t="s">
        <v>6</v>
      </c>
      <c r="AA534" t="s">
        <v>646</v>
      </c>
      <c r="AB534" s="4">
        <f t="shared" ref="AB534:AB562" si="40">L534/0.1</f>
        <v>907140</v>
      </c>
      <c r="AC534" s="5" t="s">
        <v>2215</v>
      </c>
      <c r="AD534" s="4">
        <f t="shared" ref="AD534:AD562" si="41">AB534/12</f>
        <v>75595</v>
      </c>
      <c r="AE534" s="4">
        <f t="shared" si="39"/>
        <v>-15119</v>
      </c>
    </row>
    <row r="535" spans="1:31" x14ac:dyDescent="0.25">
      <c r="A535" t="s">
        <v>0</v>
      </c>
      <c r="B535" s="3" t="s">
        <v>2219</v>
      </c>
      <c r="C535" t="s">
        <v>1294</v>
      </c>
      <c r="D535" t="s">
        <v>160</v>
      </c>
      <c r="E535" t="s">
        <v>670</v>
      </c>
      <c r="F535" s="1">
        <v>46060</v>
      </c>
      <c r="G535" s="1">
        <v>46063</v>
      </c>
      <c r="H535" t="s">
        <v>882</v>
      </c>
      <c r="I535" t="s">
        <v>5</v>
      </c>
      <c r="J535" t="s">
        <v>6</v>
      </c>
      <c r="K535" t="s">
        <v>4</v>
      </c>
      <c r="L535" t="s">
        <v>1311</v>
      </c>
      <c r="M535" t="s">
        <v>1311</v>
      </c>
      <c r="N535" s="2">
        <v>11884</v>
      </c>
      <c r="O535" t="s">
        <v>1295</v>
      </c>
      <c r="P535" t="s">
        <v>9</v>
      </c>
      <c r="Q535" t="s">
        <v>75</v>
      </c>
      <c r="R535" t="e">
        <f>VLOOKUP(Q535,#REF!,2,FALSE)</f>
        <v>#REF!</v>
      </c>
      <c r="S535">
        <v>1004</v>
      </c>
      <c r="T535" t="s">
        <v>2225</v>
      </c>
      <c r="U535" t="s">
        <v>1296</v>
      </c>
      <c r="V535" s="1">
        <v>46053</v>
      </c>
      <c r="W535" s="1">
        <v>46053</v>
      </c>
      <c r="X535" t="s">
        <v>77</v>
      </c>
      <c r="Y535" t="s">
        <v>646</v>
      </c>
      <c r="Z535" t="s">
        <v>6</v>
      </c>
      <c r="AA535" t="s">
        <v>646</v>
      </c>
      <c r="AB535" s="4">
        <f t="shared" si="40"/>
        <v>118840</v>
      </c>
      <c r="AC535" s="5" t="s">
        <v>2215</v>
      </c>
      <c r="AD535" s="4">
        <f t="shared" si="41"/>
        <v>9903.3333333333339</v>
      </c>
      <c r="AE535" s="4">
        <f t="shared" si="39"/>
        <v>-1980.6666666666661</v>
      </c>
    </row>
    <row r="536" spans="1:31" x14ac:dyDescent="0.25">
      <c r="A536" t="s">
        <v>0</v>
      </c>
      <c r="B536" s="3" t="s">
        <v>2219</v>
      </c>
      <c r="C536" t="s">
        <v>1294</v>
      </c>
      <c r="D536" t="s">
        <v>160</v>
      </c>
      <c r="E536" t="s">
        <v>671</v>
      </c>
      <c r="F536" s="1">
        <v>46060</v>
      </c>
      <c r="G536" s="1">
        <v>46063</v>
      </c>
      <c r="H536" t="s">
        <v>882</v>
      </c>
      <c r="I536" t="s">
        <v>5</v>
      </c>
      <c r="J536" t="s">
        <v>6</v>
      </c>
      <c r="K536" t="s">
        <v>4</v>
      </c>
      <c r="L536" t="s">
        <v>1312</v>
      </c>
      <c r="M536" t="s">
        <v>1312</v>
      </c>
      <c r="N536" s="2">
        <v>27769</v>
      </c>
      <c r="O536" t="s">
        <v>1295</v>
      </c>
      <c r="P536" t="s">
        <v>9</v>
      </c>
      <c r="Q536" t="s">
        <v>75</v>
      </c>
      <c r="R536" t="e">
        <f>VLOOKUP(Q536,#REF!,2,FALSE)</f>
        <v>#REF!</v>
      </c>
      <c r="S536">
        <v>1004</v>
      </c>
      <c r="T536" t="s">
        <v>2225</v>
      </c>
      <c r="U536" t="s">
        <v>1296</v>
      </c>
      <c r="V536" s="1">
        <v>46053</v>
      </c>
      <c r="W536" s="1">
        <v>46053</v>
      </c>
      <c r="X536" t="s">
        <v>77</v>
      </c>
      <c r="Y536" t="s">
        <v>646</v>
      </c>
      <c r="Z536" t="s">
        <v>6</v>
      </c>
      <c r="AA536" t="s">
        <v>646</v>
      </c>
      <c r="AB536" s="4">
        <f t="shared" si="40"/>
        <v>277690</v>
      </c>
      <c r="AC536" s="5" t="s">
        <v>2215</v>
      </c>
      <c r="AD536" s="4">
        <f t="shared" si="41"/>
        <v>23140.833333333332</v>
      </c>
      <c r="AE536" s="4">
        <f t="shared" si="39"/>
        <v>-4628.1666666666679</v>
      </c>
    </row>
    <row r="537" spans="1:31" x14ac:dyDescent="0.25">
      <c r="A537" t="s">
        <v>0</v>
      </c>
      <c r="B537" s="3" t="s">
        <v>2219</v>
      </c>
      <c r="C537" t="s">
        <v>1294</v>
      </c>
      <c r="D537" t="s">
        <v>160</v>
      </c>
      <c r="E537" t="s">
        <v>542</v>
      </c>
      <c r="F537" s="1">
        <v>46060</v>
      </c>
      <c r="G537" s="1">
        <v>46063</v>
      </c>
      <c r="H537" t="s">
        <v>882</v>
      </c>
      <c r="I537" t="s">
        <v>5</v>
      </c>
      <c r="J537" t="s">
        <v>6</v>
      </c>
      <c r="K537" t="s">
        <v>4</v>
      </c>
      <c r="L537" t="s">
        <v>1313</v>
      </c>
      <c r="M537" t="s">
        <v>1313</v>
      </c>
      <c r="N537" s="2">
        <v>6640</v>
      </c>
      <c r="O537" t="s">
        <v>1295</v>
      </c>
      <c r="P537" t="s">
        <v>9</v>
      </c>
      <c r="Q537" t="s">
        <v>75</v>
      </c>
      <c r="R537" t="e">
        <f>VLOOKUP(Q537,#REF!,2,FALSE)</f>
        <v>#REF!</v>
      </c>
      <c r="S537">
        <v>1004</v>
      </c>
      <c r="T537" t="s">
        <v>2225</v>
      </c>
      <c r="U537" t="s">
        <v>1296</v>
      </c>
      <c r="V537" s="1">
        <v>46053</v>
      </c>
      <c r="W537" s="1">
        <v>46053</v>
      </c>
      <c r="X537" t="s">
        <v>77</v>
      </c>
      <c r="Y537" t="s">
        <v>646</v>
      </c>
      <c r="Z537" t="s">
        <v>6</v>
      </c>
      <c r="AA537" t="s">
        <v>646</v>
      </c>
      <c r="AB537" s="4">
        <f t="shared" si="40"/>
        <v>66400</v>
      </c>
      <c r="AC537" s="5" t="s">
        <v>2215</v>
      </c>
      <c r="AD537" s="4">
        <f t="shared" si="41"/>
        <v>5533.333333333333</v>
      </c>
      <c r="AE537" s="4">
        <f t="shared" si="39"/>
        <v>-1106.666666666667</v>
      </c>
    </row>
    <row r="538" spans="1:31" x14ac:dyDescent="0.25">
      <c r="A538" t="s">
        <v>0</v>
      </c>
      <c r="B538" s="3" t="s">
        <v>2219</v>
      </c>
      <c r="C538" t="s">
        <v>1294</v>
      </c>
      <c r="D538" t="s">
        <v>160</v>
      </c>
      <c r="E538" t="s">
        <v>546</v>
      </c>
      <c r="F538" s="1">
        <v>46060</v>
      </c>
      <c r="G538" s="1">
        <v>46063</v>
      </c>
      <c r="H538" t="s">
        <v>882</v>
      </c>
      <c r="I538" t="s">
        <v>5</v>
      </c>
      <c r="J538" t="s">
        <v>6</v>
      </c>
      <c r="K538" t="s">
        <v>4</v>
      </c>
      <c r="L538" t="s">
        <v>1314</v>
      </c>
      <c r="M538" t="s">
        <v>1314</v>
      </c>
      <c r="N538" s="2">
        <v>25194</v>
      </c>
      <c r="O538" t="s">
        <v>1295</v>
      </c>
      <c r="P538" t="s">
        <v>9</v>
      </c>
      <c r="Q538" t="s">
        <v>75</v>
      </c>
      <c r="R538" t="e">
        <f>VLOOKUP(Q538,#REF!,2,FALSE)</f>
        <v>#REF!</v>
      </c>
      <c r="S538">
        <v>1004</v>
      </c>
      <c r="T538" t="s">
        <v>2225</v>
      </c>
      <c r="U538" t="s">
        <v>1296</v>
      </c>
      <c r="V538" s="1">
        <v>46053</v>
      </c>
      <c r="W538" s="1">
        <v>46053</v>
      </c>
      <c r="X538" t="s">
        <v>77</v>
      </c>
      <c r="Y538" t="s">
        <v>646</v>
      </c>
      <c r="Z538" t="s">
        <v>6</v>
      </c>
      <c r="AA538" t="s">
        <v>646</v>
      </c>
      <c r="AB538" s="4">
        <f t="shared" si="40"/>
        <v>251940</v>
      </c>
      <c r="AC538" s="5" t="s">
        <v>2215</v>
      </c>
      <c r="AD538" s="4">
        <f t="shared" si="41"/>
        <v>20995</v>
      </c>
      <c r="AE538" s="4">
        <f t="shared" si="39"/>
        <v>-4199</v>
      </c>
    </row>
    <row r="539" spans="1:31" x14ac:dyDescent="0.25">
      <c r="A539" t="s">
        <v>0</v>
      </c>
      <c r="B539" s="3" t="s">
        <v>2219</v>
      </c>
      <c r="C539" t="s">
        <v>1294</v>
      </c>
      <c r="D539" t="s">
        <v>160</v>
      </c>
      <c r="E539" t="s">
        <v>548</v>
      </c>
      <c r="F539" s="1">
        <v>46060</v>
      </c>
      <c r="G539" s="1">
        <v>46063</v>
      </c>
      <c r="H539" t="s">
        <v>882</v>
      </c>
      <c r="I539" t="s">
        <v>5</v>
      </c>
      <c r="J539" t="s">
        <v>6</v>
      </c>
      <c r="K539" t="s">
        <v>4</v>
      </c>
      <c r="L539" t="s">
        <v>1315</v>
      </c>
      <c r="M539" t="s">
        <v>1315</v>
      </c>
      <c r="N539" s="2">
        <v>40581</v>
      </c>
      <c r="O539" t="s">
        <v>1295</v>
      </c>
      <c r="P539" t="s">
        <v>9</v>
      </c>
      <c r="Q539" t="s">
        <v>75</v>
      </c>
      <c r="R539" t="e">
        <f>VLOOKUP(Q539,#REF!,2,FALSE)</f>
        <v>#REF!</v>
      </c>
      <c r="S539">
        <v>1004</v>
      </c>
      <c r="T539" t="s">
        <v>2225</v>
      </c>
      <c r="U539" t="s">
        <v>1296</v>
      </c>
      <c r="V539" s="1">
        <v>46053</v>
      </c>
      <c r="W539" s="1">
        <v>46053</v>
      </c>
      <c r="X539" t="s">
        <v>77</v>
      </c>
      <c r="Y539" t="s">
        <v>646</v>
      </c>
      <c r="Z539" t="s">
        <v>6</v>
      </c>
      <c r="AA539" t="s">
        <v>646</v>
      </c>
      <c r="AB539" s="4">
        <f t="shared" si="40"/>
        <v>405810</v>
      </c>
      <c r="AC539" s="5" t="s">
        <v>2215</v>
      </c>
      <c r="AD539" s="4">
        <f t="shared" si="41"/>
        <v>33817.5</v>
      </c>
      <c r="AE539" s="4">
        <f t="shared" si="39"/>
        <v>-6763.5</v>
      </c>
    </row>
    <row r="540" spans="1:31" x14ac:dyDescent="0.25">
      <c r="A540" t="s">
        <v>0</v>
      </c>
      <c r="B540" s="3" t="s">
        <v>2219</v>
      </c>
      <c r="C540" t="s">
        <v>1294</v>
      </c>
      <c r="D540" t="s">
        <v>160</v>
      </c>
      <c r="E540" t="s">
        <v>1316</v>
      </c>
      <c r="F540" s="1">
        <v>46060</v>
      </c>
      <c r="G540" s="1">
        <v>46063</v>
      </c>
      <c r="H540" t="s">
        <v>882</v>
      </c>
      <c r="I540" t="s">
        <v>5</v>
      </c>
      <c r="J540" t="s">
        <v>6</v>
      </c>
      <c r="K540" t="s">
        <v>4</v>
      </c>
      <c r="L540" t="s">
        <v>1317</v>
      </c>
      <c r="M540" t="s">
        <v>1317</v>
      </c>
      <c r="N540" s="2">
        <v>22502</v>
      </c>
      <c r="O540" t="s">
        <v>1295</v>
      </c>
      <c r="P540" t="s">
        <v>9</v>
      </c>
      <c r="Q540" t="s">
        <v>75</v>
      </c>
      <c r="R540" t="e">
        <f>VLOOKUP(Q540,#REF!,2,FALSE)</f>
        <v>#REF!</v>
      </c>
      <c r="S540">
        <v>1004</v>
      </c>
      <c r="T540" t="s">
        <v>2225</v>
      </c>
      <c r="U540" t="s">
        <v>1296</v>
      </c>
      <c r="V540" s="1">
        <v>46053</v>
      </c>
      <c r="W540" s="1">
        <v>46053</v>
      </c>
      <c r="X540" t="s">
        <v>77</v>
      </c>
      <c r="Y540" t="s">
        <v>646</v>
      </c>
      <c r="Z540" t="s">
        <v>6</v>
      </c>
      <c r="AA540" t="s">
        <v>646</v>
      </c>
      <c r="AB540" s="4">
        <f t="shared" si="40"/>
        <v>225020</v>
      </c>
      <c r="AC540" s="5" t="s">
        <v>2215</v>
      </c>
      <c r="AD540" s="4">
        <f t="shared" si="41"/>
        <v>18751.666666666668</v>
      </c>
      <c r="AE540" s="4">
        <f t="shared" si="39"/>
        <v>-3750.3333333333321</v>
      </c>
    </row>
    <row r="541" spans="1:31" x14ac:dyDescent="0.25">
      <c r="A541" t="s">
        <v>0</v>
      </c>
      <c r="B541" s="3" t="s">
        <v>2219</v>
      </c>
      <c r="C541" t="s">
        <v>1294</v>
      </c>
      <c r="D541" t="s">
        <v>160</v>
      </c>
      <c r="E541" t="s">
        <v>1318</v>
      </c>
      <c r="F541" s="1">
        <v>46060</v>
      </c>
      <c r="G541" s="1">
        <v>46063</v>
      </c>
      <c r="H541" t="s">
        <v>882</v>
      </c>
      <c r="I541" t="s">
        <v>5</v>
      </c>
      <c r="J541" t="s">
        <v>6</v>
      </c>
      <c r="K541" t="s">
        <v>4</v>
      </c>
      <c r="L541" t="s">
        <v>1319</v>
      </c>
      <c r="M541" t="s">
        <v>1319</v>
      </c>
      <c r="N541" s="2">
        <v>19346</v>
      </c>
      <c r="O541" t="s">
        <v>1295</v>
      </c>
      <c r="P541" t="s">
        <v>9</v>
      </c>
      <c r="Q541" t="s">
        <v>75</v>
      </c>
      <c r="R541" t="e">
        <f>VLOOKUP(Q541,#REF!,2,FALSE)</f>
        <v>#REF!</v>
      </c>
      <c r="S541">
        <v>1004</v>
      </c>
      <c r="T541" t="s">
        <v>2225</v>
      </c>
      <c r="U541" t="s">
        <v>1296</v>
      </c>
      <c r="V541" s="1">
        <v>46053</v>
      </c>
      <c r="W541" s="1">
        <v>46053</v>
      </c>
      <c r="X541" t="s">
        <v>77</v>
      </c>
      <c r="Y541" t="s">
        <v>646</v>
      </c>
      <c r="Z541" t="s">
        <v>6</v>
      </c>
      <c r="AA541" t="s">
        <v>646</v>
      </c>
      <c r="AB541" s="4">
        <f t="shared" si="40"/>
        <v>193460</v>
      </c>
      <c r="AC541" s="5" t="s">
        <v>2215</v>
      </c>
      <c r="AD541" s="4">
        <f t="shared" si="41"/>
        <v>16121.666666666666</v>
      </c>
      <c r="AE541" s="4">
        <f t="shared" si="39"/>
        <v>-3224.3333333333339</v>
      </c>
    </row>
    <row r="542" spans="1:31" x14ac:dyDescent="0.25">
      <c r="A542" t="s">
        <v>0</v>
      </c>
      <c r="B542" s="3" t="s">
        <v>2219</v>
      </c>
      <c r="C542" t="s">
        <v>1294</v>
      </c>
      <c r="D542" t="s">
        <v>160</v>
      </c>
      <c r="E542" t="s">
        <v>1320</v>
      </c>
      <c r="F542" s="1">
        <v>46060</v>
      </c>
      <c r="G542" s="1">
        <v>46063</v>
      </c>
      <c r="H542" t="s">
        <v>882</v>
      </c>
      <c r="I542" t="s">
        <v>5</v>
      </c>
      <c r="J542" t="s">
        <v>6</v>
      </c>
      <c r="K542" t="s">
        <v>4</v>
      </c>
      <c r="L542" t="s">
        <v>1321</v>
      </c>
      <c r="M542" t="s">
        <v>1321</v>
      </c>
      <c r="N542" s="2">
        <v>45212</v>
      </c>
      <c r="O542" t="s">
        <v>1295</v>
      </c>
      <c r="P542" t="s">
        <v>9</v>
      </c>
      <c r="Q542" t="s">
        <v>75</v>
      </c>
      <c r="R542" t="e">
        <f>VLOOKUP(Q542,#REF!,2,FALSE)</f>
        <v>#REF!</v>
      </c>
      <c r="S542">
        <v>1004</v>
      </c>
      <c r="T542" t="s">
        <v>2225</v>
      </c>
      <c r="U542" t="s">
        <v>1296</v>
      </c>
      <c r="V542" s="1">
        <v>46053</v>
      </c>
      <c r="W542" s="1">
        <v>46053</v>
      </c>
      <c r="X542" t="s">
        <v>77</v>
      </c>
      <c r="Y542" t="s">
        <v>646</v>
      </c>
      <c r="Z542" t="s">
        <v>6</v>
      </c>
      <c r="AA542" t="s">
        <v>646</v>
      </c>
      <c r="AB542" s="4">
        <f t="shared" si="40"/>
        <v>452120</v>
      </c>
      <c r="AC542" s="5" t="s">
        <v>2215</v>
      </c>
      <c r="AD542" s="4">
        <f t="shared" si="41"/>
        <v>37676.666666666664</v>
      </c>
      <c r="AE542" s="4">
        <f t="shared" si="39"/>
        <v>-7535.3333333333358</v>
      </c>
    </row>
    <row r="543" spans="1:31" x14ac:dyDescent="0.25">
      <c r="A543" t="s">
        <v>0</v>
      </c>
      <c r="B543" s="3" t="s">
        <v>2219</v>
      </c>
      <c r="C543" t="s">
        <v>1294</v>
      </c>
      <c r="D543" t="s">
        <v>160</v>
      </c>
      <c r="E543" t="s">
        <v>1322</v>
      </c>
      <c r="F543" s="1">
        <v>46060</v>
      </c>
      <c r="G543" s="1">
        <v>46063</v>
      </c>
      <c r="H543" t="s">
        <v>882</v>
      </c>
      <c r="I543" t="s">
        <v>5</v>
      </c>
      <c r="J543" t="s">
        <v>6</v>
      </c>
      <c r="K543" t="s">
        <v>4</v>
      </c>
      <c r="L543" t="s">
        <v>1323</v>
      </c>
      <c r="M543" t="s">
        <v>1323</v>
      </c>
      <c r="N543" s="2">
        <v>32200</v>
      </c>
      <c r="O543" t="s">
        <v>1295</v>
      </c>
      <c r="P543" t="s">
        <v>9</v>
      </c>
      <c r="Q543" t="s">
        <v>75</v>
      </c>
      <c r="R543" t="e">
        <f>VLOOKUP(Q543,#REF!,2,FALSE)</f>
        <v>#REF!</v>
      </c>
      <c r="S543">
        <v>1004</v>
      </c>
      <c r="T543" t="s">
        <v>2225</v>
      </c>
      <c r="U543" t="s">
        <v>1296</v>
      </c>
      <c r="V543" s="1">
        <v>46053</v>
      </c>
      <c r="W543" s="1">
        <v>46053</v>
      </c>
      <c r="X543" t="s">
        <v>77</v>
      </c>
      <c r="Y543" t="s">
        <v>646</v>
      </c>
      <c r="Z543" t="s">
        <v>6</v>
      </c>
      <c r="AA543" t="s">
        <v>646</v>
      </c>
      <c r="AB543" s="4">
        <f t="shared" si="40"/>
        <v>322000</v>
      </c>
      <c r="AC543" s="5" t="s">
        <v>2215</v>
      </c>
      <c r="AD543" s="4">
        <f t="shared" si="41"/>
        <v>26833.333333333332</v>
      </c>
      <c r="AE543" s="4">
        <f t="shared" si="39"/>
        <v>-5366.6666666666679</v>
      </c>
    </row>
    <row r="544" spans="1:31" x14ac:dyDescent="0.25">
      <c r="A544" t="s">
        <v>0</v>
      </c>
      <c r="B544" s="3" t="s">
        <v>2219</v>
      </c>
      <c r="C544" t="s">
        <v>1294</v>
      </c>
      <c r="D544" t="s">
        <v>160</v>
      </c>
      <c r="E544" t="s">
        <v>1324</v>
      </c>
      <c r="F544" s="1">
        <v>46060</v>
      </c>
      <c r="G544" s="1">
        <v>46063</v>
      </c>
      <c r="H544" t="s">
        <v>882</v>
      </c>
      <c r="I544" t="s">
        <v>5</v>
      </c>
      <c r="J544" t="s">
        <v>6</v>
      </c>
      <c r="K544" t="s">
        <v>4</v>
      </c>
      <c r="L544" t="s">
        <v>1325</v>
      </c>
      <c r="M544" t="s">
        <v>1325</v>
      </c>
      <c r="N544" s="2">
        <v>24060</v>
      </c>
      <c r="O544" t="s">
        <v>1295</v>
      </c>
      <c r="P544" t="s">
        <v>9</v>
      </c>
      <c r="Q544" t="s">
        <v>75</v>
      </c>
      <c r="R544" t="e">
        <f>VLOOKUP(Q544,#REF!,2,FALSE)</f>
        <v>#REF!</v>
      </c>
      <c r="S544">
        <v>1004</v>
      </c>
      <c r="T544" t="s">
        <v>2225</v>
      </c>
      <c r="U544" t="s">
        <v>1296</v>
      </c>
      <c r="V544" s="1">
        <v>46053</v>
      </c>
      <c r="W544" s="1">
        <v>46053</v>
      </c>
      <c r="X544" t="s">
        <v>77</v>
      </c>
      <c r="Y544" t="s">
        <v>646</v>
      </c>
      <c r="Z544" t="s">
        <v>6</v>
      </c>
      <c r="AA544" t="s">
        <v>646</v>
      </c>
      <c r="AB544" s="4">
        <f t="shared" si="40"/>
        <v>240600</v>
      </c>
      <c r="AC544" s="5" t="s">
        <v>2215</v>
      </c>
      <c r="AD544" s="4">
        <f t="shared" si="41"/>
        <v>20050</v>
      </c>
      <c r="AE544" s="4">
        <f t="shared" si="39"/>
        <v>-4010</v>
      </c>
    </row>
    <row r="545" spans="1:31" x14ac:dyDescent="0.25">
      <c r="A545" t="s">
        <v>0</v>
      </c>
      <c r="B545" s="3" t="s">
        <v>2219</v>
      </c>
      <c r="C545" t="s">
        <v>1294</v>
      </c>
      <c r="D545" t="s">
        <v>160</v>
      </c>
      <c r="E545" t="s">
        <v>1326</v>
      </c>
      <c r="F545" s="1">
        <v>46060</v>
      </c>
      <c r="G545" s="1">
        <v>46063</v>
      </c>
      <c r="H545" t="s">
        <v>882</v>
      </c>
      <c r="I545" t="s">
        <v>5</v>
      </c>
      <c r="J545" t="s">
        <v>6</v>
      </c>
      <c r="K545" t="s">
        <v>4</v>
      </c>
      <c r="L545" t="s">
        <v>1327</v>
      </c>
      <c r="M545" t="s">
        <v>1327</v>
      </c>
      <c r="N545" s="2">
        <v>9040</v>
      </c>
      <c r="O545" t="s">
        <v>1295</v>
      </c>
      <c r="P545" t="s">
        <v>9</v>
      </c>
      <c r="Q545" t="s">
        <v>75</v>
      </c>
      <c r="R545" t="e">
        <f>VLOOKUP(Q545,#REF!,2,FALSE)</f>
        <v>#REF!</v>
      </c>
      <c r="S545">
        <v>1004</v>
      </c>
      <c r="T545" t="s">
        <v>2225</v>
      </c>
      <c r="U545" t="s">
        <v>1296</v>
      </c>
      <c r="V545" s="1">
        <v>46053</v>
      </c>
      <c r="W545" s="1">
        <v>46053</v>
      </c>
      <c r="X545" t="s">
        <v>77</v>
      </c>
      <c r="Y545" t="s">
        <v>646</v>
      </c>
      <c r="Z545" t="s">
        <v>6</v>
      </c>
      <c r="AA545" t="s">
        <v>646</v>
      </c>
      <c r="AB545" s="4">
        <f t="shared" si="40"/>
        <v>90400</v>
      </c>
      <c r="AC545" s="5" t="s">
        <v>2215</v>
      </c>
      <c r="AD545" s="4">
        <f t="shared" si="41"/>
        <v>7533.333333333333</v>
      </c>
      <c r="AE545" s="4">
        <f t="shared" si="39"/>
        <v>-1506.666666666667</v>
      </c>
    </row>
    <row r="546" spans="1:31" x14ac:dyDescent="0.25">
      <c r="A546" t="s">
        <v>0</v>
      </c>
      <c r="B546" s="3" t="s">
        <v>2219</v>
      </c>
      <c r="C546" t="s">
        <v>1294</v>
      </c>
      <c r="D546" t="s">
        <v>160</v>
      </c>
      <c r="E546" t="s">
        <v>1328</v>
      </c>
      <c r="F546" s="1">
        <v>46060</v>
      </c>
      <c r="G546" s="1">
        <v>46063</v>
      </c>
      <c r="H546" t="s">
        <v>882</v>
      </c>
      <c r="I546" t="s">
        <v>5</v>
      </c>
      <c r="J546" t="s">
        <v>6</v>
      </c>
      <c r="K546" t="s">
        <v>4</v>
      </c>
      <c r="L546" t="s">
        <v>1329</v>
      </c>
      <c r="M546" t="s">
        <v>1329</v>
      </c>
      <c r="N546" s="2">
        <v>49832</v>
      </c>
      <c r="O546" t="s">
        <v>1295</v>
      </c>
      <c r="P546" t="s">
        <v>9</v>
      </c>
      <c r="Q546" t="s">
        <v>75</v>
      </c>
      <c r="R546" t="e">
        <f>VLOOKUP(Q546,#REF!,2,FALSE)</f>
        <v>#REF!</v>
      </c>
      <c r="S546">
        <v>1004</v>
      </c>
      <c r="T546" t="s">
        <v>2225</v>
      </c>
      <c r="U546" t="s">
        <v>1296</v>
      </c>
      <c r="V546" s="1">
        <v>46053</v>
      </c>
      <c r="W546" s="1">
        <v>46053</v>
      </c>
      <c r="X546" t="s">
        <v>77</v>
      </c>
      <c r="Y546" t="s">
        <v>646</v>
      </c>
      <c r="Z546" t="s">
        <v>6</v>
      </c>
      <c r="AA546" t="s">
        <v>646</v>
      </c>
      <c r="AB546" s="4">
        <f t="shared" si="40"/>
        <v>498320</v>
      </c>
      <c r="AC546" s="5" t="s">
        <v>2215</v>
      </c>
      <c r="AD546" s="4">
        <f t="shared" si="41"/>
        <v>41526.666666666664</v>
      </c>
      <c r="AE546" s="4">
        <f t="shared" si="39"/>
        <v>-8305.3333333333358</v>
      </c>
    </row>
    <row r="547" spans="1:31" x14ac:dyDescent="0.25">
      <c r="A547" t="s">
        <v>0</v>
      </c>
      <c r="B547" s="3" t="s">
        <v>2219</v>
      </c>
      <c r="C547" t="s">
        <v>1294</v>
      </c>
      <c r="D547" t="s">
        <v>160</v>
      </c>
      <c r="E547" t="s">
        <v>1330</v>
      </c>
      <c r="F547" s="1">
        <v>46060</v>
      </c>
      <c r="G547" s="1">
        <v>46063</v>
      </c>
      <c r="H547" t="s">
        <v>882</v>
      </c>
      <c r="I547" t="s">
        <v>5</v>
      </c>
      <c r="J547" t="s">
        <v>6</v>
      </c>
      <c r="K547" t="s">
        <v>4</v>
      </c>
      <c r="L547" t="s">
        <v>1331</v>
      </c>
      <c r="M547" t="s">
        <v>1331</v>
      </c>
      <c r="N547" s="2">
        <v>13005</v>
      </c>
      <c r="O547" t="s">
        <v>1295</v>
      </c>
      <c r="P547" t="s">
        <v>9</v>
      </c>
      <c r="Q547" t="s">
        <v>75</v>
      </c>
      <c r="R547" t="e">
        <f>VLOOKUP(Q547,#REF!,2,FALSE)</f>
        <v>#REF!</v>
      </c>
      <c r="S547">
        <v>1004</v>
      </c>
      <c r="T547" t="s">
        <v>2225</v>
      </c>
      <c r="U547" t="s">
        <v>1296</v>
      </c>
      <c r="V547" s="1">
        <v>46053</v>
      </c>
      <c r="W547" s="1">
        <v>46053</v>
      </c>
      <c r="X547" t="s">
        <v>77</v>
      </c>
      <c r="Y547" t="s">
        <v>646</v>
      </c>
      <c r="Z547" t="s">
        <v>6</v>
      </c>
      <c r="AA547" t="s">
        <v>646</v>
      </c>
      <c r="AB547" s="4">
        <f t="shared" si="40"/>
        <v>130050</v>
      </c>
      <c r="AC547" s="5" t="s">
        <v>2215</v>
      </c>
      <c r="AD547" s="4">
        <f t="shared" si="41"/>
        <v>10837.5</v>
      </c>
      <c r="AE547" s="4">
        <f t="shared" si="39"/>
        <v>-2167.5</v>
      </c>
    </row>
    <row r="548" spans="1:31" x14ac:dyDescent="0.25">
      <c r="A548" t="s">
        <v>0</v>
      </c>
      <c r="B548" s="3" t="s">
        <v>2219</v>
      </c>
      <c r="C548" t="s">
        <v>1294</v>
      </c>
      <c r="D548" t="s">
        <v>160</v>
      </c>
      <c r="E548" t="s">
        <v>1332</v>
      </c>
      <c r="F548" s="1">
        <v>46060</v>
      </c>
      <c r="G548" s="1">
        <v>46063</v>
      </c>
      <c r="H548" t="s">
        <v>882</v>
      </c>
      <c r="I548" t="s">
        <v>5</v>
      </c>
      <c r="J548" t="s">
        <v>6</v>
      </c>
      <c r="K548" t="s">
        <v>4</v>
      </c>
      <c r="L548" t="s">
        <v>1333</v>
      </c>
      <c r="M548" t="s">
        <v>1333</v>
      </c>
      <c r="N548" s="2">
        <v>44639</v>
      </c>
      <c r="O548" t="s">
        <v>1295</v>
      </c>
      <c r="P548" t="s">
        <v>9</v>
      </c>
      <c r="Q548" t="s">
        <v>75</v>
      </c>
      <c r="R548" t="e">
        <f>VLOOKUP(Q548,#REF!,2,FALSE)</f>
        <v>#REF!</v>
      </c>
      <c r="S548">
        <v>1004</v>
      </c>
      <c r="T548" t="s">
        <v>2225</v>
      </c>
      <c r="U548" t="s">
        <v>1296</v>
      </c>
      <c r="V548" s="1">
        <v>46053</v>
      </c>
      <c r="W548" s="1">
        <v>46053</v>
      </c>
      <c r="X548" t="s">
        <v>77</v>
      </c>
      <c r="Y548" t="s">
        <v>646</v>
      </c>
      <c r="Z548" t="s">
        <v>6</v>
      </c>
      <c r="AA548" t="s">
        <v>646</v>
      </c>
      <c r="AB548" s="4">
        <f t="shared" si="40"/>
        <v>446390</v>
      </c>
      <c r="AC548" s="5" t="s">
        <v>2215</v>
      </c>
      <c r="AD548" s="4">
        <f t="shared" si="41"/>
        <v>37199.166666666664</v>
      </c>
      <c r="AE548" s="4">
        <f t="shared" si="39"/>
        <v>-7439.8333333333358</v>
      </c>
    </row>
    <row r="549" spans="1:31" x14ac:dyDescent="0.25">
      <c r="A549" t="s">
        <v>0</v>
      </c>
      <c r="B549" s="3" t="s">
        <v>2219</v>
      </c>
      <c r="C549" t="s">
        <v>1294</v>
      </c>
      <c r="D549" t="s">
        <v>160</v>
      </c>
      <c r="E549" t="s">
        <v>1334</v>
      </c>
      <c r="F549" s="1">
        <v>46060</v>
      </c>
      <c r="G549" s="1">
        <v>46063</v>
      </c>
      <c r="H549" t="s">
        <v>882</v>
      </c>
      <c r="I549" t="s">
        <v>5</v>
      </c>
      <c r="J549" t="s">
        <v>6</v>
      </c>
      <c r="K549" t="s">
        <v>4</v>
      </c>
      <c r="L549" t="s">
        <v>1335</v>
      </c>
      <c r="M549" t="s">
        <v>1335</v>
      </c>
      <c r="N549" s="2">
        <v>13732</v>
      </c>
      <c r="O549" t="s">
        <v>1295</v>
      </c>
      <c r="P549" t="s">
        <v>9</v>
      </c>
      <c r="Q549" t="s">
        <v>75</v>
      </c>
      <c r="R549" t="e">
        <f>VLOOKUP(Q549,#REF!,2,FALSE)</f>
        <v>#REF!</v>
      </c>
      <c r="S549">
        <v>1004</v>
      </c>
      <c r="T549" t="s">
        <v>2225</v>
      </c>
      <c r="U549" t="s">
        <v>1296</v>
      </c>
      <c r="V549" s="1">
        <v>46053</v>
      </c>
      <c r="W549" s="1">
        <v>46053</v>
      </c>
      <c r="X549" t="s">
        <v>77</v>
      </c>
      <c r="Y549" t="s">
        <v>646</v>
      </c>
      <c r="Z549" t="s">
        <v>6</v>
      </c>
      <c r="AA549" t="s">
        <v>646</v>
      </c>
      <c r="AB549" s="4">
        <f t="shared" si="40"/>
        <v>137320</v>
      </c>
      <c r="AC549" s="5" t="s">
        <v>2215</v>
      </c>
      <c r="AD549" s="4">
        <f t="shared" si="41"/>
        <v>11443.333333333334</v>
      </c>
      <c r="AE549" s="4">
        <f t="shared" si="39"/>
        <v>-2288.6666666666661</v>
      </c>
    </row>
    <row r="550" spans="1:31" x14ac:dyDescent="0.25">
      <c r="A550" t="s">
        <v>0</v>
      </c>
      <c r="B550" s="3" t="s">
        <v>2219</v>
      </c>
      <c r="C550" t="s">
        <v>1294</v>
      </c>
      <c r="D550" t="s">
        <v>160</v>
      </c>
      <c r="E550" t="s">
        <v>1336</v>
      </c>
      <c r="F550" s="1">
        <v>46060</v>
      </c>
      <c r="G550" s="1">
        <v>46063</v>
      </c>
      <c r="H550" t="s">
        <v>882</v>
      </c>
      <c r="I550" t="s">
        <v>5</v>
      </c>
      <c r="J550" t="s">
        <v>6</v>
      </c>
      <c r="K550" t="s">
        <v>4</v>
      </c>
      <c r="L550" t="s">
        <v>1337</v>
      </c>
      <c r="M550" t="s">
        <v>1337</v>
      </c>
      <c r="N550" s="2">
        <v>17348</v>
      </c>
      <c r="O550" t="s">
        <v>1295</v>
      </c>
      <c r="P550" t="s">
        <v>9</v>
      </c>
      <c r="Q550" t="s">
        <v>75</v>
      </c>
      <c r="R550" t="e">
        <f>VLOOKUP(Q550,#REF!,2,FALSE)</f>
        <v>#REF!</v>
      </c>
      <c r="S550">
        <v>1004</v>
      </c>
      <c r="T550" t="s">
        <v>2225</v>
      </c>
      <c r="U550" t="s">
        <v>1296</v>
      </c>
      <c r="V550" s="1">
        <v>46053</v>
      </c>
      <c r="W550" s="1">
        <v>46053</v>
      </c>
      <c r="X550" t="s">
        <v>77</v>
      </c>
      <c r="Y550" t="s">
        <v>646</v>
      </c>
      <c r="Z550" t="s">
        <v>6</v>
      </c>
      <c r="AA550" t="s">
        <v>646</v>
      </c>
      <c r="AB550" s="4">
        <f t="shared" si="40"/>
        <v>173480</v>
      </c>
      <c r="AC550" s="5" t="s">
        <v>2215</v>
      </c>
      <c r="AD550" s="4">
        <f t="shared" si="41"/>
        <v>14456.666666666666</v>
      </c>
      <c r="AE550" s="4">
        <f t="shared" si="39"/>
        <v>-2891.3333333333339</v>
      </c>
    </row>
    <row r="551" spans="1:31" x14ac:dyDescent="0.25">
      <c r="A551" t="s">
        <v>0</v>
      </c>
      <c r="B551" s="3" t="s">
        <v>2219</v>
      </c>
      <c r="C551" t="s">
        <v>1294</v>
      </c>
      <c r="D551" t="s">
        <v>160</v>
      </c>
      <c r="E551" t="s">
        <v>1338</v>
      </c>
      <c r="F551" s="1">
        <v>46060</v>
      </c>
      <c r="G551" s="1">
        <v>46063</v>
      </c>
      <c r="H551" t="s">
        <v>882</v>
      </c>
      <c r="I551" t="s">
        <v>5</v>
      </c>
      <c r="J551" t="s">
        <v>6</v>
      </c>
      <c r="K551" t="s">
        <v>4</v>
      </c>
      <c r="L551" t="s">
        <v>1339</v>
      </c>
      <c r="M551" t="s">
        <v>1339</v>
      </c>
      <c r="N551" s="2">
        <v>8672</v>
      </c>
      <c r="O551" t="s">
        <v>1295</v>
      </c>
      <c r="P551" t="s">
        <v>9</v>
      </c>
      <c r="Q551" t="s">
        <v>75</v>
      </c>
      <c r="R551" t="e">
        <f>VLOOKUP(Q551,#REF!,2,FALSE)</f>
        <v>#REF!</v>
      </c>
      <c r="S551">
        <v>1004</v>
      </c>
      <c r="T551" t="s">
        <v>2225</v>
      </c>
      <c r="U551" t="s">
        <v>1296</v>
      </c>
      <c r="V551" s="1">
        <v>46053</v>
      </c>
      <c r="W551" s="1">
        <v>46053</v>
      </c>
      <c r="X551" t="s">
        <v>77</v>
      </c>
      <c r="Y551" t="s">
        <v>646</v>
      </c>
      <c r="Z551" t="s">
        <v>6</v>
      </c>
      <c r="AA551" t="s">
        <v>646</v>
      </c>
      <c r="AB551" s="4">
        <f t="shared" si="40"/>
        <v>86720</v>
      </c>
      <c r="AC551" s="5" t="s">
        <v>2215</v>
      </c>
      <c r="AD551" s="4">
        <f t="shared" si="41"/>
        <v>7226.666666666667</v>
      </c>
      <c r="AE551" s="4">
        <f t="shared" si="39"/>
        <v>-1445.333333333333</v>
      </c>
    </row>
    <row r="552" spans="1:31" x14ac:dyDescent="0.25">
      <c r="A552" t="s">
        <v>0</v>
      </c>
      <c r="B552" s="3" t="s">
        <v>2219</v>
      </c>
      <c r="C552" t="s">
        <v>1294</v>
      </c>
      <c r="D552" t="s">
        <v>160</v>
      </c>
      <c r="E552" t="s">
        <v>1340</v>
      </c>
      <c r="F552" s="1">
        <v>46060</v>
      </c>
      <c r="G552" s="1">
        <v>46063</v>
      </c>
      <c r="H552" t="s">
        <v>882</v>
      </c>
      <c r="I552" t="s">
        <v>5</v>
      </c>
      <c r="J552" t="s">
        <v>6</v>
      </c>
      <c r="K552" t="s">
        <v>4</v>
      </c>
      <c r="L552" t="s">
        <v>1341</v>
      </c>
      <c r="M552" t="s">
        <v>1341</v>
      </c>
      <c r="N552" s="2">
        <v>24007</v>
      </c>
      <c r="O552" t="s">
        <v>1295</v>
      </c>
      <c r="P552" t="s">
        <v>9</v>
      </c>
      <c r="Q552" t="s">
        <v>75</v>
      </c>
      <c r="R552" t="e">
        <f>VLOOKUP(Q552,#REF!,2,FALSE)</f>
        <v>#REF!</v>
      </c>
      <c r="S552">
        <v>1004</v>
      </c>
      <c r="T552" t="s">
        <v>2225</v>
      </c>
      <c r="U552" t="s">
        <v>1296</v>
      </c>
      <c r="V552" s="1">
        <v>46053</v>
      </c>
      <c r="W552" s="1">
        <v>46053</v>
      </c>
      <c r="X552" t="s">
        <v>77</v>
      </c>
      <c r="Y552" t="s">
        <v>646</v>
      </c>
      <c r="Z552" t="s">
        <v>6</v>
      </c>
      <c r="AA552" t="s">
        <v>646</v>
      </c>
      <c r="AB552" s="4">
        <f t="shared" si="40"/>
        <v>240070</v>
      </c>
      <c r="AC552" s="5" t="s">
        <v>2215</v>
      </c>
      <c r="AD552" s="4">
        <f t="shared" si="41"/>
        <v>20005.833333333332</v>
      </c>
      <c r="AE552" s="4">
        <f t="shared" si="39"/>
        <v>-4001.1666666666679</v>
      </c>
    </row>
    <row r="553" spans="1:31" x14ac:dyDescent="0.25">
      <c r="A553" t="s">
        <v>0</v>
      </c>
      <c r="B553" s="3" t="s">
        <v>2219</v>
      </c>
      <c r="C553" t="s">
        <v>1294</v>
      </c>
      <c r="D553" t="s">
        <v>160</v>
      </c>
      <c r="E553" t="s">
        <v>1342</v>
      </c>
      <c r="F553" s="1">
        <v>46060</v>
      </c>
      <c r="G553" s="1">
        <v>46063</v>
      </c>
      <c r="H553" t="s">
        <v>882</v>
      </c>
      <c r="I553" t="s">
        <v>5</v>
      </c>
      <c r="J553" t="s">
        <v>6</v>
      </c>
      <c r="K553" t="s">
        <v>4</v>
      </c>
      <c r="L553" t="s">
        <v>1343</v>
      </c>
      <c r="M553" t="s">
        <v>1343</v>
      </c>
      <c r="N553" s="2">
        <v>259061</v>
      </c>
      <c r="O553" t="s">
        <v>1295</v>
      </c>
      <c r="P553" t="s">
        <v>9</v>
      </c>
      <c r="Q553" t="s">
        <v>75</v>
      </c>
      <c r="R553" t="e">
        <f>VLOOKUP(Q553,#REF!,2,FALSE)</f>
        <v>#REF!</v>
      </c>
      <c r="S553">
        <v>1004</v>
      </c>
      <c r="T553" t="s">
        <v>2225</v>
      </c>
      <c r="U553" t="s">
        <v>1296</v>
      </c>
      <c r="V553" s="1">
        <v>46053</v>
      </c>
      <c r="W553" s="1">
        <v>46053</v>
      </c>
      <c r="X553" t="s">
        <v>77</v>
      </c>
      <c r="Y553" t="s">
        <v>646</v>
      </c>
      <c r="Z553" t="s">
        <v>6</v>
      </c>
      <c r="AA553" t="s">
        <v>646</v>
      </c>
      <c r="AB553" s="4">
        <f t="shared" si="40"/>
        <v>2590610</v>
      </c>
      <c r="AC553" s="5" t="s">
        <v>2215</v>
      </c>
      <c r="AD553" s="4">
        <f t="shared" si="41"/>
        <v>215884.16666666666</v>
      </c>
      <c r="AE553" s="4">
        <f t="shared" si="39"/>
        <v>-43176.833333333343</v>
      </c>
    </row>
    <row r="554" spans="1:31" x14ac:dyDescent="0.25">
      <c r="A554" t="s">
        <v>0</v>
      </c>
      <c r="B554" s="3" t="s">
        <v>2219</v>
      </c>
      <c r="C554" t="s">
        <v>1294</v>
      </c>
      <c r="D554" t="s">
        <v>160</v>
      </c>
      <c r="E554" t="s">
        <v>1344</v>
      </c>
      <c r="F554" s="1">
        <v>46060</v>
      </c>
      <c r="G554" s="1">
        <v>46063</v>
      </c>
      <c r="H554" t="s">
        <v>882</v>
      </c>
      <c r="I554" t="s">
        <v>5</v>
      </c>
      <c r="J554" t="s">
        <v>6</v>
      </c>
      <c r="K554" t="s">
        <v>4</v>
      </c>
      <c r="L554" t="s">
        <v>1345</v>
      </c>
      <c r="M554" t="s">
        <v>1345</v>
      </c>
      <c r="N554" s="2">
        <v>140029</v>
      </c>
      <c r="O554" t="s">
        <v>1295</v>
      </c>
      <c r="P554" t="s">
        <v>9</v>
      </c>
      <c r="Q554" t="s">
        <v>75</v>
      </c>
      <c r="R554" t="e">
        <f>VLOOKUP(Q554,#REF!,2,FALSE)</f>
        <v>#REF!</v>
      </c>
      <c r="S554">
        <v>1004</v>
      </c>
      <c r="T554" t="s">
        <v>2225</v>
      </c>
      <c r="U554" t="s">
        <v>1296</v>
      </c>
      <c r="V554" s="1">
        <v>46053</v>
      </c>
      <c r="W554" s="1">
        <v>46053</v>
      </c>
      <c r="X554" t="s">
        <v>77</v>
      </c>
      <c r="Y554" t="s">
        <v>646</v>
      </c>
      <c r="Z554" t="s">
        <v>6</v>
      </c>
      <c r="AA554" t="s">
        <v>646</v>
      </c>
      <c r="AB554" s="4">
        <f t="shared" si="40"/>
        <v>1400290</v>
      </c>
      <c r="AC554" s="5" t="s">
        <v>2215</v>
      </c>
      <c r="AD554" s="4">
        <f t="shared" si="41"/>
        <v>116690.83333333333</v>
      </c>
      <c r="AE554" s="4">
        <f t="shared" si="39"/>
        <v>-23338.166666666672</v>
      </c>
    </row>
    <row r="555" spans="1:31" x14ac:dyDescent="0.25">
      <c r="A555" t="s">
        <v>0</v>
      </c>
      <c r="B555" s="3" t="s">
        <v>2219</v>
      </c>
      <c r="C555" t="s">
        <v>1294</v>
      </c>
      <c r="D555" t="s">
        <v>160</v>
      </c>
      <c r="E555" t="s">
        <v>1346</v>
      </c>
      <c r="F555" s="1">
        <v>46060</v>
      </c>
      <c r="G555" s="1">
        <v>46063</v>
      </c>
      <c r="H555" t="s">
        <v>882</v>
      </c>
      <c r="I555" t="s">
        <v>5</v>
      </c>
      <c r="J555" t="s">
        <v>6</v>
      </c>
      <c r="K555" t="s">
        <v>4</v>
      </c>
      <c r="L555" t="s">
        <v>1347</v>
      </c>
      <c r="M555" t="s">
        <v>1347</v>
      </c>
      <c r="N555" s="2">
        <v>345081</v>
      </c>
      <c r="O555" t="s">
        <v>1295</v>
      </c>
      <c r="P555" t="s">
        <v>9</v>
      </c>
      <c r="Q555" t="s">
        <v>75</v>
      </c>
      <c r="R555" t="e">
        <f>VLOOKUP(Q555,#REF!,2,FALSE)</f>
        <v>#REF!</v>
      </c>
      <c r="S555">
        <v>1004</v>
      </c>
      <c r="T555" t="s">
        <v>2225</v>
      </c>
      <c r="U555" t="s">
        <v>1296</v>
      </c>
      <c r="V555" s="1">
        <v>46053</v>
      </c>
      <c r="W555" s="1">
        <v>46053</v>
      </c>
      <c r="X555" t="s">
        <v>77</v>
      </c>
      <c r="Y555" t="s">
        <v>646</v>
      </c>
      <c r="Z555" t="s">
        <v>6</v>
      </c>
      <c r="AA555" t="s">
        <v>646</v>
      </c>
      <c r="AB555" s="4">
        <f t="shared" si="40"/>
        <v>3450810</v>
      </c>
      <c r="AC555" s="5" t="s">
        <v>2215</v>
      </c>
      <c r="AD555" s="4">
        <f t="shared" si="41"/>
        <v>287567.5</v>
      </c>
      <c r="AE555" s="4">
        <f t="shared" si="39"/>
        <v>-57513.5</v>
      </c>
    </row>
    <row r="556" spans="1:31" x14ac:dyDescent="0.25">
      <c r="A556" t="s">
        <v>0</v>
      </c>
      <c r="B556" s="3" t="s">
        <v>2219</v>
      </c>
      <c r="C556" t="s">
        <v>1294</v>
      </c>
      <c r="D556" t="s">
        <v>160</v>
      </c>
      <c r="E556" t="s">
        <v>1348</v>
      </c>
      <c r="F556" s="1">
        <v>46060</v>
      </c>
      <c r="G556" s="1">
        <v>46063</v>
      </c>
      <c r="H556" t="s">
        <v>882</v>
      </c>
      <c r="I556" t="s">
        <v>5</v>
      </c>
      <c r="J556" t="s">
        <v>6</v>
      </c>
      <c r="K556" t="s">
        <v>4</v>
      </c>
      <c r="L556" t="s">
        <v>1349</v>
      </c>
      <c r="M556" t="s">
        <v>1349</v>
      </c>
      <c r="N556" s="2">
        <v>11197</v>
      </c>
      <c r="O556" t="s">
        <v>1295</v>
      </c>
      <c r="P556" t="s">
        <v>9</v>
      </c>
      <c r="Q556" t="s">
        <v>75</v>
      </c>
      <c r="R556" t="e">
        <f>VLOOKUP(Q556,#REF!,2,FALSE)</f>
        <v>#REF!</v>
      </c>
      <c r="S556">
        <v>1004</v>
      </c>
      <c r="T556" t="s">
        <v>2225</v>
      </c>
      <c r="U556" t="s">
        <v>1296</v>
      </c>
      <c r="V556" s="1">
        <v>46053</v>
      </c>
      <c r="W556" s="1">
        <v>46053</v>
      </c>
      <c r="X556" t="s">
        <v>77</v>
      </c>
      <c r="Y556" t="s">
        <v>646</v>
      </c>
      <c r="Z556" t="s">
        <v>6</v>
      </c>
      <c r="AA556" t="s">
        <v>646</v>
      </c>
      <c r="AB556" s="4">
        <f t="shared" si="40"/>
        <v>111970</v>
      </c>
      <c r="AC556" s="5" t="s">
        <v>2215</v>
      </c>
      <c r="AD556" s="4">
        <f t="shared" si="41"/>
        <v>9330.8333333333339</v>
      </c>
      <c r="AE556" s="4">
        <f t="shared" si="39"/>
        <v>-1866.1666666666661</v>
      </c>
    </row>
    <row r="557" spans="1:31" x14ac:dyDescent="0.25">
      <c r="A557" t="s">
        <v>0</v>
      </c>
      <c r="B557" s="3" t="s">
        <v>2219</v>
      </c>
      <c r="C557" t="s">
        <v>1294</v>
      </c>
      <c r="D557" t="s">
        <v>160</v>
      </c>
      <c r="E557" t="s">
        <v>489</v>
      </c>
      <c r="F557" s="1">
        <v>46060</v>
      </c>
      <c r="G557" s="1">
        <v>46063</v>
      </c>
      <c r="H557" t="s">
        <v>882</v>
      </c>
      <c r="I557" t="s">
        <v>5</v>
      </c>
      <c r="J557" t="s">
        <v>6</v>
      </c>
      <c r="K557" t="s">
        <v>4</v>
      </c>
      <c r="L557" t="s">
        <v>1350</v>
      </c>
      <c r="M557" t="s">
        <v>1350</v>
      </c>
      <c r="N557" s="2">
        <v>16245</v>
      </c>
      <c r="O557" t="s">
        <v>1295</v>
      </c>
      <c r="P557" t="s">
        <v>9</v>
      </c>
      <c r="Q557" t="s">
        <v>75</v>
      </c>
      <c r="R557" t="e">
        <f>VLOOKUP(Q557,#REF!,2,FALSE)</f>
        <v>#REF!</v>
      </c>
      <c r="S557">
        <v>1004</v>
      </c>
      <c r="T557" t="s">
        <v>2225</v>
      </c>
      <c r="U557" t="s">
        <v>1296</v>
      </c>
      <c r="V557" s="1">
        <v>46053</v>
      </c>
      <c r="W557" s="1">
        <v>46053</v>
      </c>
      <c r="X557" t="s">
        <v>77</v>
      </c>
      <c r="Y557" t="s">
        <v>646</v>
      </c>
      <c r="Z557" t="s">
        <v>6</v>
      </c>
      <c r="AA557" t="s">
        <v>646</v>
      </c>
      <c r="AB557" s="4">
        <f t="shared" si="40"/>
        <v>162450</v>
      </c>
      <c r="AC557" s="5" t="s">
        <v>2215</v>
      </c>
      <c r="AD557" s="4">
        <f t="shared" si="41"/>
        <v>13537.5</v>
      </c>
      <c r="AE557" s="4">
        <f t="shared" si="39"/>
        <v>-2707.5</v>
      </c>
    </row>
    <row r="558" spans="1:31" x14ac:dyDescent="0.25">
      <c r="A558" t="s">
        <v>0</v>
      </c>
      <c r="B558" s="3" t="s">
        <v>2219</v>
      </c>
      <c r="C558" t="s">
        <v>1294</v>
      </c>
      <c r="D558" t="s">
        <v>160</v>
      </c>
      <c r="E558" t="s">
        <v>493</v>
      </c>
      <c r="F558" s="1">
        <v>46060</v>
      </c>
      <c r="G558" s="1">
        <v>46063</v>
      </c>
      <c r="H558" t="s">
        <v>882</v>
      </c>
      <c r="I558" t="s">
        <v>5</v>
      </c>
      <c r="J558" t="s">
        <v>6</v>
      </c>
      <c r="K558" t="s">
        <v>4</v>
      </c>
      <c r="L558" t="s">
        <v>1351</v>
      </c>
      <c r="M558" t="s">
        <v>1351</v>
      </c>
      <c r="N558" s="2">
        <v>54695</v>
      </c>
      <c r="O558" t="s">
        <v>1295</v>
      </c>
      <c r="P558" t="s">
        <v>9</v>
      </c>
      <c r="Q558" t="s">
        <v>75</v>
      </c>
      <c r="R558" t="e">
        <f>VLOOKUP(Q558,#REF!,2,FALSE)</f>
        <v>#REF!</v>
      </c>
      <c r="S558">
        <v>1004</v>
      </c>
      <c r="T558" t="s">
        <v>2225</v>
      </c>
      <c r="U558" t="s">
        <v>1296</v>
      </c>
      <c r="V558" s="1">
        <v>46053</v>
      </c>
      <c r="W558" s="1">
        <v>46053</v>
      </c>
      <c r="X558" t="s">
        <v>77</v>
      </c>
      <c r="Y558" t="s">
        <v>646</v>
      </c>
      <c r="Z558" t="s">
        <v>6</v>
      </c>
      <c r="AA558" t="s">
        <v>646</v>
      </c>
      <c r="AB558" s="4">
        <f t="shared" si="40"/>
        <v>546950</v>
      </c>
      <c r="AC558" s="5" t="s">
        <v>2215</v>
      </c>
      <c r="AD558" s="4">
        <f t="shared" si="41"/>
        <v>45579.166666666664</v>
      </c>
      <c r="AE558" s="4">
        <f t="shared" si="39"/>
        <v>-9115.8333333333358</v>
      </c>
    </row>
    <row r="559" spans="1:31" x14ac:dyDescent="0.25">
      <c r="A559" t="s">
        <v>0</v>
      </c>
      <c r="B559" s="3" t="s">
        <v>2219</v>
      </c>
      <c r="C559" t="s">
        <v>1294</v>
      </c>
      <c r="D559" t="s">
        <v>160</v>
      </c>
      <c r="E559" t="s">
        <v>494</v>
      </c>
      <c r="F559" s="1">
        <v>46060</v>
      </c>
      <c r="G559" s="1">
        <v>46063</v>
      </c>
      <c r="H559" t="s">
        <v>882</v>
      </c>
      <c r="I559" t="s">
        <v>5</v>
      </c>
      <c r="J559" t="s">
        <v>6</v>
      </c>
      <c r="K559" t="s">
        <v>4</v>
      </c>
      <c r="L559" t="s">
        <v>1352</v>
      </c>
      <c r="M559" t="s">
        <v>1352</v>
      </c>
      <c r="N559" s="2">
        <v>49818</v>
      </c>
      <c r="O559" t="s">
        <v>1295</v>
      </c>
      <c r="P559" t="s">
        <v>9</v>
      </c>
      <c r="Q559" t="s">
        <v>75</v>
      </c>
      <c r="R559" t="e">
        <f>VLOOKUP(Q559,#REF!,2,FALSE)</f>
        <v>#REF!</v>
      </c>
      <c r="S559">
        <v>1004</v>
      </c>
      <c r="T559" t="s">
        <v>2225</v>
      </c>
      <c r="U559" t="s">
        <v>1296</v>
      </c>
      <c r="V559" s="1">
        <v>46053</v>
      </c>
      <c r="W559" s="1">
        <v>46053</v>
      </c>
      <c r="X559" t="s">
        <v>77</v>
      </c>
      <c r="Y559" t="s">
        <v>646</v>
      </c>
      <c r="Z559" t="s">
        <v>6</v>
      </c>
      <c r="AA559" t="s">
        <v>646</v>
      </c>
      <c r="AB559" s="4">
        <f t="shared" si="40"/>
        <v>498180</v>
      </c>
      <c r="AC559" s="5" t="s">
        <v>2215</v>
      </c>
      <c r="AD559" s="4">
        <f t="shared" si="41"/>
        <v>41515</v>
      </c>
      <c r="AE559" s="4">
        <f t="shared" si="39"/>
        <v>-8303</v>
      </c>
    </row>
    <row r="560" spans="1:31" x14ac:dyDescent="0.25">
      <c r="A560" t="s">
        <v>0</v>
      </c>
      <c r="B560" s="3" t="s">
        <v>2219</v>
      </c>
      <c r="C560" t="s">
        <v>1294</v>
      </c>
      <c r="D560" t="s">
        <v>160</v>
      </c>
      <c r="E560" t="s">
        <v>1353</v>
      </c>
      <c r="F560" s="1">
        <v>46060</v>
      </c>
      <c r="G560" s="1">
        <v>46063</v>
      </c>
      <c r="H560" t="s">
        <v>882</v>
      </c>
      <c r="I560" t="s">
        <v>5</v>
      </c>
      <c r="J560" t="s">
        <v>6</v>
      </c>
      <c r="K560" t="s">
        <v>4</v>
      </c>
      <c r="L560" t="s">
        <v>1354</v>
      </c>
      <c r="M560" t="s">
        <v>1354</v>
      </c>
      <c r="N560" s="2">
        <v>9751</v>
      </c>
      <c r="O560" t="s">
        <v>1295</v>
      </c>
      <c r="P560" t="s">
        <v>9</v>
      </c>
      <c r="Q560" t="s">
        <v>75</v>
      </c>
      <c r="R560" t="e">
        <f>VLOOKUP(Q560,#REF!,2,FALSE)</f>
        <v>#REF!</v>
      </c>
      <c r="S560">
        <v>1004</v>
      </c>
      <c r="T560" t="s">
        <v>2225</v>
      </c>
      <c r="U560" t="s">
        <v>1296</v>
      </c>
      <c r="V560" s="1">
        <v>46053</v>
      </c>
      <c r="W560" s="1">
        <v>46053</v>
      </c>
      <c r="X560" t="s">
        <v>77</v>
      </c>
      <c r="Y560" t="s">
        <v>646</v>
      </c>
      <c r="Z560" t="s">
        <v>6</v>
      </c>
      <c r="AA560" t="s">
        <v>646</v>
      </c>
      <c r="AB560" s="4">
        <f t="shared" si="40"/>
        <v>97510</v>
      </c>
      <c r="AC560" s="5" t="s">
        <v>2215</v>
      </c>
      <c r="AD560" s="4">
        <f t="shared" si="41"/>
        <v>8125.833333333333</v>
      </c>
      <c r="AE560" s="4">
        <f t="shared" si="39"/>
        <v>-1625.166666666667</v>
      </c>
    </row>
    <row r="561" spans="1:31" x14ac:dyDescent="0.25">
      <c r="A561" t="s">
        <v>0</v>
      </c>
      <c r="B561" s="3" t="s">
        <v>2219</v>
      </c>
      <c r="C561" t="s">
        <v>1294</v>
      </c>
      <c r="D561" t="s">
        <v>160</v>
      </c>
      <c r="E561" t="s">
        <v>1355</v>
      </c>
      <c r="F561" s="1">
        <v>46060</v>
      </c>
      <c r="G561" s="1">
        <v>46063</v>
      </c>
      <c r="H561" t="s">
        <v>882</v>
      </c>
      <c r="I561" t="s">
        <v>5</v>
      </c>
      <c r="J561" t="s">
        <v>6</v>
      </c>
      <c r="K561" t="s">
        <v>4</v>
      </c>
      <c r="L561" t="s">
        <v>1356</v>
      </c>
      <c r="M561" t="s">
        <v>1356</v>
      </c>
      <c r="N561" s="2">
        <v>77173</v>
      </c>
      <c r="O561" t="s">
        <v>1295</v>
      </c>
      <c r="P561" t="s">
        <v>9</v>
      </c>
      <c r="Q561" t="s">
        <v>75</v>
      </c>
      <c r="R561" t="e">
        <f>VLOOKUP(Q561,#REF!,2,FALSE)</f>
        <v>#REF!</v>
      </c>
      <c r="S561">
        <v>1004</v>
      </c>
      <c r="T561" t="s">
        <v>2225</v>
      </c>
      <c r="U561" t="s">
        <v>1296</v>
      </c>
      <c r="V561" s="1">
        <v>46053</v>
      </c>
      <c r="W561" s="1">
        <v>46053</v>
      </c>
      <c r="X561" t="s">
        <v>77</v>
      </c>
      <c r="Y561" t="s">
        <v>646</v>
      </c>
      <c r="Z561" t="s">
        <v>6</v>
      </c>
      <c r="AA561" t="s">
        <v>646</v>
      </c>
      <c r="AB561" s="4">
        <f t="shared" si="40"/>
        <v>771730</v>
      </c>
      <c r="AC561" s="5" t="s">
        <v>2215</v>
      </c>
      <c r="AD561" s="4">
        <f t="shared" si="41"/>
        <v>64310.833333333336</v>
      </c>
      <c r="AE561" s="4">
        <f t="shared" si="39"/>
        <v>-12862.166666666664</v>
      </c>
    </row>
    <row r="562" spans="1:31" x14ac:dyDescent="0.25">
      <c r="A562" t="s">
        <v>0</v>
      </c>
      <c r="B562" s="3" t="s">
        <v>2219</v>
      </c>
      <c r="C562" t="s">
        <v>1294</v>
      </c>
      <c r="D562" t="s">
        <v>160</v>
      </c>
      <c r="E562" t="s">
        <v>1357</v>
      </c>
      <c r="F562" s="1">
        <v>46060</v>
      </c>
      <c r="G562" s="1">
        <v>46063</v>
      </c>
      <c r="H562" t="s">
        <v>882</v>
      </c>
      <c r="I562" t="s">
        <v>5</v>
      </c>
      <c r="J562" t="s">
        <v>6</v>
      </c>
      <c r="K562" t="s">
        <v>4</v>
      </c>
      <c r="L562" t="s">
        <v>1358</v>
      </c>
      <c r="M562" t="s">
        <v>1358</v>
      </c>
      <c r="N562" s="2">
        <v>14801</v>
      </c>
      <c r="O562" t="s">
        <v>1295</v>
      </c>
      <c r="P562" t="s">
        <v>9</v>
      </c>
      <c r="Q562" t="s">
        <v>75</v>
      </c>
      <c r="R562" t="e">
        <f>VLOOKUP(Q562,#REF!,2,FALSE)</f>
        <v>#REF!</v>
      </c>
      <c r="S562">
        <v>1004</v>
      </c>
      <c r="T562" t="s">
        <v>2225</v>
      </c>
      <c r="U562" t="s">
        <v>1296</v>
      </c>
      <c r="V562" s="1">
        <v>46053</v>
      </c>
      <c r="W562" s="1">
        <v>46053</v>
      </c>
      <c r="X562" t="s">
        <v>77</v>
      </c>
      <c r="Y562" t="s">
        <v>646</v>
      </c>
      <c r="Z562" t="s">
        <v>6</v>
      </c>
      <c r="AA562" t="s">
        <v>646</v>
      </c>
      <c r="AB562" s="4">
        <f t="shared" si="40"/>
        <v>148010</v>
      </c>
      <c r="AC562" s="5" t="s">
        <v>2215</v>
      </c>
      <c r="AD562" s="4">
        <f t="shared" si="41"/>
        <v>12334.166666666666</v>
      </c>
      <c r="AE562" s="4">
        <f t="shared" si="39"/>
        <v>-2466.8333333333339</v>
      </c>
    </row>
    <row r="563" spans="1:31" x14ac:dyDescent="0.25">
      <c r="A563" t="s">
        <v>0</v>
      </c>
      <c r="B563" s="3" t="s">
        <v>2219</v>
      </c>
      <c r="C563" t="s">
        <v>1294</v>
      </c>
      <c r="D563" t="s">
        <v>160</v>
      </c>
      <c r="E563" t="s">
        <v>1359</v>
      </c>
      <c r="F563" s="1">
        <v>46060</v>
      </c>
      <c r="G563" s="1">
        <v>46063</v>
      </c>
      <c r="H563" t="s">
        <v>901</v>
      </c>
      <c r="I563" t="s">
        <v>5</v>
      </c>
      <c r="J563" t="s">
        <v>6</v>
      </c>
      <c r="K563" t="s">
        <v>4</v>
      </c>
      <c r="L563" t="s">
        <v>1360</v>
      </c>
      <c r="M563" t="s">
        <v>1360</v>
      </c>
      <c r="N563" s="2">
        <v>9071</v>
      </c>
      <c r="O563" t="s">
        <v>1295</v>
      </c>
      <c r="P563" t="s">
        <v>9</v>
      </c>
      <c r="Q563" t="s">
        <v>82</v>
      </c>
      <c r="R563" t="e">
        <f>VLOOKUP(Q563,#REF!,2,FALSE)</f>
        <v>#REF!</v>
      </c>
      <c r="S563">
        <v>1004</v>
      </c>
      <c r="T563" t="s">
        <v>2225</v>
      </c>
      <c r="U563" t="s">
        <v>1296</v>
      </c>
      <c r="V563" s="1">
        <v>46053</v>
      </c>
      <c r="W563" s="1">
        <v>46053</v>
      </c>
      <c r="X563" t="s">
        <v>77</v>
      </c>
      <c r="Y563" t="s">
        <v>646</v>
      </c>
      <c r="Z563" t="s">
        <v>6</v>
      </c>
      <c r="AA563" t="s">
        <v>646</v>
      </c>
      <c r="AB563" s="4">
        <f>L563/0.08</f>
        <v>113387.5</v>
      </c>
      <c r="AC563" s="6">
        <v>0.1</v>
      </c>
      <c r="AD563" s="4">
        <f>AB563*AC563</f>
        <v>11338.75</v>
      </c>
      <c r="AE563" s="4">
        <f t="shared" si="39"/>
        <v>2267.75</v>
      </c>
    </row>
    <row r="564" spans="1:31" x14ac:dyDescent="0.25">
      <c r="A564" t="s">
        <v>0</v>
      </c>
      <c r="B564" s="3" t="s">
        <v>2219</v>
      </c>
      <c r="C564" t="s">
        <v>1294</v>
      </c>
      <c r="D564" t="s">
        <v>160</v>
      </c>
      <c r="E564" t="s">
        <v>1361</v>
      </c>
      <c r="F564" s="1">
        <v>46060</v>
      </c>
      <c r="G564" s="1">
        <v>46063</v>
      </c>
      <c r="H564" t="s">
        <v>904</v>
      </c>
      <c r="I564" t="s">
        <v>5</v>
      </c>
      <c r="J564" t="s">
        <v>6</v>
      </c>
      <c r="K564" t="s">
        <v>4</v>
      </c>
      <c r="L564" t="s">
        <v>1362</v>
      </c>
      <c r="M564" t="s">
        <v>1362</v>
      </c>
      <c r="N564" s="2">
        <v>3991</v>
      </c>
      <c r="O564" t="s">
        <v>1295</v>
      </c>
      <c r="P564" t="s">
        <v>9</v>
      </c>
      <c r="Q564" t="s">
        <v>86</v>
      </c>
      <c r="R564" t="e">
        <f>VLOOKUP(Q564,#REF!,2,FALSE)</f>
        <v>#REF!</v>
      </c>
      <c r="S564">
        <v>1004</v>
      </c>
      <c r="T564" t="s">
        <v>2225</v>
      </c>
      <c r="U564" t="s">
        <v>1296</v>
      </c>
      <c r="V564" s="1">
        <v>46053</v>
      </c>
      <c r="W564" s="1">
        <v>46053</v>
      </c>
      <c r="X564" t="s">
        <v>77</v>
      </c>
      <c r="Y564" t="s">
        <v>646</v>
      </c>
      <c r="Z564" t="s">
        <v>6</v>
      </c>
      <c r="AA564" t="s">
        <v>646</v>
      </c>
      <c r="AB564" s="4">
        <f t="shared" ref="AB564:AB575" si="42">L564/0.03</f>
        <v>133033.33333333334</v>
      </c>
      <c r="AC564" s="6">
        <v>0.04</v>
      </c>
      <c r="AD564" s="4">
        <f t="shared" ref="AD564:AD575" si="43">AB564*AC564</f>
        <v>5321.3333333333339</v>
      </c>
      <c r="AE564" s="4">
        <f t="shared" si="39"/>
        <v>1330.3333333333339</v>
      </c>
    </row>
    <row r="565" spans="1:31" x14ac:dyDescent="0.25">
      <c r="A565" t="s">
        <v>0</v>
      </c>
      <c r="B565" s="3" t="s">
        <v>2219</v>
      </c>
      <c r="C565" t="s">
        <v>1294</v>
      </c>
      <c r="D565" t="s">
        <v>160</v>
      </c>
      <c r="E565" t="s">
        <v>1363</v>
      </c>
      <c r="F565" s="1">
        <v>46060</v>
      </c>
      <c r="G565" s="1">
        <v>46063</v>
      </c>
      <c r="H565" t="s">
        <v>904</v>
      </c>
      <c r="I565" t="s">
        <v>5</v>
      </c>
      <c r="J565" t="s">
        <v>6</v>
      </c>
      <c r="K565" t="s">
        <v>4</v>
      </c>
      <c r="L565" t="s">
        <v>1364</v>
      </c>
      <c r="M565" t="s">
        <v>1364</v>
      </c>
      <c r="N565" s="2">
        <v>475</v>
      </c>
      <c r="O565" t="s">
        <v>1295</v>
      </c>
      <c r="P565" t="s">
        <v>9</v>
      </c>
      <c r="Q565" t="s">
        <v>86</v>
      </c>
      <c r="R565" t="e">
        <f>VLOOKUP(Q565,#REF!,2,FALSE)</f>
        <v>#REF!</v>
      </c>
      <c r="S565">
        <v>1004</v>
      </c>
      <c r="T565" t="s">
        <v>2225</v>
      </c>
      <c r="U565" t="s">
        <v>1296</v>
      </c>
      <c r="V565" s="1">
        <v>46053</v>
      </c>
      <c r="W565" s="1">
        <v>46053</v>
      </c>
      <c r="X565" t="s">
        <v>77</v>
      </c>
      <c r="Y565" t="s">
        <v>646</v>
      </c>
      <c r="Z565" t="s">
        <v>6</v>
      </c>
      <c r="AA565" t="s">
        <v>646</v>
      </c>
      <c r="AB565" s="4">
        <f t="shared" si="42"/>
        <v>15833.333333333334</v>
      </c>
      <c r="AC565" s="6">
        <v>0.04</v>
      </c>
      <c r="AD565" s="4">
        <f t="shared" si="43"/>
        <v>633.33333333333337</v>
      </c>
      <c r="AE565" s="4">
        <f t="shared" si="39"/>
        <v>158.33333333333337</v>
      </c>
    </row>
    <row r="566" spans="1:31" x14ac:dyDescent="0.25">
      <c r="A566" t="s">
        <v>0</v>
      </c>
      <c r="B566" s="3" t="s">
        <v>2219</v>
      </c>
      <c r="C566" t="s">
        <v>1294</v>
      </c>
      <c r="D566" t="s">
        <v>160</v>
      </c>
      <c r="E566" t="s">
        <v>1365</v>
      </c>
      <c r="F566" s="1">
        <v>46060</v>
      </c>
      <c r="G566" s="1">
        <v>46063</v>
      </c>
      <c r="H566" t="s">
        <v>904</v>
      </c>
      <c r="I566" t="s">
        <v>5</v>
      </c>
      <c r="J566" t="s">
        <v>6</v>
      </c>
      <c r="K566" t="s">
        <v>4</v>
      </c>
      <c r="L566" t="s">
        <v>1366</v>
      </c>
      <c r="M566" t="s">
        <v>1366</v>
      </c>
      <c r="N566" s="2">
        <v>1111</v>
      </c>
      <c r="O566" t="s">
        <v>1295</v>
      </c>
      <c r="P566" t="s">
        <v>9</v>
      </c>
      <c r="Q566" t="s">
        <v>86</v>
      </c>
      <c r="R566" t="e">
        <f>VLOOKUP(Q566,#REF!,2,FALSE)</f>
        <v>#REF!</v>
      </c>
      <c r="S566">
        <v>1004</v>
      </c>
      <c r="T566" t="s">
        <v>2225</v>
      </c>
      <c r="U566" t="s">
        <v>1296</v>
      </c>
      <c r="V566" s="1">
        <v>46053</v>
      </c>
      <c r="W566" s="1">
        <v>46053</v>
      </c>
      <c r="X566" t="s">
        <v>77</v>
      </c>
      <c r="Y566" t="s">
        <v>646</v>
      </c>
      <c r="Z566" t="s">
        <v>6</v>
      </c>
      <c r="AA566" t="s">
        <v>646</v>
      </c>
      <c r="AB566" s="4">
        <f t="shared" si="42"/>
        <v>37033.333333333336</v>
      </c>
      <c r="AC566" s="6">
        <v>0.04</v>
      </c>
      <c r="AD566" s="4">
        <f t="shared" si="43"/>
        <v>1481.3333333333335</v>
      </c>
      <c r="AE566" s="4">
        <f t="shared" si="39"/>
        <v>370.33333333333348</v>
      </c>
    </row>
    <row r="567" spans="1:31" x14ac:dyDescent="0.25">
      <c r="A567" t="s">
        <v>0</v>
      </c>
      <c r="B567" s="3" t="s">
        <v>2219</v>
      </c>
      <c r="C567" t="s">
        <v>1294</v>
      </c>
      <c r="D567" t="s">
        <v>160</v>
      </c>
      <c r="E567" t="s">
        <v>1367</v>
      </c>
      <c r="F567" s="1">
        <v>46060</v>
      </c>
      <c r="G567" s="1">
        <v>46063</v>
      </c>
      <c r="H567" t="s">
        <v>904</v>
      </c>
      <c r="I567" t="s">
        <v>5</v>
      </c>
      <c r="J567" t="s">
        <v>6</v>
      </c>
      <c r="K567" t="s">
        <v>4</v>
      </c>
      <c r="L567" t="s">
        <v>1368</v>
      </c>
      <c r="M567" t="s">
        <v>1368</v>
      </c>
      <c r="N567" s="2">
        <v>266</v>
      </c>
      <c r="O567" t="s">
        <v>1295</v>
      </c>
      <c r="P567" t="s">
        <v>9</v>
      </c>
      <c r="Q567" t="s">
        <v>86</v>
      </c>
      <c r="R567" t="e">
        <f>VLOOKUP(Q567,#REF!,2,FALSE)</f>
        <v>#REF!</v>
      </c>
      <c r="S567">
        <v>1004</v>
      </c>
      <c r="T567" t="s">
        <v>2225</v>
      </c>
      <c r="U567" t="s">
        <v>1296</v>
      </c>
      <c r="V567" s="1">
        <v>46053</v>
      </c>
      <c r="W567" s="1">
        <v>46053</v>
      </c>
      <c r="X567" t="s">
        <v>77</v>
      </c>
      <c r="Y567" t="s">
        <v>646</v>
      </c>
      <c r="Z567" t="s">
        <v>6</v>
      </c>
      <c r="AA567" t="s">
        <v>646</v>
      </c>
      <c r="AB567" s="4">
        <f t="shared" si="42"/>
        <v>8866.6666666666679</v>
      </c>
      <c r="AC567" s="6">
        <v>0.04</v>
      </c>
      <c r="AD567" s="4">
        <f t="shared" si="43"/>
        <v>354.66666666666674</v>
      </c>
      <c r="AE567" s="4">
        <f t="shared" si="39"/>
        <v>88.666666666666742</v>
      </c>
    </row>
    <row r="568" spans="1:31" x14ac:dyDescent="0.25">
      <c r="A568" t="s">
        <v>0</v>
      </c>
      <c r="B568" s="3" t="s">
        <v>2219</v>
      </c>
      <c r="C568" t="s">
        <v>1294</v>
      </c>
      <c r="D568" t="s">
        <v>160</v>
      </c>
      <c r="E568" t="s">
        <v>1369</v>
      </c>
      <c r="F568" s="1">
        <v>46060</v>
      </c>
      <c r="G568" s="1">
        <v>46063</v>
      </c>
      <c r="H568" t="s">
        <v>904</v>
      </c>
      <c r="I568" t="s">
        <v>5</v>
      </c>
      <c r="J568" t="s">
        <v>6</v>
      </c>
      <c r="K568" t="s">
        <v>4</v>
      </c>
      <c r="L568" t="s">
        <v>1370</v>
      </c>
      <c r="M568" t="s">
        <v>1370</v>
      </c>
      <c r="N568" s="2">
        <v>1008</v>
      </c>
      <c r="O568" t="s">
        <v>1295</v>
      </c>
      <c r="P568" t="s">
        <v>9</v>
      </c>
      <c r="Q568" t="s">
        <v>86</v>
      </c>
      <c r="R568" t="e">
        <f>VLOOKUP(Q568,#REF!,2,FALSE)</f>
        <v>#REF!</v>
      </c>
      <c r="S568">
        <v>1004</v>
      </c>
      <c r="T568" t="s">
        <v>2225</v>
      </c>
      <c r="U568" t="s">
        <v>1296</v>
      </c>
      <c r="V568" s="1">
        <v>46053</v>
      </c>
      <c r="W568" s="1">
        <v>46053</v>
      </c>
      <c r="X568" t="s">
        <v>77</v>
      </c>
      <c r="Y568" t="s">
        <v>646</v>
      </c>
      <c r="Z568" t="s">
        <v>6</v>
      </c>
      <c r="AA568" t="s">
        <v>646</v>
      </c>
      <c r="AB568" s="4">
        <f t="shared" si="42"/>
        <v>33600</v>
      </c>
      <c r="AC568" s="6">
        <v>0.04</v>
      </c>
      <c r="AD568" s="4">
        <f t="shared" si="43"/>
        <v>1344</v>
      </c>
      <c r="AE568" s="4">
        <f t="shared" si="39"/>
        <v>336</v>
      </c>
    </row>
    <row r="569" spans="1:31" x14ac:dyDescent="0.25">
      <c r="A569" t="s">
        <v>0</v>
      </c>
      <c r="B569" s="3" t="s">
        <v>2219</v>
      </c>
      <c r="C569" t="s">
        <v>1294</v>
      </c>
      <c r="D569" t="s">
        <v>160</v>
      </c>
      <c r="E569" t="s">
        <v>1371</v>
      </c>
      <c r="F569" s="1">
        <v>46060</v>
      </c>
      <c r="G569" s="1">
        <v>46063</v>
      </c>
      <c r="H569" t="s">
        <v>904</v>
      </c>
      <c r="I569" t="s">
        <v>5</v>
      </c>
      <c r="J569" t="s">
        <v>6</v>
      </c>
      <c r="K569" t="s">
        <v>4</v>
      </c>
      <c r="L569" t="s">
        <v>1372</v>
      </c>
      <c r="M569" t="s">
        <v>1372</v>
      </c>
      <c r="N569" s="2">
        <v>1623</v>
      </c>
      <c r="O569" t="s">
        <v>1295</v>
      </c>
      <c r="P569" t="s">
        <v>9</v>
      </c>
      <c r="Q569" t="s">
        <v>86</v>
      </c>
      <c r="R569" t="e">
        <f>VLOOKUP(Q569,#REF!,2,FALSE)</f>
        <v>#REF!</v>
      </c>
      <c r="S569">
        <v>1004</v>
      </c>
      <c r="T569" t="s">
        <v>2225</v>
      </c>
      <c r="U569" t="s">
        <v>1296</v>
      </c>
      <c r="V569" s="1">
        <v>46053</v>
      </c>
      <c r="W569" s="1">
        <v>46053</v>
      </c>
      <c r="X569" t="s">
        <v>77</v>
      </c>
      <c r="Y569" t="s">
        <v>646</v>
      </c>
      <c r="Z569" t="s">
        <v>6</v>
      </c>
      <c r="AA569" t="s">
        <v>646</v>
      </c>
      <c r="AB569" s="4">
        <f t="shared" si="42"/>
        <v>54100</v>
      </c>
      <c r="AC569" s="6">
        <v>0.04</v>
      </c>
      <c r="AD569" s="4">
        <f t="shared" si="43"/>
        <v>2164</v>
      </c>
      <c r="AE569" s="4">
        <f t="shared" si="39"/>
        <v>541</v>
      </c>
    </row>
    <row r="570" spans="1:31" x14ac:dyDescent="0.25">
      <c r="A570" t="s">
        <v>0</v>
      </c>
      <c r="B570" s="3" t="s">
        <v>2219</v>
      </c>
      <c r="C570" t="s">
        <v>1294</v>
      </c>
      <c r="D570" t="s">
        <v>160</v>
      </c>
      <c r="E570" t="s">
        <v>1373</v>
      </c>
      <c r="F570" s="1">
        <v>46060</v>
      </c>
      <c r="G570" s="1">
        <v>46063</v>
      </c>
      <c r="H570" t="s">
        <v>904</v>
      </c>
      <c r="I570" t="s">
        <v>5</v>
      </c>
      <c r="J570" t="s">
        <v>6</v>
      </c>
      <c r="K570" t="s">
        <v>4</v>
      </c>
      <c r="L570" t="s">
        <v>1374</v>
      </c>
      <c r="M570" t="s">
        <v>1374</v>
      </c>
      <c r="N570" s="2">
        <v>900</v>
      </c>
      <c r="O570" t="s">
        <v>1295</v>
      </c>
      <c r="P570" t="s">
        <v>9</v>
      </c>
      <c r="Q570" t="s">
        <v>86</v>
      </c>
      <c r="R570" t="e">
        <f>VLOOKUP(Q570,#REF!,2,FALSE)</f>
        <v>#REF!</v>
      </c>
      <c r="S570">
        <v>1004</v>
      </c>
      <c r="T570" t="s">
        <v>2225</v>
      </c>
      <c r="U570" t="s">
        <v>1296</v>
      </c>
      <c r="V570" s="1">
        <v>46053</v>
      </c>
      <c r="W570" s="1">
        <v>46053</v>
      </c>
      <c r="X570" t="s">
        <v>77</v>
      </c>
      <c r="Y570" t="s">
        <v>646</v>
      </c>
      <c r="Z570" t="s">
        <v>6</v>
      </c>
      <c r="AA570" t="s">
        <v>646</v>
      </c>
      <c r="AB570" s="4">
        <f t="shared" si="42"/>
        <v>30000</v>
      </c>
      <c r="AC570" s="6">
        <v>0.04</v>
      </c>
      <c r="AD570" s="4">
        <f t="shared" si="43"/>
        <v>1200</v>
      </c>
      <c r="AE570" s="4">
        <f t="shared" si="39"/>
        <v>300</v>
      </c>
    </row>
    <row r="571" spans="1:31" x14ac:dyDescent="0.25">
      <c r="A571" t="s">
        <v>0</v>
      </c>
      <c r="B571" s="3" t="s">
        <v>2219</v>
      </c>
      <c r="C571" t="s">
        <v>1294</v>
      </c>
      <c r="D571" t="s">
        <v>160</v>
      </c>
      <c r="E571" t="s">
        <v>1375</v>
      </c>
      <c r="F571" s="1">
        <v>46060</v>
      </c>
      <c r="G571" s="1">
        <v>46063</v>
      </c>
      <c r="H571" t="s">
        <v>904</v>
      </c>
      <c r="I571" t="s">
        <v>5</v>
      </c>
      <c r="J571" t="s">
        <v>6</v>
      </c>
      <c r="K571" t="s">
        <v>4</v>
      </c>
      <c r="L571" t="s">
        <v>1376</v>
      </c>
      <c r="M571" t="s">
        <v>1376</v>
      </c>
      <c r="N571" s="2">
        <v>774</v>
      </c>
      <c r="O571" t="s">
        <v>1295</v>
      </c>
      <c r="P571" t="s">
        <v>9</v>
      </c>
      <c r="Q571" t="s">
        <v>86</v>
      </c>
      <c r="R571" t="e">
        <f>VLOOKUP(Q571,#REF!,2,FALSE)</f>
        <v>#REF!</v>
      </c>
      <c r="S571">
        <v>1004</v>
      </c>
      <c r="T571" t="s">
        <v>2225</v>
      </c>
      <c r="U571" t="s">
        <v>1296</v>
      </c>
      <c r="V571" s="1">
        <v>46053</v>
      </c>
      <c r="W571" s="1">
        <v>46053</v>
      </c>
      <c r="X571" t="s">
        <v>77</v>
      </c>
      <c r="Y571" t="s">
        <v>646</v>
      </c>
      <c r="Z571" t="s">
        <v>6</v>
      </c>
      <c r="AA571" t="s">
        <v>646</v>
      </c>
      <c r="AB571" s="4">
        <f t="shared" si="42"/>
        <v>25800</v>
      </c>
      <c r="AC571" s="6">
        <v>0.04</v>
      </c>
      <c r="AD571" s="4">
        <f t="shared" si="43"/>
        <v>1032</v>
      </c>
      <c r="AE571" s="4">
        <f t="shared" si="39"/>
        <v>258</v>
      </c>
    </row>
    <row r="572" spans="1:31" x14ac:dyDescent="0.25">
      <c r="A572" t="s">
        <v>0</v>
      </c>
      <c r="B572" s="3" t="s">
        <v>2219</v>
      </c>
      <c r="C572" t="s">
        <v>1294</v>
      </c>
      <c r="D572" t="s">
        <v>160</v>
      </c>
      <c r="E572" t="s">
        <v>1377</v>
      </c>
      <c r="F572" s="1">
        <v>46060</v>
      </c>
      <c r="G572" s="1">
        <v>46063</v>
      </c>
      <c r="H572" t="s">
        <v>904</v>
      </c>
      <c r="I572" t="s">
        <v>5</v>
      </c>
      <c r="J572" t="s">
        <v>6</v>
      </c>
      <c r="K572" t="s">
        <v>4</v>
      </c>
      <c r="L572" t="s">
        <v>1378</v>
      </c>
      <c r="M572" t="s">
        <v>1378</v>
      </c>
      <c r="N572" s="2">
        <v>1809</v>
      </c>
      <c r="O572" t="s">
        <v>1295</v>
      </c>
      <c r="P572" t="s">
        <v>9</v>
      </c>
      <c r="Q572" t="s">
        <v>86</v>
      </c>
      <c r="R572" t="e">
        <f>VLOOKUP(Q572,#REF!,2,FALSE)</f>
        <v>#REF!</v>
      </c>
      <c r="S572">
        <v>1004</v>
      </c>
      <c r="T572" t="s">
        <v>2225</v>
      </c>
      <c r="U572" t="s">
        <v>1296</v>
      </c>
      <c r="V572" s="1">
        <v>46053</v>
      </c>
      <c r="W572" s="1">
        <v>46053</v>
      </c>
      <c r="X572" t="s">
        <v>77</v>
      </c>
      <c r="Y572" t="s">
        <v>646</v>
      </c>
      <c r="Z572" t="s">
        <v>6</v>
      </c>
      <c r="AA572" t="s">
        <v>646</v>
      </c>
      <c r="AB572" s="4">
        <f t="shared" si="42"/>
        <v>60300</v>
      </c>
      <c r="AC572" s="6">
        <v>0.04</v>
      </c>
      <c r="AD572" s="4">
        <f t="shared" si="43"/>
        <v>2412</v>
      </c>
      <c r="AE572" s="4">
        <f t="shared" si="39"/>
        <v>603</v>
      </c>
    </row>
    <row r="573" spans="1:31" x14ac:dyDescent="0.25">
      <c r="A573" t="s">
        <v>0</v>
      </c>
      <c r="B573" s="3" t="s">
        <v>2219</v>
      </c>
      <c r="C573" t="s">
        <v>1294</v>
      </c>
      <c r="D573" t="s">
        <v>160</v>
      </c>
      <c r="E573" t="s">
        <v>1379</v>
      </c>
      <c r="F573" s="1">
        <v>46060</v>
      </c>
      <c r="G573" s="1">
        <v>46063</v>
      </c>
      <c r="H573" t="s">
        <v>904</v>
      </c>
      <c r="I573" t="s">
        <v>5</v>
      </c>
      <c r="J573" t="s">
        <v>6</v>
      </c>
      <c r="K573" t="s">
        <v>4</v>
      </c>
      <c r="L573" t="s">
        <v>1380</v>
      </c>
      <c r="M573" t="s">
        <v>1380</v>
      </c>
      <c r="N573" s="2">
        <v>1288</v>
      </c>
      <c r="O573" t="s">
        <v>1295</v>
      </c>
      <c r="P573" t="s">
        <v>9</v>
      </c>
      <c r="Q573" t="s">
        <v>86</v>
      </c>
      <c r="R573" t="e">
        <f>VLOOKUP(Q573,#REF!,2,FALSE)</f>
        <v>#REF!</v>
      </c>
      <c r="S573">
        <v>1004</v>
      </c>
      <c r="T573" t="s">
        <v>2225</v>
      </c>
      <c r="U573" t="s">
        <v>1296</v>
      </c>
      <c r="V573" s="1">
        <v>46053</v>
      </c>
      <c r="W573" s="1">
        <v>46053</v>
      </c>
      <c r="X573" t="s">
        <v>77</v>
      </c>
      <c r="Y573" t="s">
        <v>646</v>
      </c>
      <c r="Z573" t="s">
        <v>6</v>
      </c>
      <c r="AA573" t="s">
        <v>646</v>
      </c>
      <c r="AB573" s="4">
        <f t="shared" si="42"/>
        <v>42933.333333333336</v>
      </c>
      <c r="AC573" s="6">
        <v>0.04</v>
      </c>
      <c r="AD573" s="4">
        <f t="shared" si="43"/>
        <v>1717.3333333333335</v>
      </c>
      <c r="AE573" s="4">
        <f t="shared" si="39"/>
        <v>429.33333333333348</v>
      </c>
    </row>
    <row r="574" spans="1:31" x14ac:dyDescent="0.25">
      <c r="A574" t="s">
        <v>0</v>
      </c>
      <c r="B574" s="3" t="s">
        <v>2219</v>
      </c>
      <c r="C574" t="s">
        <v>1294</v>
      </c>
      <c r="D574" t="s">
        <v>160</v>
      </c>
      <c r="E574" t="s">
        <v>1381</v>
      </c>
      <c r="F574" s="1">
        <v>46060</v>
      </c>
      <c r="G574" s="1">
        <v>46063</v>
      </c>
      <c r="H574" t="s">
        <v>904</v>
      </c>
      <c r="I574" t="s">
        <v>5</v>
      </c>
      <c r="J574" t="s">
        <v>6</v>
      </c>
      <c r="K574" t="s">
        <v>4</v>
      </c>
      <c r="L574" t="s">
        <v>1224</v>
      </c>
      <c r="M574" t="s">
        <v>1224</v>
      </c>
      <c r="N574" s="2">
        <v>963</v>
      </c>
      <c r="O574" t="s">
        <v>1295</v>
      </c>
      <c r="P574" t="s">
        <v>9</v>
      </c>
      <c r="Q574" t="s">
        <v>86</v>
      </c>
      <c r="R574" t="e">
        <f>VLOOKUP(Q574,#REF!,2,FALSE)</f>
        <v>#REF!</v>
      </c>
      <c r="S574">
        <v>1004</v>
      </c>
      <c r="T574" t="s">
        <v>2225</v>
      </c>
      <c r="U574" t="s">
        <v>1296</v>
      </c>
      <c r="V574" s="1">
        <v>46053</v>
      </c>
      <c r="W574" s="1">
        <v>46053</v>
      </c>
      <c r="X574" t="s">
        <v>77</v>
      </c>
      <c r="Y574" t="s">
        <v>646</v>
      </c>
      <c r="Z574" t="s">
        <v>6</v>
      </c>
      <c r="AA574" t="s">
        <v>646</v>
      </c>
      <c r="AB574" s="4">
        <f t="shared" si="42"/>
        <v>32100</v>
      </c>
      <c r="AC574" s="6">
        <v>0.04</v>
      </c>
      <c r="AD574" s="4">
        <f t="shared" si="43"/>
        <v>1284</v>
      </c>
      <c r="AE574" s="4">
        <f t="shared" si="39"/>
        <v>321</v>
      </c>
    </row>
    <row r="575" spans="1:31" x14ac:dyDescent="0.25">
      <c r="A575" t="s">
        <v>0</v>
      </c>
      <c r="B575" s="3" t="s">
        <v>2219</v>
      </c>
      <c r="C575" t="s">
        <v>1294</v>
      </c>
      <c r="D575" t="s">
        <v>160</v>
      </c>
      <c r="E575" t="s">
        <v>1382</v>
      </c>
      <c r="F575" s="1">
        <v>46060</v>
      </c>
      <c r="G575" s="1">
        <v>46063</v>
      </c>
      <c r="H575" t="s">
        <v>904</v>
      </c>
      <c r="I575" t="s">
        <v>5</v>
      </c>
      <c r="J575" t="s">
        <v>6</v>
      </c>
      <c r="K575" t="s">
        <v>4</v>
      </c>
      <c r="L575" t="s">
        <v>1383</v>
      </c>
      <c r="M575" t="s">
        <v>1383</v>
      </c>
      <c r="N575" s="2">
        <v>362</v>
      </c>
      <c r="O575" t="s">
        <v>1295</v>
      </c>
      <c r="P575" t="s">
        <v>9</v>
      </c>
      <c r="Q575" t="s">
        <v>86</v>
      </c>
      <c r="R575" t="e">
        <f>VLOOKUP(Q575,#REF!,2,FALSE)</f>
        <v>#REF!</v>
      </c>
      <c r="S575">
        <v>1004</v>
      </c>
      <c r="T575" t="s">
        <v>2225</v>
      </c>
      <c r="U575" t="s">
        <v>1296</v>
      </c>
      <c r="V575" s="1">
        <v>46053</v>
      </c>
      <c r="W575" s="1">
        <v>46053</v>
      </c>
      <c r="X575" t="s">
        <v>77</v>
      </c>
      <c r="Y575" t="s">
        <v>646</v>
      </c>
      <c r="Z575" t="s">
        <v>6</v>
      </c>
      <c r="AA575" t="s">
        <v>646</v>
      </c>
      <c r="AB575" s="4">
        <f t="shared" si="42"/>
        <v>12066.666666666668</v>
      </c>
      <c r="AC575" s="6">
        <v>0.04</v>
      </c>
      <c r="AD575" s="4">
        <f t="shared" si="43"/>
        <v>482.66666666666674</v>
      </c>
      <c r="AE575" s="4">
        <f t="shared" si="39"/>
        <v>120.66666666666674</v>
      </c>
    </row>
    <row r="576" spans="1:31" x14ac:dyDescent="0.25">
      <c r="A576" t="s">
        <v>0</v>
      </c>
      <c r="B576" s="3" t="s">
        <v>2219</v>
      </c>
      <c r="C576" t="s">
        <v>1384</v>
      </c>
      <c r="D576" t="s">
        <v>160</v>
      </c>
      <c r="E576" t="s">
        <v>295</v>
      </c>
      <c r="F576" s="1">
        <v>46060</v>
      </c>
      <c r="G576" s="1">
        <v>46063</v>
      </c>
      <c r="H576" t="s">
        <v>882</v>
      </c>
      <c r="I576" t="s">
        <v>5</v>
      </c>
      <c r="J576" t="s">
        <v>6</v>
      </c>
      <c r="K576" t="s">
        <v>4</v>
      </c>
      <c r="L576" t="s">
        <v>1385</v>
      </c>
      <c r="M576" t="s">
        <v>1385</v>
      </c>
      <c r="N576" s="2">
        <v>49431</v>
      </c>
      <c r="O576" t="s">
        <v>1386</v>
      </c>
      <c r="P576" t="s">
        <v>9</v>
      </c>
      <c r="Q576" t="s">
        <v>75</v>
      </c>
      <c r="R576" t="e">
        <f>VLOOKUP(Q576,#REF!,2,FALSE)</f>
        <v>#REF!</v>
      </c>
      <c r="S576">
        <v>1004</v>
      </c>
      <c r="T576" t="s">
        <v>2225</v>
      </c>
      <c r="U576" t="s">
        <v>1387</v>
      </c>
      <c r="V576" s="1">
        <v>46053</v>
      </c>
      <c r="W576" s="1">
        <v>46053</v>
      </c>
      <c r="X576" t="s">
        <v>77</v>
      </c>
      <c r="Y576" t="s">
        <v>646</v>
      </c>
      <c r="Z576" t="s">
        <v>6</v>
      </c>
      <c r="AA576" t="s">
        <v>646</v>
      </c>
      <c r="AB576" s="4">
        <f t="shared" ref="AB576:AB586" si="44">L576/0.1</f>
        <v>494310</v>
      </c>
      <c r="AC576" s="5" t="s">
        <v>2215</v>
      </c>
      <c r="AD576" s="4">
        <f t="shared" ref="AD576:AD586" si="45">AB576/12</f>
        <v>41192.5</v>
      </c>
      <c r="AE576" s="4">
        <f t="shared" si="39"/>
        <v>-8238.5</v>
      </c>
    </row>
    <row r="577" spans="1:31" x14ac:dyDescent="0.25">
      <c r="A577" t="s">
        <v>0</v>
      </c>
      <c r="B577" s="3" t="s">
        <v>2219</v>
      </c>
      <c r="C577" t="s">
        <v>1384</v>
      </c>
      <c r="D577" t="s">
        <v>160</v>
      </c>
      <c r="E577" t="s">
        <v>119</v>
      </c>
      <c r="F577" s="1">
        <v>46060</v>
      </c>
      <c r="G577" s="1">
        <v>46063</v>
      </c>
      <c r="H577" t="s">
        <v>882</v>
      </c>
      <c r="I577" t="s">
        <v>5</v>
      </c>
      <c r="J577" t="s">
        <v>6</v>
      </c>
      <c r="K577" t="s">
        <v>4</v>
      </c>
      <c r="L577" t="s">
        <v>1388</v>
      </c>
      <c r="M577" t="s">
        <v>1388</v>
      </c>
      <c r="N577" s="2">
        <v>49308</v>
      </c>
      <c r="O577" t="s">
        <v>1386</v>
      </c>
      <c r="P577" t="s">
        <v>9</v>
      </c>
      <c r="Q577" t="s">
        <v>75</v>
      </c>
      <c r="R577" t="e">
        <f>VLOOKUP(Q577,#REF!,2,FALSE)</f>
        <v>#REF!</v>
      </c>
      <c r="S577">
        <v>1004</v>
      </c>
      <c r="T577" t="s">
        <v>2225</v>
      </c>
      <c r="U577" t="s">
        <v>1387</v>
      </c>
      <c r="V577" s="1">
        <v>46053</v>
      </c>
      <c r="W577" s="1">
        <v>46053</v>
      </c>
      <c r="X577" t="s">
        <v>77</v>
      </c>
      <c r="Y577" t="s">
        <v>646</v>
      </c>
      <c r="Z577" t="s">
        <v>6</v>
      </c>
      <c r="AA577" t="s">
        <v>646</v>
      </c>
      <c r="AB577" s="4">
        <f t="shared" si="44"/>
        <v>493080</v>
      </c>
      <c r="AC577" s="5" t="s">
        <v>2215</v>
      </c>
      <c r="AD577" s="4">
        <f t="shared" si="45"/>
        <v>41090</v>
      </c>
      <c r="AE577" s="4">
        <f t="shared" si="39"/>
        <v>-8218</v>
      </c>
    </row>
    <row r="578" spans="1:31" x14ac:dyDescent="0.25">
      <c r="A578" t="s">
        <v>0</v>
      </c>
      <c r="B578" s="3" t="s">
        <v>2219</v>
      </c>
      <c r="C578" t="s">
        <v>1384</v>
      </c>
      <c r="D578" t="s">
        <v>160</v>
      </c>
      <c r="E578" t="s">
        <v>125</v>
      </c>
      <c r="F578" s="1">
        <v>46060</v>
      </c>
      <c r="G578" s="1">
        <v>46063</v>
      </c>
      <c r="H578" t="s">
        <v>882</v>
      </c>
      <c r="I578" t="s">
        <v>5</v>
      </c>
      <c r="J578" t="s">
        <v>6</v>
      </c>
      <c r="K578" t="s">
        <v>4</v>
      </c>
      <c r="L578" t="s">
        <v>1389</v>
      </c>
      <c r="M578" t="s">
        <v>1389</v>
      </c>
      <c r="N578" s="2">
        <v>88516</v>
      </c>
      <c r="O578" t="s">
        <v>1386</v>
      </c>
      <c r="P578" t="s">
        <v>9</v>
      </c>
      <c r="Q578" t="s">
        <v>75</v>
      </c>
      <c r="R578" t="e">
        <f>VLOOKUP(Q578,#REF!,2,FALSE)</f>
        <v>#REF!</v>
      </c>
      <c r="S578">
        <v>1004</v>
      </c>
      <c r="T578" t="s">
        <v>2225</v>
      </c>
      <c r="U578" t="s">
        <v>1387</v>
      </c>
      <c r="V578" s="1">
        <v>46053</v>
      </c>
      <c r="W578" s="1">
        <v>46053</v>
      </c>
      <c r="X578" t="s">
        <v>77</v>
      </c>
      <c r="Y578" t="s">
        <v>646</v>
      </c>
      <c r="Z578" t="s">
        <v>6</v>
      </c>
      <c r="AA578" t="s">
        <v>646</v>
      </c>
      <c r="AB578" s="4">
        <f t="shared" si="44"/>
        <v>885160</v>
      </c>
      <c r="AC578" s="5" t="s">
        <v>2215</v>
      </c>
      <c r="AD578" s="4">
        <f t="shared" si="45"/>
        <v>73763.333333333328</v>
      </c>
      <c r="AE578" s="4">
        <f t="shared" ref="AE578:AE641" si="46">AD578-L578</f>
        <v>-14752.666666666672</v>
      </c>
    </row>
    <row r="579" spans="1:31" x14ac:dyDescent="0.25">
      <c r="A579" t="s">
        <v>0</v>
      </c>
      <c r="B579" s="3" t="s">
        <v>2219</v>
      </c>
      <c r="C579" t="s">
        <v>1384</v>
      </c>
      <c r="D579" t="s">
        <v>160</v>
      </c>
      <c r="E579" t="s">
        <v>127</v>
      </c>
      <c r="F579" s="1">
        <v>46060</v>
      </c>
      <c r="G579" s="1">
        <v>46063</v>
      </c>
      <c r="H579" t="s">
        <v>882</v>
      </c>
      <c r="I579" t="s">
        <v>5</v>
      </c>
      <c r="J579" t="s">
        <v>6</v>
      </c>
      <c r="K579" t="s">
        <v>4</v>
      </c>
      <c r="L579" t="s">
        <v>1390</v>
      </c>
      <c r="M579" t="s">
        <v>1390</v>
      </c>
      <c r="N579" s="2">
        <v>315572</v>
      </c>
      <c r="O579" t="s">
        <v>1386</v>
      </c>
      <c r="P579" t="s">
        <v>9</v>
      </c>
      <c r="Q579" t="s">
        <v>75</v>
      </c>
      <c r="R579" t="e">
        <f>VLOOKUP(Q579,#REF!,2,FALSE)</f>
        <v>#REF!</v>
      </c>
      <c r="S579">
        <v>1004</v>
      </c>
      <c r="T579" t="s">
        <v>2225</v>
      </c>
      <c r="U579" t="s">
        <v>1387</v>
      </c>
      <c r="V579" s="1">
        <v>46053</v>
      </c>
      <c r="W579" s="1">
        <v>46053</v>
      </c>
      <c r="X579" t="s">
        <v>77</v>
      </c>
      <c r="Y579" t="s">
        <v>646</v>
      </c>
      <c r="Z579" t="s">
        <v>6</v>
      </c>
      <c r="AA579" t="s">
        <v>646</v>
      </c>
      <c r="AB579" s="4">
        <f t="shared" si="44"/>
        <v>3155720</v>
      </c>
      <c r="AC579" s="5" t="s">
        <v>2215</v>
      </c>
      <c r="AD579" s="4">
        <f t="shared" si="45"/>
        <v>262976.66666666669</v>
      </c>
      <c r="AE579" s="4">
        <f t="shared" si="46"/>
        <v>-52595.333333333314</v>
      </c>
    </row>
    <row r="580" spans="1:31" x14ac:dyDescent="0.25">
      <c r="A580" t="s">
        <v>0</v>
      </c>
      <c r="B580" s="3" t="s">
        <v>2219</v>
      </c>
      <c r="C580" t="s">
        <v>1384</v>
      </c>
      <c r="D580" t="s">
        <v>160</v>
      </c>
      <c r="E580" t="s">
        <v>66</v>
      </c>
      <c r="F580" s="1">
        <v>46060</v>
      </c>
      <c r="G580" s="1">
        <v>46063</v>
      </c>
      <c r="H580" t="s">
        <v>882</v>
      </c>
      <c r="I580" t="s">
        <v>5</v>
      </c>
      <c r="J580" t="s">
        <v>6</v>
      </c>
      <c r="K580" t="s">
        <v>4</v>
      </c>
      <c r="L580" t="s">
        <v>1391</v>
      </c>
      <c r="M580" t="s">
        <v>1391</v>
      </c>
      <c r="N580" s="2">
        <v>59645</v>
      </c>
      <c r="O580" t="s">
        <v>1386</v>
      </c>
      <c r="P580" t="s">
        <v>9</v>
      </c>
      <c r="Q580" t="s">
        <v>75</v>
      </c>
      <c r="R580" t="e">
        <f>VLOOKUP(Q580,#REF!,2,FALSE)</f>
        <v>#REF!</v>
      </c>
      <c r="S580">
        <v>1004</v>
      </c>
      <c r="T580" t="s">
        <v>2225</v>
      </c>
      <c r="U580" t="s">
        <v>1387</v>
      </c>
      <c r="V580" s="1">
        <v>46053</v>
      </c>
      <c r="W580" s="1">
        <v>46053</v>
      </c>
      <c r="X580" t="s">
        <v>77</v>
      </c>
      <c r="Y580" t="s">
        <v>646</v>
      </c>
      <c r="Z580" t="s">
        <v>6</v>
      </c>
      <c r="AA580" t="s">
        <v>646</v>
      </c>
      <c r="AB580" s="4">
        <f t="shared" si="44"/>
        <v>596450</v>
      </c>
      <c r="AC580" s="5" t="s">
        <v>2215</v>
      </c>
      <c r="AD580" s="4">
        <f t="shared" si="45"/>
        <v>49704.166666666664</v>
      </c>
      <c r="AE580" s="4">
        <f t="shared" si="46"/>
        <v>-9940.8333333333358</v>
      </c>
    </row>
    <row r="581" spans="1:31" x14ac:dyDescent="0.25">
      <c r="A581" t="s">
        <v>0</v>
      </c>
      <c r="B581" s="3" t="s">
        <v>2219</v>
      </c>
      <c r="C581" t="s">
        <v>1384</v>
      </c>
      <c r="D581" t="s">
        <v>160</v>
      </c>
      <c r="E581" t="s">
        <v>1392</v>
      </c>
      <c r="F581" s="1">
        <v>46060</v>
      </c>
      <c r="G581" s="1">
        <v>46063</v>
      </c>
      <c r="H581" t="s">
        <v>882</v>
      </c>
      <c r="I581" t="s">
        <v>5</v>
      </c>
      <c r="J581" t="s">
        <v>6</v>
      </c>
      <c r="K581" t="s">
        <v>4</v>
      </c>
      <c r="L581" t="s">
        <v>1393</v>
      </c>
      <c r="M581" t="s">
        <v>1393</v>
      </c>
      <c r="N581" s="2">
        <v>92199</v>
      </c>
      <c r="O581" t="s">
        <v>1386</v>
      </c>
      <c r="P581" t="s">
        <v>9</v>
      </c>
      <c r="Q581" t="s">
        <v>75</v>
      </c>
      <c r="R581" t="e">
        <f>VLOOKUP(Q581,#REF!,2,FALSE)</f>
        <v>#REF!</v>
      </c>
      <c r="S581">
        <v>1004</v>
      </c>
      <c r="T581" t="s">
        <v>2225</v>
      </c>
      <c r="U581" t="s">
        <v>1387</v>
      </c>
      <c r="V581" s="1">
        <v>46053</v>
      </c>
      <c r="W581" s="1">
        <v>46053</v>
      </c>
      <c r="X581" t="s">
        <v>77</v>
      </c>
      <c r="Y581" t="s">
        <v>646</v>
      </c>
      <c r="Z581" t="s">
        <v>6</v>
      </c>
      <c r="AA581" t="s">
        <v>646</v>
      </c>
      <c r="AB581" s="4">
        <f t="shared" si="44"/>
        <v>921990</v>
      </c>
      <c r="AC581" s="5" t="s">
        <v>2215</v>
      </c>
      <c r="AD581" s="4">
        <f t="shared" si="45"/>
        <v>76832.5</v>
      </c>
      <c r="AE581" s="4">
        <f t="shared" si="46"/>
        <v>-15366.5</v>
      </c>
    </row>
    <row r="582" spans="1:31" x14ac:dyDescent="0.25">
      <c r="A582" t="s">
        <v>0</v>
      </c>
      <c r="B582" s="3" t="s">
        <v>2219</v>
      </c>
      <c r="C582" t="s">
        <v>1384</v>
      </c>
      <c r="D582" t="s">
        <v>160</v>
      </c>
      <c r="E582" t="s">
        <v>1394</v>
      </c>
      <c r="F582" s="1">
        <v>46060</v>
      </c>
      <c r="G582" s="1">
        <v>46063</v>
      </c>
      <c r="H582" t="s">
        <v>882</v>
      </c>
      <c r="I582" t="s">
        <v>5</v>
      </c>
      <c r="J582" t="s">
        <v>6</v>
      </c>
      <c r="K582" t="s">
        <v>4</v>
      </c>
      <c r="L582" t="s">
        <v>1395</v>
      </c>
      <c r="M582" t="s">
        <v>1395</v>
      </c>
      <c r="N582" s="2">
        <v>7414</v>
      </c>
      <c r="O582" t="s">
        <v>1386</v>
      </c>
      <c r="P582" t="s">
        <v>9</v>
      </c>
      <c r="Q582" t="s">
        <v>75</v>
      </c>
      <c r="R582" t="e">
        <f>VLOOKUP(Q582,#REF!,2,FALSE)</f>
        <v>#REF!</v>
      </c>
      <c r="S582">
        <v>1004</v>
      </c>
      <c r="T582" t="s">
        <v>2225</v>
      </c>
      <c r="U582" t="s">
        <v>1387</v>
      </c>
      <c r="V582" s="1">
        <v>46053</v>
      </c>
      <c r="W582" s="1">
        <v>46053</v>
      </c>
      <c r="X582" t="s">
        <v>77</v>
      </c>
      <c r="Y582" t="s">
        <v>646</v>
      </c>
      <c r="Z582" t="s">
        <v>6</v>
      </c>
      <c r="AA582" t="s">
        <v>646</v>
      </c>
      <c r="AB582" s="4">
        <f t="shared" si="44"/>
        <v>74140</v>
      </c>
      <c r="AC582" s="5" t="s">
        <v>2215</v>
      </c>
      <c r="AD582" s="4">
        <f t="shared" si="45"/>
        <v>6178.333333333333</v>
      </c>
      <c r="AE582" s="4">
        <f t="shared" si="46"/>
        <v>-1235.666666666667</v>
      </c>
    </row>
    <row r="583" spans="1:31" x14ac:dyDescent="0.25">
      <c r="A583" t="s">
        <v>0</v>
      </c>
      <c r="B583" s="3" t="s">
        <v>2219</v>
      </c>
      <c r="C583" t="s">
        <v>1384</v>
      </c>
      <c r="D583" t="s">
        <v>160</v>
      </c>
      <c r="E583" t="s">
        <v>1396</v>
      </c>
      <c r="F583" s="1">
        <v>46060</v>
      </c>
      <c r="G583" s="1">
        <v>46063</v>
      </c>
      <c r="H583" t="s">
        <v>882</v>
      </c>
      <c r="I583" t="s">
        <v>5</v>
      </c>
      <c r="J583" t="s">
        <v>6</v>
      </c>
      <c r="K583" t="s">
        <v>4</v>
      </c>
      <c r="L583" t="s">
        <v>1397</v>
      </c>
      <c r="M583" t="s">
        <v>1397</v>
      </c>
      <c r="N583" s="2">
        <v>8543</v>
      </c>
      <c r="O583" t="s">
        <v>1386</v>
      </c>
      <c r="P583" t="s">
        <v>9</v>
      </c>
      <c r="Q583" t="s">
        <v>75</v>
      </c>
      <c r="R583" t="e">
        <f>VLOOKUP(Q583,#REF!,2,FALSE)</f>
        <v>#REF!</v>
      </c>
      <c r="S583">
        <v>1004</v>
      </c>
      <c r="T583" t="s">
        <v>2225</v>
      </c>
      <c r="U583" t="s">
        <v>1387</v>
      </c>
      <c r="V583" s="1">
        <v>46053</v>
      </c>
      <c r="W583" s="1">
        <v>46053</v>
      </c>
      <c r="X583" t="s">
        <v>77</v>
      </c>
      <c r="Y583" t="s">
        <v>646</v>
      </c>
      <c r="Z583" t="s">
        <v>6</v>
      </c>
      <c r="AA583" t="s">
        <v>646</v>
      </c>
      <c r="AB583" s="4">
        <f t="shared" si="44"/>
        <v>85430</v>
      </c>
      <c r="AC583" s="5" t="s">
        <v>2215</v>
      </c>
      <c r="AD583" s="4">
        <f t="shared" si="45"/>
        <v>7119.166666666667</v>
      </c>
      <c r="AE583" s="4">
        <f t="shared" si="46"/>
        <v>-1423.833333333333</v>
      </c>
    </row>
    <row r="584" spans="1:31" x14ac:dyDescent="0.25">
      <c r="A584" t="s">
        <v>0</v>
      </c>
      <c r="B584" s="3" t="s">
        <v>2219</v>
      </c>
      <c r="C584" t="s">
        <v>1384</v>
      </c>
      <c r="D584" t="s">
        <v>160</v>
      </c>
      <c r="E584" t="s">
        <v>1398</v>
      </c>
      <c r="F584" s="1">
        <v>46060</v>
      </c>
      <c r="G584" s="1">
        <v>46063</v>
      </c>
      <c r="H584" t="s">
        <v>882</v>
      </c>
      <c r="I584" t="s">
        <v>5</v>
      </c>
      <c r="J584" t="s">
        <v>6</v>
      </c>
      <c r="K584" t="s">
        <v>4</v>
      </c>
      <c r="L584" t="s">
        <v>1399</v>
      </c>
      <c r="M584" t="s">
        <v>1399</v>
      </c>
      <c r="N584" s="2">
        <v>558</v>
      </c>
      <c r="O584" t="s">
        <v>1386</v>
      </c>
      <c r="P584" t="s">
        <v>9</v>
      </c>
      <c r="Q584" t="s">
        <v>75</v>
      </c>
      <c r="R584" t="e">
        <f>VLOOKUP(Q584,#REF!,2,FALSE)</f>
        <v>#REF!</v>
      </c>
      <c r="S584">
        <v>1004</v>
      </c>
      <c r="T584" t="s">
        <v>2225</v>
      </c>
      <c r="U584" t="s">
        <v>1387</v>
      </c>
      <c r="V584" s="1">
        <v>46053</v>
      </c>
      <c r="W584" s="1">
        <v>46053</v>
      </c>
      <c r="X584" t="s">
        <v>77</v>
      </c>
      <c r="Y584" t="s">
        <v>646</v>
      </c>
      <c r="Z584" t="s">
        <v>6</v>
      </c>
      <c r="AA584" t="s">
        <v>646</v>
      </c>
      <c r="AB584" s="4">
        <f t="shared" si="44"/>
        <v>5580</v>
      </c>
      <c r="AC584" s="5" t="s">
        <v>2215</v>
      </c>
      <c r="AD584" s="4">
        <f t="shared" si="45"/>
        <v>465</v>
      </c>
      <c r="AE584" s="4">
        <f t="shared" si="46"/>
        <v>-93</v>
      </c>
    </row>
    <row r="585" spans="1:31" x14ac:dyDescent="0.25">
      <c r="A585" t="s">
        <v>0</v>
      </c>
      <c r="B585" s="3" t="s">
        <v>2219</v>
      </c>
      <c r="C585" t="s">
        <v>1384</v>
      </c>
      <c r="D585" t="s">
        <v>160</v>
      </c>
      <c r="E585" t="s">
        <v>1400</v>
      </c>
      <c r="F585" s="1">
        <v>46060</v>
      </c>
      <c r="G585" s="1">
        <v>46063</v>
      </c>
      <c r="H585" t="s">
        <v>882</v>
      </c>
      <c r="I585" t="s">
        <v>5</v>
      </c>
      <c r="J585" t="s">
        <v>6</v>
      </c>
      <c r="K585" t="s">
        <v>4</v>
      </c>
      <c r="L585" t="s">
        <v>1401</v>
      </c>
      <c r="M585" t="s">
        <v>1401</v>
      </c>
      <c r="N585" s="2">
        <v>19494</v>
      </c>
      <c r="O585" t="s">
        <v>1386</v>
      </c>
      <c r="P585" t="s">
        <v>9</v>
      </c>
      <c r="Q585" t="s">
        <v>75</v>
      </c>
      <c r="R585" t="e">
        <f>VLOOKUP(Q585,#REF!,2,FALSE)</f>
        <v>#REF!</v>
      </c>
      <c r="S585">
        <v>1004</v>
      </c>
      <c r="T585" t="s">
        <v>2225</v>
      </c>
      <c r="U585" t="s">
        <v>1387</v>
      </c>
      <c r="V585" s="1">
        <v>46053</v>
      </c>
      <c r="W585" s="1">
        <v>46053</v>
      </c>
      <c r="X585" t="s">
        <v>77</v>
      </c>
      <c r="Y585" t="s">
        <v>646</v>
      </c>
      <c r="Z585" t="s">
        <v>6</v>
      </c>
      <c r="AA585" t="s">
        <v>646</v>
      </c>
      <c r="AB585" s="4">
        <f t="shared" si="44"/>
        <v>194940</v>
      </c>
      <c r="AC585" s="5" t="s">
        <v>2215</v>
      </c>
      <c r="AD585" s="4">
        <f t="shared" si="45"/>
        <v>16245</v>
      </c>
      <c r="AE585" s="4">
        <f t="shared" si="46"/>
        <v>-3249</v>
      </c>
    </row>
    <row r="586" spans="1:31" x14ac:dyDescent="0.25">
      <c r="A586" t="s">
        <v>0</v>
      </c>
      <c r="B586" s="3" t="s">
        <v>2219</v>
      </c>
      <c r="C586" t="s">
        <v>1384</v>
      </c>
      <c r="D586" t="s">
        <v>160</v>
      </c>
      <c r="E586" t="s">
        <v>1402</v>
      </c>
      <c r="F586" s="1">
        <v>46060</v>
      </c>
      <c r="G586" s="1">
        <v>46063</v>
      </c>
      <c r="H586" t="s">
        <v>882</v>
      </c>
      <c r="I586" t="s">
        <v>5</v>
      </c>
      <c r="J586" t="s">
        <v>6</v>
      </c>
      <c r="K586" t="s">
        <v>4</v>
      </c>
      <c r="L586" t="s">
        <v>1403</v>
      </c>
      <c r="M586" t="s">
        <v>1403</v>
      </c>
      <c r="N586" s="2">
        <v>45783</v>
      </c>
      <c r="O586" t="s">
        <v>1386</v>
      </c>
      <c r="P586" t="s">
        <v>9</v>
      </c>
      <c r="Q586" t="s">
        <v>75</v>
      </c>
      <c r="R586" t="e">
        <f>VLOOKUP(Q586,#REF!,2,FALSE)</f>
        <v>#REF!</v>
      </c>
      <c r="S586">
        <v>1004</v>
      </c>
      <c r="T586" t="s">
        <v>2225</v>
      </c>
      <c r="U586" t="s">
        <v>1387</v>
      </c>
      <c r="V586" s="1">
        <v>46053</v>
      </c>
      <c r="W586" s="1">
        <v>46053</v>
      </c>
      <c r="X586" t="s">
        <v>77</v>
      </c>
      <c r="Y586" t="s">
        <v>646</v>
      </c>
      <c r="Z586" t="s">
        <v>6</v>
      </c>
      <c r="AA586" t="s">
        <v>646</v>
      </c>
      <c r="AB586" s="4">
        <f t="shared" si="44"/>
        <v>457830</v>
      </c>
      <c r="AC586" s="5" t="s">
        <v>2215</v>
      </c>
      <c r="AD586" s="4">
        <f t="shared" si="45"/>
        <v>38152.5</v>
      </c>
      <c r="AE586" s="4">
        <f t="shared" si="46"/>
        <v>-7630.5</v>
      </c>
    </row>
    <row r="587" spans="1:31" x14ac:dyDescent="0.25">
      <c r="A587" t="s">
        <v>0</v>
      </c>
      <c r="B587" s="3" t="s">
        <v>2219</v>
      </c>
      <c r="C587" t="s">
        <v>1384</v>
      </c>
      <c r="D587" t="s">
        <v>160</v>
      </c>
      <c r="E587" t="s">
        <v>1404</v>
      </c>
      <c r="F587" s="1">
        <v>46060</v>
      </c>
      <c r="G587" s="1">
        <v>46063</v>
      </c>
      <c r="H587" t="s">
        <v>904</v>
      </c>
      <c r="I587" t="s">
        <v>5</v>
      </c>
      <c r="J587" t="s">
        <v>6</v>
      </c>
      <c r="K587" t="s">
        <v>4</v>
      </c>
      <c r="L587" t="s">
        <v>1405</v>
      </c>
      <c r="M587" t="s">
        <v>1405</v>
      </c>
      <c r="N587" s="2">
        <v>13257</v>
      </c>
      <c r="O587" t="s">
        <v>1386</v>
      </c>
      <c r="P587" t="s">
        <v>9</v>
      </c>
      <c r="Q587" t="s">
        <v>86</v>
      </c>
      <c r="R587" t="e">
        <f>VLOOKUP(Q587,#REF!,2,FALSE)</f>
        <v>#REF!</v>
      </c>
      <c r="S587">
        <v>1004</v>
      </c>
      <c r="T587" t="s">
        <v>2225</v>
      </c>
      <c r="U587" t="s">
        <v>1387</v>
      </c>
      <c r="V587" s="1">
        <v>46053</v>
      </c>
      <c r="W587" s="1">
        <v>46053</v>
      </c>
      <c r="X587" t="s">
        <v>77</v>
      </c>
      <c r="Y587" t="s">
        <v>646</v>
      </c>
      <c r="Z587" t="s">
        <v>6</v>
      </c>
      <c r="AA587" t="s">
        <v>646</v>
      </c>
      <c r="AB587" s="4">
        <f t="shared" ref="AB587:AB625" si="47">L587/0.03</f>
        <v>441900</v>
      </c>
      <c r="AC587" s="6">
        <v>0.04</v>
      </c>
      <c r="AD587" s="4">
        <f t="shared" ref="AD587:AD625" si="48">AB587*AC587</f>
        <v>17676</v>
      </c>
      <c r="AE587" s="4">
        <f t="shared" si="46"/>
        <v>4419</v>
      </c>
    </row>
    <row r="588" spans="1:31" x14ac:dyDescent="0.25">
      <c r="A588" t="s">
        <v>0</v>
      </c>
      <c r="B588" s="3" t="s">
        <v>2219</v>
      </c>
      <c r="C588" t="s">
        <v>1384</v>
      </c>
      <c r="D588" t="s">
        <v>160</v>
      </c>
      <c r="E588" t="s">
        <v>1406</v>
      </c>
      <c r="F588" s="1">
        <v>46060</v>
      </c>
      <c r="G588" s="1">
        <v>46063</v>
      </c>
      <c r="H588" t="s">
        <v>904</v>
      </c>
      <c r="I588" t="s">
        <v>5</v>
      </c>
      <c r="J588" t="s">
        <v>6</v>
      </c>
      <c r="K588" t="s">
        <v>4</v>
      </c>
      <c r="L588" t="s">
        <v>1407</v>
      </c>
      <c r="M588" t="s">
        <v>1407</v>
      </c>
      <c r="N588" s="2">
        <v>24146</v>
      </c>
      <c r="O588" t="s">
        <v>1386</v>
      </c>
      <c r="P588" t="s">
        <v>9</v>
      </c>
      <c r="Q588" t="s">
        <v>86</v>
      </c>
      <c r="R588" t="e">
        <f>VLOOKUP(Q588,#REF!,2,FALSE)</f>
        <v>#REF!</v>
      </c>
      <c r="S588">
        <v>1004</v>
      </c>
      <c r="T588" t="s">
        <v>2225</v>
      </c>
      <c r="U588" t="s">
        <v>1387</v>
      </c>
      <c r="V588" s="1">
        <v>46053</v>
      </c>
      <c r="W588" s="1">
        <v>46053</v>
      </c>
      <c r="X588" t="s">
        <v>77</v>
      </c>
      <c r="Y588" t="s">
        <v>646</v>
      </c>
      <c r="Z588" t="s">
        <v>6</v>
      </c>
      <c r="AA588" t="s">
        <v>646</v>
      </c>
      <c r="AB588" s="4">
        <f t="shared" si="47"/>
        <v>804866.66666666674</v>
      </c>
      <c r="AC588" s="6">
        <v>0.04</v>
      </c>
      <c r="AD588" s="4">
        <f t="shared" si="48"/>
        <v>32194.666666666672</v>
      </c>
      <c r="AE588" s="4">
        <f t="shared" si="46"/>
        <v>8048.6666666666715</v>
      </c>
    </row>
    <row r="589" spans="1:31" x14ac:dyDescent="0.25">
      <c r="A589" t="s">
        <v>0</v>
      </c>
      <c r="B589" s="3" t="s">
        <v>2219</v>
      </c>
      <c r="C589" t="s">
        <v>1384</v>
      </c>
      <c r="D589" t="s">
        <v>160</v>
      </c>
      <c r="E589" t="s">
        <v>1408</v>
      </c>
      <c r="F589" s="1">
        <v>46060</v>
      </c>
      <c r="G589" s="1">
        <v>46063</v>
      </c>
      <c r="H589" t="s">
        <v>904</v>
      </c>
      <c r="I589" t="s">
        <v>5</v>
      </c>
      <c r="J589" t="s">
        <v>6</v>
      </c>
      <c r="K589" t="s">
        <v>4</v>
      </c>
      <c r="L589" t="s">
        <v>1409</v>
      </c>
      <c r="M589" t="s">
        <v>1409</v>
      </c>
      <c r="N589" s="2">
        <v>11244</v>
      </c>
      <c r="O589" t="s">
        <v>1386</v>
      </c>
      <c r="P589" t="s">
        <v>9</v>
      </c>
      <c r="Q589" t="s">
        <v>86</v>
      </c>
      <c r="R589" t="e">
        <f>VLOOKUP(Q589,#REF!,2,FALSE)</f>
        <v>#REF!</v>
      </c>
      <c r="S589">
        <v>1004</v>
      </c>
      <c r="T589" t="s">
        <v>2225</v>
      </c>
      <c r="U589" t="s">
        <v>1387</v>
      </c>
      <c r="V589" s="1">
        <v>46053</v>
      </c>
      <c r="W589" s="1">
        <v>46053</v>
      </c>
      <c r="X589" t="s">
        <v>77</v>
      </c>
      <c r="Y589" t="s">
        <v>646</v>
      </c>
      <c r="Z589" t="s">
        <v>6</v>
      </c>
      <c r="AA589" t="s">
        <v>646</v>
      </c>
      <c r="AB589" s="4">
        <f t="shared" si="47"/>
        <v>374800</v>
      </c>
      <c r="AC589" s="6">
        <v>0.04</v>
      </c>
      <c r="AD589" s="4">
        <f t="shared" si="48"/>
        <v>14992</v>
      </c>
      <c r="AE589" s="4">
        <f t="shared" si="46"/>
        <v>3748</v>
      </c>
    </row>
    <row r="590" spans="1:31" x14ac:dyDescent="0.25">
      <c r="A590" t="s">
        <v>0</v>
      </c>
      <c r="B590" s="3" t="s">
        <v>2219</v>
      </c>
      <c r="C590" t="s">
        <v>1384</v>
      </c>
      <c r="D590" t="s">
        <v>160</v>
      </c>
      <c r="E590" t="s">
        <v>1410</v>
      </c>
      <c r="F590" s="1">
        <v>46060</v>
      </c>
      <c r="G590" s="1">
        <v>46063</v>
      </c>
      <c r="H590" t="s">
        <v>904</v>
      </c>
      <c r="I590" t="s">
        <v>5</v>
      </c>
      <c r="J590" t="s">
        <v>6</v>
      </c>
      <c r="K590" t="s">
        <v>4</v>
      </c>
      <c r="L590" t="s">
        <v>1411</v>
      </c>
      <c r="M590" t="s">
        <v>1411</v>
      </c>
      <c r="N590" s="2">
        <v>1957</v>
      </c>
      <c r="O590" t="s">
        <v>1386</v>
      </c>
      <c r="P590" t="s">
        <v>9</v>
      </c>
      <c r="Q590" t="s">
        <v>86</v>
      </c>
      <c r="R590" t="e">
        <f>VLOOKUP(Q590,#REF!,2,FALSE)</f>
        <v>#REF!</v>
      </c>
      <c r="S590">
        <v>1004</v>
      </c>
      <c r="T590" t="s">
        <v>2225</v>
      </c>
      <c r="U590" t="s">
        <v>1387</v>
      </c>
      <c r="V590" s="1">
        <v>46053</v>
      </c>
      <c r="W590" s="1">
        <v>46053</v>
      </c>
      <c r="X590" t="s">
        <v>77</v>
      </c>
      <c r="Y590" t="s">
        <v>646</v>
      </c>
      <c r="Z590" t="s">
        <v>6</v>
      </c>
      <c r="AA590" t="s">
        <v>646</v>
      </c>
      <c r="AB590" s="4">
        <f t="shared" si="47"/>
        <v>65233.333333333336</v>
      </c>
      <c r="AC590" s="6">
        <v>0.04</v>
      </c>
      <c r="AD590" s="4">
        <f t="shared" si="48"/>
        <v>2609.3333333333335</v>
      </c>
      <c r="AE590" s="4">
        <f t="shared" si="46"/>
        <v>652.33333333333348</v>
      </c>
    </row>
    <row r="591" spans="1:31" x14ac:dyDescent="0.25">
      <c r="A591" t="s">
        <v>0</v>
      </c>
      <c r="B591" s="3" t="s">
        <v>2219</v>
      </c>
      <c r="C591" t="s">
        <v>1384</v>
      </c>
      <c r="D591" t="s">
        <v>160</v>
      </c>
      <c r="E591" t="s">
        <v>1412</v>
      </c>
      <c r="F591" s="1">
        <v>46060</v>
      </c>
      <c r="G591" s="1">
        <v>46063</v>
      </c>
      <c r="H591" t="s">
        <v>904</v>
      </c>
      <c r="I591" t="s">
        <v>5</v>
      </c>
      <c r="J591" t="s">
        <v>6</v>
      </c>
      <c r="K591" t="s">
        <v>4</v>
      </c>
      <c r="L591" t="s">
        <v>1413</v>
      </c>
      <c r="M591" t="s">
        <v>1413</v>
      </c>
      <c r="N591" s="2">
        <v>29113</v>
      </c>
      <c r="O591" t="s">
        <v>1386</v>
      </c>
      <c r="P591" t="s">
        <v>9</v>
      </c>
      <c r="Q591" t="s">
        <v>86</v>
      </c>
      <c r="R591" t="e">
        <f>VLOOKUP(Q591,#REF!,2,FALSE)</f>
        <v>#REF!</v>
      </c>
      <c r="S591">
        <v>1004</v>
      </c>
      <c r="T591" t="s">
        <v>2225</v>
      </c>
      <c r="U591" t="s">
        <v>1387</v>
      </c>
      <c r="V591" s="1">
        <v>46053</v>
      </c>
      <c r="W591" s="1">
        <v>46053</v>
      </c>
      <c r="X591" t="s">
        <v>77</v>
      </c>
      <c r="Y591" t="s">
        <v>646</v>
      </c>
      <c r="Z591" t="s">
        <v>6</v>
      </c>
      <c r="AA591" t="s">
        <v>646</v>
      </c>
      <c r="AB591" s="4">
        <f t="shared" si="47"/>
        <v>970433.33333333337</v>
      </c>
      <c r="AC591" s="6">
        <v>0.04</v>
      </c>
      <c r="AD591" s="4">
        <f t="shared" si="48"/>
        <v>38817.333333333336</v>
      </c>
      <c r="AE591" s="4">
        <f t="shared" si="46"/>
        <v>9704.3333333333358</v>
      </c>
    </row>
    <row r="592" spans="1:31" x14ac:dyDescent="0.25">
      <c r="A592" t="s">
        <v>0</v>
      </c>
      <c r="B592" s="3" t="s">
        <v>2219</v>
      </c>
      <c r="C592" t="s">
        <v>1384</v>
      </c>
      <c r="D592" t="s">
        <v>160</v>
      </c>
      <c r="E592" t="s">
        <v>1414</v>
      </c>
      <c r="F592" s="1">
        <v>46060</v>
      </c>
      <c r="G592" s="1">
        <v>46063</v>
      </c>
      <c r="H592" t="s">
        <v>904</v>
      </c>
      <c r="I592" t="s">
        <v>5</v>
      </c>
      <c r="J592" t="s">
        <v>6</v>
      </c>
      <c r="K592" t="s">
        <v>4</v>
      </c>
      <c r="L592" t="s">
        <v>1415</v>
      </c>
      <c r="M592" t="s">
        <v>1415</v>
      </c>
      <c r="N592" s="2">
        <v>6165</v>
      </c>
      <c r="O592" t="s">
        <v>1386</v>
      </c>
      <c r="P592" t="s">
        <v>9</v>
      </c>
      <c r="Q592" t="s">
        <v>86</v>
      </c>
      <c r="R592" t="e">
        <f>VLOOKUP(Q592,#REF!,2,FALSE)</f>
        <v>#REF!</v>
      </c>
      <c r="S592">
        <v>1004</v>
      </c>
      <c r="T592" t="s">
        <v>2225</v>
      </c>
      <c r="U592" t="s">
        <v>1387</v>
      </c>
      <c r="V592" s="1">
        <v>46053</v>
      </c>
      <c r="W592" s="1">
        <v>46053</v>
      </c>
      <c r="X592" t="s">
        <v>77</v>
      </c>
      <c r="Y592" t="s">
        <v>646</v>
      </c>
      <c r="Z592" t="s">
        <v>6</v>
      </c>
      <c r="AA592" t="s">
        <v>646</v>
      </c>
      <c r="AB592" s="4">
        <f t="shared" si="47"/>
        <v>205500</v>
      </c>
      <c r="AC592" s="6">
        <v>0.04</v>
      </c>
      <c r="AD592" s="4">
        <f t="shared" si="48"/>
        <v>8220</v>
      </c>
      <c r="AE592" s="4">
        <f t="shared" si="46"/>
        <v>2055</v>
      </c>
    </row>
    <row r="593" spans="1:31" x14ac:dyDescent="0.25">
      <c r="A593" t="s">
        <v>0</v>
      </c>
      <c r="B593" s="3" t="s">
        <v>2219</v>
      </c>
      <c r="C593" t="s">
        <v>1384</v>
      </c>
      <c r="D593" t="s">
        <v>160</v>
      </c>
      <c r="E593" t="s">
        <v>1416</v>
      </c>
      <c r="F593" s="1">
        <v>46060</v>
      </c>
      <c r="G593" s="1">
        <v>46063</v>
      </c>
      <c r="H593" t="s">
        <v>904</v>
      </c>
      <c r="I593" t="s">
        <v>5</v>
      </c>
      <c r="J593" t="s">
        <v>6</v>
      </c>
      <c r="K593" t="s">
        <v>4</v>
      </c>
      <c r="L593" t="s">
        <v>1417</v>
      </c>
      <c r="M593" t="s">
        <v>1417</v>
      </c>
      <c r="N593" s="2">
        <v>5751</v>
      </c>
      <c r="O593" t="s">
        <v>1386</v>
      </c>
      <c r="P593" t="s">
        <v>9</v>
      </c>
      <c r="Q593" t="s">
        <v>86</v>
      </c>
      <c r="R593" t="e">
        <f>VLOOKUP(Q593,#REF!,2,FALSE)</f>
        <v>#REF!</v>
      </c>
      <c r="S593">
        <v>1004</v>
      </c>
      <c r="T593" t="s">
        <v>2225</v>
      </c>
      <c r="U593" t="s">
        <v>1387</v>
      </c>
      <c r="V593" s="1">
        <v>46053</v>
      </c>
      <c r="W593" s="1">
        <v>46053</v>
      </c>
      <c r="X593" t="s">
        <v>77</v>
      </c>
      <c r="Y593" t="s">
        <v>646</v>
      </c>
      <c r="Z593" t="s">
        <v>6</v>
      </c>
      <c r="AA593" t="s">
        <v>646</v>
      </c>
      <c r="AB593" s="4">
        <f t="shared" si="47"/>
        <v>191700</v>
      </c>
      <c r="AC593" s="6">
        <v>0.04</v>
      </c>
      <c r="AD593" s="4">
        <f t="shared" si="48"/>
        <v>7668</v>
      </c>
      <c r="AE593" s="4">
        <f t="shared" si="46"/>
        <v>1917</v>
      </c>
    </row>
    <row r="594" spans="1:31" x14ac:dyDescent="0.25">
      <c r="A594" t="s">
        <v>0</v>
      </c>
      <c r="B594" s="3" t="s">
        <v>2219</v>
      </c>
      <c r="C594" t="s">
        <v>1384</v>
      </c>
      <c r="D594" t="s">
        <v>160</v>
      </c>
      <c r="E594" t="s">
        <v>1418</v>
      </c>
      <c r="F594" s="1">
        <v>46060</v>
      </c>
      <c r="G594" s="1">
        <v>46063</v>
      </c>
      <c r="H594" t="s">
        <v>904</v>
      </c>
      <c r="I594" t="s">
        <v>5</v>
      </c>
      <c r="J594" t="s">
        <v>6</v>
      </c>
      <c r="K594" t="s">
        <v>4</v>
      </c>
      <c r="L594" t="s">
        <v>1419</v>
      </c>
      <c r="M594" t="s">
        <v>1419</v>
      </c>
      <c r="N594" s="2">
        <v>2818</v>
      </c>
      <c r="O594" t="s">
        <v>1386</v>
      </c>
      <c r="P594" t="s">
        <v>9</v>
      </c>
      <c r="Q594" t="s">
        <v>86</v>
      </c>
      <c r="R594" t="e">
        <f>VLOOKUP(Q594,#REF!,2,FALSE)</f>
        <v>#REF!</v>
      </c>
      <c r="S594">
        <v>1004</v>
      </c>
      <c r="T594" t="s">
        <v>2225</v>
      </c>
      <c r="U594" t="s">
        <v>1387</v>
      </c>
      <c r="V594" s="1">
        <v>46053</v>
      </c>
      <c r="W594" s="1">
        <v>46053</v>
      </c>
      <c r="X594" t="s">
        <v>77</v>
      </c>
      <c r="Y594" t="s">
        <v>646</v>
      </c>
      <c r="Z594" t="s">
        <v>6</v>
      </c>
      <c r="AA594" t="s">
        <v>646</v>
      </c>
      <c r="AB594" s="4">
        <f t="shared" si="47"/>
        <v>93933.333333333343</v>
      </c>
      <c r="AC594" s="6">
        <v>0.04</v>
      </c>
      <c r="AD594" s="4">
        <f t="shared" si="48"/>
        <v>3757.3333333333339</v>
      </c>
      <c r="AE594" s="4">
        <f t="shared" si="46"/>
        <v>939.33333333333394</v>
      </c>
    </row>
    <row r="595" spans="1:31" x14ac:dyDescent="0.25">
      <c r="A595" t="s">
        <v>0</v>
      </c>
      <c r="B595" s="3" t="s">
        <v>2219</v>
      </c>
      <c r="C595" t="s">
        <v>1384</v>
      </c>
      <c r="D595" t="s">
        <v>160</v>
      </c>
      <c r="E595" t="s">
        <v>1420</v>
      </c>
      <c r="F595" s="1">
        <v>46060</v>
      </c>
      <c r="G595" s="1">
        <v>46063</v>
      </c>
      <c r="H595" t="s">
        <v>904</v>
      </c>
      <c r="I595" t="s">
        <v>5</v>
      </c>
      <c r="J595" t="s">
        <v>6</v>
      </c>
      <c r="K595" t="s">
        <v>4</v>
      </c>
      <c r="L595" t="s">
        <v>1421</v>
      </c>
      <c r="M595" t="s">
        <v>1421</v>
      </c>
      <c r="N595" s="2">
        <v>4060</v>
      </c>
      <c r="O595" t="s">
        <v>1386</v>
      </c>
      <c r="P595" t="s">
        <v>9</v>
      </c>
      <c r="Q595" t="s">
        <v>86</v>
      </c>
      <c r="R595" t="e">
        <f>VLOOKUP(Q595,#REF!,2,FALSE)</f>
        <v>#REF!</v>
      </c>
      <c r="S595">
        <v>1004</v>
      </c>
      <c r="T595" t="s">
        <v>2225</v>
      </c>
      <c r="U595" t="s">
        <v>1387</v>
      </c>
      <c r="V595" s="1">
        <v>46053</v>
      </c>
      <c r="W595" s="1">
        <v>46053</v>
      </c>
      <c r="X595" t="s">
        <v>77</v>
      </c>
      <c r="Y595" t="s">
        <v>646</v>
      </c>
      <c r="Z595" t="s">
        <v>6</v>
      </c>
      <c r="AA595" t="s">
        <v>646</v>
      </c>
      <c r="AB595" s="4">
        <f t="shared" si="47"/>
        <v>135333.33333333334</v>
      </c>
      <c r="AC595" s="6">
        <v>0.04</v>
      </c>
      <c r="AD595" s="4">
        <f t="shared" si="48"/>
        <v>5413.3333333333339</v>
      </c>
      <c r="AE595" s="4">
        <f t="shared" si="46"/>
        <v>1353.3333333333339</v>
      </c>
    </row>
    <row r="596" spans="1:31" x14ac:dyDescent="0.25">
      <c r="A596" t="s">
        <v>0</v>
      </c>
      <c r="B596" s="3" t="s">
        <v>2219</v>
      </c>
      <c r="C596" t="s">
        <v>1384</v>
      </c>
      <c r="D596" t="s">
        <v>160</v>
      </c>
      <c r="E596" t="s">
        <v>1422</v>
      </c>
      <c r="F596" s="1">
        <v>46060</v>
      </c>
      <c r="G596" s="1">
        <v>46063</v>
      </c>
      <c r="H596" t="s">
        <v>904</v>
      </c>
      <c r="I596" t="s">
        <v>5</v>
      </c>
      <c r="J596" t="s">
        <v>6</v>
      </c>
      <c r="K596" t="s">
        <v>4</v>
      </c>
      <c r="L596" t="s">
        <v>1423</v>
      </c>
      <c r="M596" t="s">
        <v>1423</v>
      </c>
      <c r="N596" s="2">
        <v>4984</v>
      </c>
      <c r="O596" t="s">
        <v>1386</v>
      </c>
      <c r="P596" t="s">
        <v>9</v>
      </c>
      <c r="Q596" t="s">
        <v>86</v>
      </c>
      <c r="R596" t="e">
        <f>VLOOKUP(Q596,#REF!,2,FALSE)</f>
        <v>#REF!</v>
      </c>
      <c r="S596">
        <v>1004</v>
      </c>
      <c r="T596" t="s">
        <v>2225</v>
      </c>
      <c r="U596" t="s">
        <v>1387</v>
      </c>
      <c r="V596" s="1">
        <v>46053</v>
      </c>
      <c r="W596" s="1">
        <v>46053</v>
      </c>
      <c r="X596" t="s">
        <v>77</v>
      </c>
      <c r="Y596" t="s">
        <v>646</v>
      </c>
      <c r="Z596" t="s">
        <v>6</v>
      </c>
      <c r="AA596" t="s">
        <v>646</v>
      </c>
      <c r="AB596" s="4">
        <f t="shared" si="47"/>
        <v>166133.33333333334</v>
      </c>
      <c r="AC596" s="6">
        <v>0.04</v>
      </c>
      <c r="AD596" s="4">
        <f t="shared" si="48"/>
        <v>6645.3333333333339</v>
      </c>
      <c r="AE596" s="4">
        <f t="shared" si="46"/>
        <v>1661.3333333333339</v>
      </c>
    </row>
    <row r="597" spans="1:31" x14ac:dyDescent="0.25">
      <c r="A597" t="s">
        <v>0</v>
      </c>
      <c r="B597" s="3" t="s">
        <v>2219</v>
      </c>
      <c r="C597" t="s">
        <v>1384</v>
      </c>
      <c r="D597" t="s">
        <v>160</v>
      </c>
      <c r="E597" t="s">
        <v>1424</v>
      </c>
      <c r="F597" s="1">
        <v>46060</v>
      </c>
      <c r="G597" s="1">
        <v>46063</v>
      </c>
      <c r="H597" t="s">
        <v>904</v>
      </c>
      <c r="I597" t="s">
        <v>5</v>
      </c>
      <c r="J597" t="s">
        <v>6</v>
      </c>
      <c r="K597" t="s">
        <v>4</v>
      </c>
      <c r="L597" t="s">
        <v>1425</v>
      </c>
      <c r="M597" t="s">
        <v>1425</v>
      </c>
      <c r="N597" s="2">
        <v>4334</v>
      </c>
      <c r="O597" t="s">
        <v>1386</v>
      </c>
      <c r="P597" t="s">
        <v>9</v>
      </c>
      <c r="Q597" t="s">
        <v>86</v>
      </c>
      <c r="R597" t="e">
        <f>VLOOKUP(Q597,#REF!,2,FALSE)</f>
        <v>#REF!</v>
      </c>
      <c r="S597">
        <v>1004</v>
      </c>
      <c r="T597" t="s">
        <v>2225</v>
      </c>
      <c r="U597" t="s">
        <v>1387</v>
      </c>
      <c r="V597" s="1">
        <v>46053</v>
      </c>
      <c r="W597" s="1">
        <v>46053</v>
      </c>
      <c r="X597" t="s">
        <v>77</v>
      </c>
      <c r="Y597" t="s">
        <v>646</v>
      </c>
      <c r="Z597" t="s">
        <v>6</v>
      </c>
      <c r="AA597" t="s">
        <v>646</v>
      </c>
      <c r="AB597" s="4">
        <f t="shared" si="47"/>
        <v>144466.66666666669</v>
      </c>
      <c r="AC597" s="6">
        <v>0.04</v>
      </c>
      <c r="AD597" s="4">
        <f t="shared" si="48"/>
        <v>5778.6666666666679</v>
      </c>
      <c r="AE597" s="4">
        <f t="shared" si="46"/>
        <v>1444.6666666666679</v>
      </c>
    </row>
    <row r="598" spans="1:31" x14ac:dyDescent="0.25">
      <c r="A598" t="s">
        <v>0</v>
      </c>
      <c r="B598" s="3" t="s">
        <v>2219</v>
      </c>
      <c r="C598" t="s">
        <v>1384</v>
      </c>
      <c r="D598" t="s">
        <v>160</v>
      </c>
      <c r="E598" t="s">
        <v>1426</v>
      </c>
      <c r="F598" s="1">
        <v>46060</v>
      </c>
      <c r="G598" s="1">
        <v>46063</v>
      </c>
      <c r="H598" t="s">
        <v>904</v>
      </c>
      <c r="I598" t="s">
        <v>5</v>
      </c>
      <c r="J598" t="s">
        <v>6</v>
      </c>
      <c r="K598" t="s">
        <v>4</v>
      </c>
      <c r="L598" t="s">
        <v>1427</v>
      </c>
      <c r="M598" t="s">
        <v>1427</v>
      </c>
      <c r="N598" s="2">
        <v>309</v>
      </c>
      <c r="O598" t="s">
        <v>1386</v>
      </c>
      <c r="P598" t="s">
        <v>9</v>
      </c>
      <c r="Q598" t="s">
        <v>86</v>
      </c>
      <c r="R598" t="e">
        <f>VLOOKUP(Q598,#REF!,2,FALSE)</f>
        <v>#REF!</v>
      </c>
      <c r="S598">
        <v>1004</v>
      </c>
      <c r="T598" t="s">
        <v>2225</v>
      </c>
      <c r="U598" t="s">
        <v>1387</v>
      </c>
      <c r="V598" s="1">
        <v>46053</v>
      </c>
      <c r="W598" s="1">
        <v>46053</v>
      </c>
      <c r="X598" t="s">
        <v>77</v>
      </c>
      <c r="Y598" t="s">
        <v>646</v>
      </c>
      <c r="Z598" t="s">
        <v>6</v>
      </c>
      <c r="AA598" t="s">
        <v>646</v>
      </c>
      <c r="AB598" s="4">
        <f t="shared" si="47"/>
        <v>10300</v>
      </c>
      <c r="AC598" s="6">
        <v>0.04</v>
      </c>
      <c r="AD598" s="4">
        <f t="shared" si="48"/>
        <v>412</v>
      </c>
      <c r="AE598" s="4">
        <f t="shared" si="46"/>
        <v>103</v>
      </c>
    </row>
    <row r="599" spans="1:31" x14ac:dyDescent="0.25">
      <c r="A599" t="s">
        <v>0</v>
      </c>
      <c r="B599" s="3" t="s">
        <v>2219</v>
      </c>
      <c r="C599" t="s">
        <v>1384</v>
      </c>
      <c r="D599" t="s">
        <v>160</v>
      </c>
      <c r="E599" t="s">
        <v>1428</v>
      </c>
      <c r="F599" s="1">
        <v>46060</v>
      </c>
      <c r="G599" s="1">
        <v>46063</v>
      </c>
      <c r="H599" t="s">
        <v>904</v>
      </c>
      <c r="I599" t="s">
        <v>5</v>
      </c>
      <c r="J599" t="s">
        <v>6</v>
      </c>
      <c r="K599" t="s">
        <v>4</v>
      </c>
      <c r="L599" t="s">
        <v>1429</v>
      </c>
      <c r="M599" t="s">
        <v>1429</v>
      </c>
      <c r="N599" s="2">
        <v>2844</v>
      </c>
      <c r="O599" t="s">
        <v>1386</v>
      </c>
      <c r="P599" t="s">
        <v>9</v>
      </c>
      <c r="Q599" t="s">
        <v>86</v>
      </c>
      <c r="R599" t="e">
        <f>VLOOKUP(Q599,#REF!,2,FALSE)</f>
        <v>#REF!</v>
      </c>
      <c r="S599">
        <v>1004</v>
      </c>
      <c r="T599" t="s">
        <v>2225</v>
      </c>
      <c r="U599" t="s">
        <v>1387</v>
      </c>
      <c r="V599" s="1">
        <v>46053</v>
      </c>
      <c r="W599" s="1">
        <v>46053</v>
      </c>
      <c r="X599" t="s">
        <v>77</v>
      </c>
      <c r="Y599" t="s">
        <v>646</v>
      </c>
      <c r="Z599" t="s">
        <v>6</v>
      </c>
      <c r="AA599" t="s">
        <v>646</v>
      </c>
      <c r="AB599" s="4">
        <f t="shared" si="47"/>
        <v>94800</v>
      </c>
      <c r="AC599" s="6">
        <v>0.04</v>
      </c>
      <c r="AD599" s="4">
        <f t="shared" si="48"/>
        <v>3792</v>
      </c>
      <c r="AE599" s="4">
        <f t="shared" si="46"/>
        <v>948</v>
      </c>
    </row>
    <row r="600" spans="1:31" x14ac:dyDescent="0.25">
      <c r="A600" t="s">
        <v>0</v>
      </c>
      <c r="B600" s="3" t="s">
        <v>2219</v>
      </c>
      <c r="C600" t="s">
        <v>1384</v>
      </c>
      <c r="D600" t="s">
        <v>160</v>
      </c>
      <c r="E600" t="s">
        <v>1430</v>
      </c>
      <c r="F600" s="1">
        <v>46060</v>
      </c>
      <c r="G600" s="1">
        <v>46063</v>
      </c>
      <c r="H600" t="s">
        <v>904</v>
      </c>
      <c r="I600" t="s">
        <v>5</v>
      </c>
      <c r="J600" t="s">
        <v>6</v>
      </c>
      <c r="K600" t="s">
        <v>4</v>
      </c>
      <c r="L600" t="s">
        <v>1431</v>
      </c>
      <c r="M600" t="s">
        <v>1431</v>
      </c>
      <c r="N600" s="2">
        <v>3454</v>
      </c>
      <c r="O600" t="s">
        <v>1386</v>
      </c>
      <c r="P600" t="s">
        <v>9</v>
      </c>
      <c r="Q600" t="s">
        <v>86</v>
      </c>
      <c r="R600" t="e">
        <f>VLOOKUP(Q600,#REF!,2,FALSE)</f>
        <v>#REF!</v>
      </c>
      <c r="S600">
        <v>1004</v>
      </c>
      <c r="T600" t="s">
        <v>2225</v>
      </c>
      <c r="U600" t="s">
        <v>1387</v>
      </c>
      <c r="V600" s="1">
        <v>46053</v>
      </c>
      <c r="W600" s="1">
        <v>46053</v>
      </c>
      <c r="X600" t="s">
        <v>77</v>
      </c>
      <c r="Y600" t="s">
        <v>646</v>
      </c>
      <c r="Z600" t="s">
        <v>6</v>
      </c>
      <c r="AA600" t="s">
        <v>646</v>
      </c>
      <c r="AB600" s="4">
        <f t="shared" si="47"/>
        <v>115133.33333333334</v>
      </c>
      <c r="AC600" s="6">
        <v>0.04</v>
      </c>
      <c r="AD600" s="4">
        <f t="shared" si="48"/>
        <v>4605.3333333333339</v>
      </c>
      <c r="AE600" s="4">
        <f t="shared" si="46"/>
        <v>1151.3333333333339</v>
      </c>
    </row>
    <row r="601" spans="1:31" x14ac:dyDescent="0.25">
      <c r="A601" t="s">
        <v>0</v>
      </c>
      <c r="B601" s="3" t="s">
        <v>2219</v>
      </c>
      <c r="C601" t="s">
        <v>1384</v>
      </c>
      <c r="D601" t="s">
        <v>160</v>
      </c>
      <c r="E601" t="s">
        <v>1432</v>
      </c>
      <c r="F601" s="1">
        <v>46060</v>
      </c>
      <c r="G601" s="1">
        <v>46063</v>
      </c>
      <c r="H601" t="s">
        <v>904</v>
      </c>
      <c r="I601" t="s">
        <v>5</v>
      </c>
      <c r="J601" t="s">
        <v>6</v>
      </c>
      <c r="K601" t="s">
        <v>4</v>
      </c>
      <c r="L601" t="s">
        <v>1433</v>
      </c>
      <c r="M601" t="s">
        <v>1433</v>
      </c>
      <c r="N601" s="2">
        <v>378</v>
      </c>
      <c r="O601" t="s">
        <v>1386</v>
      </c>
      <c r="P601" t="s">
        <v>9</v>
      </c>
      <c r="Q601" t="s">
        <v>86</v>
      </c>
      <c r="R601" t="e">
        <f>VLOOKUP(Q601,#REF!,2,FALSE)</f>
        <v>#REF!</v>
      </c>
      <c r="S601">
        <v>1004</v>
      </c>
      <c r="T601" t="s">
        <v>2225</v>
      </c>
      <c r="U601" t="s">
        <v>1387</v>
      </c>
      <c r="V601" s="1">
        <v>46053</v>
      </c>
      <c r="W601" s="1">
        <v>46053</v>
      </c>
      <c r="X601" t="s">
        <v>77</v>
      </c>
      <c r="Y601" t="s">
        <v>646</v>
      </c>
      <c r="Z601" t="s">
        <v>6</v>
      </c>
      <c r="AA601" t="s">
        <v>646</v>
      </c>
      <c r="AB601" s="4">
        <f t="shared" si="47"/>
        <v>12600</v>
      </c>
      <c r="AC601" s="6">
        <v>0.04</v>
      </c>
      <c r="AD601" s="4">
        <f t="shared" si="48"/>
        <v>504</v>
      </c>
      <c r="AE601" s="4">
        <f t="shared" si="46"/>
        <v>126</v>
      </c>
    </row>
    <row r="602" spans="1:31" x14ac:dyDescent="0.25">
      <c r="A602" t="s">
        <v>0</v>
      </c>
      <c r="B602" s="3" t="s">
        <v>2219</v>
      </c>
      <c r="C602" t="s">
        <v>1384</v>
      </c>
      <c r="D602" t="s">
        <v>160</v>
      </c>
      <c r="E602" t="s">
        <v>1434</v>
      </c>
      <c r="F602" s="1">
        <v>46060</v>
      </c>
      <c r="G602" s="1">
        <v>46063</v>
      </c>
      <c r="H602" t="s">
        <v>904</v>
      </c>
      <c r="I602" t="s">
        <v>5</v>
      </c>
      <c r="J602" t="s">
        <v>6</v>
      </c>
      <c r="K602" t="s">
        <v>4</v>
      </c>
      <c r="L602" t="s">
        <v>1435</v>
      </c>
      <c r="M602" t="s">
        <v>1435</v>
      </c>
      <c r="N602" s="2">
        <v>3138</v>
      </c>
      <c r="O602" t="s">
        <v>1386</v>
      </c>
      <c r="P602" t="s">
        <v>9</v>
      </c>
      <c r="Q602" t="s">
        <v>86</v>
      </c>
      <c r="R602" t="e">
        <f>VLOOKUP(Q602,#REF!,2,FALSE)</f>
        <v>#REF!</v>
      </c>
      <c r="S602">
        <v>1004</v>
      </c>
      <c r="T602" t="s">
        <v>2225</v>
      </c>
      <c r="U602" t="s">
        <v>1387</v>
      </c>
      <c r="V602" s="1">
        <v>46053</v>
      </c>
      <c r="W602" s="1">
        <v>46053</v>
      </c>
      <c r="X602" t="s">
        <v>77</v>
      </c>
      <c r="Y602" t="s">
        <v>646</v>
      </c>
      <c r="Z602" t="s">
        <v>6</v>
      </c>
      <c r="AA602" t="s">
        <v>646</v>
      </c>
      <c r="AB602" s="4">
        <f t="shared" si="47"/>
        <v>104600</v>
      </c>
      <c r="AC602" s="6">
        <v>0.04</v>
      </c>
      <c r="AD602" s="4">
        <f t="shared" si="48"/>
        <v>4184</v>
      </c>
      <c r="AE602" s="4">
        <f t="shared" si="46"/>
        <v>1046</v>
      </c>
    </row>
    <row r="603" spans="1:31" x14ac:dyDescent="0.25">
      <c r="A603" t="s">
        <v>0</v>
      </c>
      <c r="B603" s="3" t="s">
        <v>2219</v>
      </c>
      <c r="C603" t="s">
        <v>1384</v>
      </c>
      <c r="D603" t="s">
        <v>160</v>
      </c>
      <c r="E603" t="s">
        <v>1436</v>
      </c>
      <c r="F603" s="1">
        <v>46060</v>
      </c>
      <c r="G603" s="1">
        <v>46063</v>
      </c>
      <c r="H603" t="s">
        <v>904</v>
      </c>
      <c r="I603" t="s">
        <v>5</v>
      </c>
      <c r="J603" t="s">
        <v>6</v>
      </c>
      <c r="K603" t="s">
        <v>4</v>
      </c>
      <c r="L603" t="s">
        <v>1437</v>
      </c>
      <c r="M603" t="s">
        <v>1437</v>
      </c>
      <c r="N603" s="2">
        <v>5135</v>
      </c>
      <c r="O603" t="s">
        <v>1386</v>
      </c>
      <c r="P603" t="s">
        <v>9</v>
      </c>
      <c r="Q603" t="s">
        <v>86</v>
      </c>
      <c r="R603" t="e">
        <f>VLOOKUP(Q603,#REF!,2,FALSE)</f>
        <v>#REF!</v>
      </c>
      <c r="S603">
        <v>1004</v>
      </c>
      <c r="T603" t="s">
        <v>2225</v>
      </c>
      <c r="U603" t="s">
        <v>1387</v>
      </c>
      <c r="V603" s="1">
        <v>46053</v>
      </c>
      <c r="W603" s="1">
        <v>46053</v>
      </c>
      <c r="X603" t="s">
        <v>77</v>
      </c>
      <c r="Y603" t="s">
        <v>646</v>
      </c>
      <c r="Z603" t="s">
        <v>6</v>
      </c>
      <c r="AA603" t="s">
        <v>646</v>
      </c>
      <c r="AB603" s="4">
        <f t="shared" si="47"/>
        <v>171166.66666666669</v>
      </c>
      <c r="AC603" s="6">
        <v>0.04</v>
      </c>
      <c r="AD603" s="4">
        <f t="shared" si="48"/>
        <v>6846.6666666666679</v>
      </c>
      <c r="AE603" s="4">
        <f t="shared" si="46"/>
        <v>1711.6666666666679</v>
      </c>
    </row>
    <row r="604" spans="1:31" x14ac:dyDescent="0.25">
      <c r="A604" t="s">
        <v>0</v>
      </c>
      <c r="B604" s="3" t="s">
        <v>2219</v>
      </c>
      <c r="C604" t="s">
        <v>1384</v>
      </c>
      <c r="D604" t="s">
        <v>160</v>
      </c>
      <c r="E604" t="s">
        <v>1438</v>
      </c>
      <c r="F604" s="1">
        <v>46060</v>
      </c>
      <c r="G604" s="1">
        <v>46063</v>
      </c>
      <c r="H604" t="s">
        <v>904</v>
      </c>
      <c r="I604" t="s">
        <v>5</v>
      </c>
      <c r="J604" t="s">
        <v>6</v>
      </c>
      <c r="K604" t="s">
        <v>4</v>
      </c>
      <c r="L604" t="s">
        <v>1439</v>
      </c>
      <c r="M604" t="s">
        <v>1439</v>
      </c>
      <c r="N604" s="2">
        <v>1148</v>
      </c>
      <c r="O604" t="s">
        <v>1386</v>
      </c>
      <c r="P604" t="s">
        <v>9</v>
      </c>
      <c r="Q604" t="s">
        <v>86</v>
      </c>
      <c r="R604" t="e">
        <f>VLOOKUP(Q604,#REF!,2,FALSE)</f>
        <v>#REF!</v>
      </c>
      <c r="S604">
        <v>1004</v>
      </c>
      <c r="T604" t="s">
        <v>2225</v>
      </c>
      <c r="U604" t="s">
        <v>1387</v>
      </c>
      <c r="V604" s="1">
        <v>46053</v>
      </c>
      <c r="W604" s="1">
        <v>46053</v>
      </c>
      <c r="X604" t="s">
        <v>77</v>
      </c>
      <c r="Y604" t="s">
        <v>646</v>
      </c>
      <c r="Z604" t="s">
        <v>6</v>
      </c>
      <c r="AA604" t="s">
        <v>646</v>
      </c>
      <c r="AB604" s="4">
        <f t="shared" si="47"/>
        <v>38266.666666666672</v>
      </c>
      <c r="AC604" s="6">
        <v>0.04</v>
      </c>
      <c r="AD604" s="4">
        <f t="shared" si="48"/>
        <v>1530.666666666667</v>
      </c>
      <c r="AE604" s="4">
        <f t="shared" si="46"/>
        <v>382.66666666666697</v>
      </c>
    </row>
    <row r="605" spans="1:31" x14ac:dyDescent="0.25">
      <c r="A605" t="s">
        <v>0</v>
      </c>
      <c r="B605" s="3" t="s">
        <v>2219</v>
      </c>
      <c r="C605" t="s">
        <v>1384</v>
      </c>
      <c r="D605" t="s">
        <v>160</v>
      </c>
      <c r="E605" t="s">
        <v>1440</v>
      </c>
      <c r="F605" s="1">
        <v>46060</v>
      </c>
      <c r="G605" s="1">
        <v>46063</v>
      </c>
      <c r="H605" t="s">
        <v>904</v>
      </c>
      <c r="I605" t="s">
        <v>5</v>
      </c>
      <c r="J605" t="s">
        <v>6</v>
      </c>
      <c r="K605" t="s">
        <v>4</v>
      </c>
      <c r="L605" t="s">
        <v>1441</v>
      </c>
      <c r="M605" t="s">
        <v>1441</v>
      </c>
      <c r="N605" s="2">
        <v>1970</v>
      </c>
      <c r="O605" t="s">
        <v>1386</v>
      </c>
      <c r="P605" t="s">
        <v>9</v>
      </c>
      <c r="Q605" t="s">
        <v>86</v>
      </c>
      <c r="R605" t="e">
        <f>VLOOKUP(Q605,#REF!,2,FALSE)</f>
        <v>#REF!</v>
      </c>
      <c r="S605">
        <v>1004</v>
      </c>
      <c r="T605" t="s">
        <v>2225</v>
      </c>
      <c r="U605" t="s">
        <v>1387</v>
      </c>
      <c r="V605" s="1">
        <v>46053</v>
      </c>
      <c r="W605" s="1">
        <v>46053</v>
      </c>
      <c r="X605" t="s">
        <v>77</v>
      </c>
      <c r="Y605" t="s">
        <v>646</v>
      </c>
      <c r="Z605" t="s">
        <v>6</v>
      </c>
      <c r="AA605" t="s">
        <v>646</v>
      </c>
      <c r="AB605" s="4">
        <f t="shared" si="47"/>
        <v>65666.666666666672</v>
      </c>
      <c r="AC605" s="6">
        <v>0.04</v>
      </c>
      <c r="AD605" s="4">
        <f t="shared" si="48"/>
        <v>2626.666666666667</v>
      </c>
      <c r="AE605" s="4">
        <f t="shared" si="46"/>
        <v>656.66666666666697</v>
      </c>
    </row>
    <row r="606" spans="1:31" x14ac:dyDescent="0.25">
      <c r="A606" t="s">
        <v>0</v>
      </c>
      <c r="B606" s="3" t="s">
        <v>2219</v>
      </c>
      <c r="C606" t="s">
        <v>1384</v>
      </c>
      <c r="D606" t="s">
        <v>160</v>
      </c>
      <c r="E606" t="s">
        <v>1258</v>
      </c>
      <c r="F606" s="1">
        <v>46060</v>
      </c>
      <c r="G606" s="1">
        <v>46063</v>
      </c>
      <c r="H606" t="s">
        <v>904</v>
      </c>
      <c r="I606" t="s">
        <v>5</v>
      </c>
      <c r="J606" t="s">
        <v>6</v>
      </c>
      <c r="K606" t="s">
        <v>4</v>
      </c>
      <c r="L606" t="s">
        <v>1442</v>
      </c>
      <c r="M606" t="s">
        <v>1442</v>
      </c>
      <c r="N606" s="2">
        <v>3856</v>
      </c>
      <c r="O606" t="s">
        <v>1386</v>
      </c>
      <c r="P606" t="s">
        <v>9</v>
      </c>
      <c r="Q606" t="s">
        <v>86</v>
      </c>
      <c r="R606" t="e">
        <f>VLOOKUP(Q606,#REF!,2,FALSE)</f>
        <v>#REF!</v>
      </c>
      <c r="S606">
        <v>1004</v>
      </c>
      <c r="T606" t="s">
        <v>2225</v>
      </c>
      <c r="U606" t="s">
        <v>1387</v>
      </c>
      <c r="V606" s="1">
        <v>46053</v>
      </c>
      <c r="W606" s="1">
        <v>46053</v>
      </c>
      <c r="X606" t="s">
        <v>77</v>
      </c>
      <c r="Y606" t="s">
        <v>646</v>
      </c>
      <c r="Z606" t="s">
        <v>6</v>
      </c>
      <c r="AA606" t="s">
        <v>646</v>
      </c>
      <c r="AB606" s="4">
        <f t="shared" si="47"/>
        <v>128533.33333333334</v>
      </c>
      <c r="AC606" s="6">
        <v>0.04</v>
      </c>
      <c r="AD606" s="4">
        <f t="shared" si="48"/>
        <v>5141.3333333333339</v>
      </c>
      <c r="AE606" s="4">
        <f t="shared" si="46"/>
        <v>1285.3333333333339</v>
      </c>
    </row>
    <row r="607" spans="1:31" x14ac:dyDescent="0.25">
      <c r="A607" t="s">
        <v>0</v>
      </c>
      <c r="B607" s="3" t="s">
        <v>2219</v>
      </c>
      <c r="C607" t="s">
        <v>1384</v>
      </c>
      <c r="D607" t="s">
        <v>160</v>
      </c>
      <c r="E607" t="s">
        <v>1262</v>
      </c>
      <c r="F607" s="1">
        <v>46060</v>
      </c>
      <c r="G607" s="1">
        <v>46063</v>
      </c>
      <c r="H607" t="s">
        <v>904</v>
      </c>
      <c r="I607" t="s">
        <v>5</v>
      </c>
      <c r="J607" t="s">
        <v>6</v>
      </c>
      <c r="K607" t="s">
        <v>4</v>
      </c>
      <c r="L607" t="s">
        <v>1443</v>
      </c>
      <c r="M607" t="s">
        <v>1443</v>
      </c>
      <c r="N607" s="2">
        <v>1775</v>
      </c>
      <c r="O607" t="s">
        <v>1386</v>
      </c>
      <c r="P607" t="s">
        <v>9</v>
      </c>
      <c r="Q607" t="s">
        <v>86</v>
      </c>
      <c r="R607" t="e">
        <f>VLOOKUP(Q607,#REF!,2,FALSE)</f>
        <v>#REF!</v>
      </c>
      <c r="S607">
        <v>1004</v>
      </c>
      <c r="T607" t="s">
        <v>2225</v>
      </c>
      <c r="U607" t="s">
        <v>1387</v>
      </c>
      <c r="V607" s="1">
        <v>46053</v>
      </c>
      <c r="W607" s="1">
        <v>46053</v>
      </c>
      <c r="X607" t="s">
        <v>77</v>
      </c>
      <c r="Y607" t="s">
        <v>646</v>
      </c>
      <c r="Z607" t="s">
        <v>6</v>
      </c>
      <c r="AA607" t="s">
        <v>646</v>
      </c>
      <c r="AB607" s="4">
        <f t="shared" si="47"/>
        <v>59166.666666666672</v>
      </c>
      <c r="AC607" s="6">
        <v>0.04</v>
      </c>
      <c r="AD607" s="4">
        <f t="shared" si="48"/>
        <v>2366.666666666667</v>
      </c>
      <c r="AE607" s="4">
        <f t="shared" si="46"/>
        <v>591.66666666666697</v>
      </c>
    </row>
    <row r="608" spans="1:31" x14ac:dyDescent="0.25">
      <c r="A608" t="s">
        <v>0</v>
      </c>
      <c r="B608" s="3" t="s">
        <v>2219</v>
      </c>
      <c r="C608" t="s">
        <v>1384</v>
      </c>
      <c r="D608" t="s">
        <v>160</v>
      </c>
      <c r="E608" t="s">
        <v>1264</v>
      </c>
      <c r="F608" s="1">
        <v>46060</v>
      </c>
      <c r="G608" s="1">
        <v>46063</v>
      </c>
      <c r="H608" t="s">
        <v>904</v>
      </c>
      <c r="I608" t="s">
        <v>5</v>
      </c>
      <c r="J608" t="s">
        <v>6</v>
      </c>
      <c r="K608" t="s">
        <v>4</v>
      </c>
      <c r="L608" t="s">
        <v>1444</v>
      </c>
      <c r="M608" t="s">
        <v>1444</v>
      </c>
      <c r="N608" s="2">
        <v>1714</v>
      </c>
      <c r="O608" t="s">
        <v>1386</v>
      </c>
      <c r="P608" t="s">
        <v>9</v>
      </c>
      <c r="Q608" t="s">
        <v>86</v>
      </c>
      <c r="R608" t="e">
        <f>VLOOKUP(Q608,#REF!,2,FALSE)</f>
        <v>#REF!</v>
      </c>
      <c r="S608">
        <v>1004</v>
      </c>
      <c r="T608" t="s">
        <v>2225</v>
      </c>
      <c r="U608" t="s">
        <v>1387</v>
      </c>
      <c r="V608" s="1">
        <v>46053</v>
      </c>
      <c r="W608" s="1">
        <v>46053</v>
      </c>
      <c r="X608" t="s">
        <v>77</v>
      </c>
      <c r="Y608" t="s">
        <v>646</v>
      </c>
      <c r="Z608" t="s">
        <v>6</v>
      </c>
      <c r="AA608" t="s">
        <v>646</v>
      </c>
      <c r="AB608" s="4">
        <f t="shared" si="47"/>
        <v>57133.333333333336</v>
      </c>
      <c r="AC608" s="6">
        <v>0.04</v>
      </c>
      <c r="AD608" s="4">
        <f t="shared" si="48"/>
        <v>2285.3333333333335</v>
      </c>
      <c r="AE608" s="4">
        <f t="shared" si="46"/>
        <v>571.33333333333348</v>
      </c>
    </row>
    <row r="609" spans="1:31" x14ac:dyDescent="0.25">
      <c r="A609" t="s">
        <v>0</v>
      </c>
      <c r="B609" s="3" t="s">
        <v>2219</v>
      </c>
      <c r="C609" t="s">
        <v>1384</v>
      </c>
      <c r="D609" t="s">
        <v>160</v>
      </c>
      <c r="E609" t="s">
        <v>1266</v>
      </c>
      <c r="F609" s="1">
        <v>46060</v>
      </c>
      <c r="G609" s="1">
        <v>46063</v>
      </c>
      <c r="H609" t="s">
        <v>904</v>
      </c>
      <c r="I609" t="s">
        <v>5</v>
      </c>
      <c r="J609" t="s">
        <v>6</v>
      </c>
      <c r="K609" t="s">
        <v>4</v>
      </c>
      <c r="L609" t="s">
        <v>1445</v>
      </c>
      <c r="M609" t="s">
        <v>1445</v>
      </c>
      <c r="N609" s="2">
        <v>3977</v>
      </c>
      <c r="O609" t="s">
        <v>1386</v>
      </c>
      <c r="P609" t="s">
        <v>9</v>
      </c>
      <c r="Q609" t="s">
        <v>86</v>
      </c>
      <c r="R609" t="e">
        <f>VLOOKUP(Q609,#REF!,2,FALSE)</f>
        <v>#REF!</v>
      </c>
      <c r="S609">
        <v>1004</v>
      </c>
      <c r="T609" t="s">
        <v>2225</v>
      </c>
      <c r="U609" t="s">
        <v>1387</v>
      </c>
      <c r="V609" s="1">
        <v>46053</v>
      </c>
      <c r="W609" s="1">
        <v>46053</v>
      </c>
      <c r="X609" t="s">
        <v>77</v>
      </c>
      <c r="Y609" t="s">
        <v>646</v>
      </c>
      <c r="Z609" t="s">
        <v>6</v>
      </c>
      <c r="AA609" t="s">
        <v>646</v>
      </c>
      <c r="AB609" s="4">
        <f t="shared" si="47"/>
        <v>132566.66666666669</v>
      </c>
      <c r="AC609" s="6">
        <v>0.04</v>
      </c>
      <c r="AD609" s="4">
        <f t="shared" si="48"/>
        <v>5302.6666666666679</v>
      </c>
      <c r="AE609" s="4">
        <f t="shared" si="46"/>
        <v>1325.6666666666679</v>
      </c>
    </row>
    <row r="610" spans="1:31" x14ac:dyDescent="0.25">
      <c r="A610" t="s">
        <v>0</v>
      </c>
      <c r="B610" s="3" t="s">
        <v>2219</v>
      </c>
      <c r="C610" t="s">
        <v>1384</v>
      </c>
      <c r="D610" t="s">
        <v>160</v>
      </c>
      <c r="E610" t="s">
        <v>1268</v>
      </c>
      <c r="F610" s="1">
        <v>46060</v>
      </c>
      <c r="G610" s="1">
        <v>46063</v>
      </c>
      <c r="H610" t="s">
        <v>904</v>
      </c>
      <c r="I610" t="s">
        <v>5</v>
      </c>
      <c r="J610" t="s">
        <v>6</v>
      </c>
      <c r="K610" t="s">
        <v>4</v>
      </c>
      <c r="L610" t="s">
        <v>1446</v>
      </c>
      <c r="M610" t="s">
        <v>1446</v>
      </c>
      <c r="N610" s="2">
        <v>6351</v>
      </c>
      <c r="O610" t="s">
        <v>1386</v>
      </c>
      <c r="P610" t="s">
        <v>9</v>
      </c>
      <c r="Q610" t="s">
        <v>86</v>
      </c>
      <c r="R610" t="e">
        <f>VLOOKUP(Q610,#REF!,2,FALSE)</f>
        <v>#REF!</v>
      </c>
      <c r="S610">
        <v>1004</v>
      </c>
      <c r="T610" t="s">
        <v>2225</v>
      </c>
      <c r="U610" t="s">
        <v>1387</v>
      </c>
      <c r="V610" s="1">
        <v>46053</v>
      </c>
      <c r="W610" s="1">
        <v>46053</v>
      </c>
      <c r="X610" t="s">
        <v>77</v>
      </c>
      <c r="Y610" t="s">
        <v>646</v>
      </c>
      <c r="Z610" t="s">
        <v>6</v>
      </c>
      <c r="AA610" t="s">
        <v>646</v>
      </c>
      <c r="AB610" s="4">
        <f t="shared" si="47"/>
        <v>211700</v>
      </c>
      <c r="AC610" s="6">
        <v>0.04</v>
      </c>
      <c r="AD610" s="4">
        <f t="shared" si="48"/>
        <v>8468</v>
      </c>
      <c r="AE610" s="4">
        <f t="shared" si="46"/>
        <v>2117</v>
      </c>
    </row>
    <row r="611" spans="1:31" x14ac:dyDescent="0.25">
      <c r="A611" t="s">
        <v>0</v>
      </c>
      <c r="B611" s="3" t="s">
        <v>2219</v>
      </c>
      <c r="C611" t="s">
        <v>1384</v>
      </c>
      <c r="D611" t="s">
        <v>160</v>
      </c>
      <c r="E611" t="s">
        <v>1270</v>
      </c>
      <c r="F611" s="1">
        <v>46060</v>
      </c>
      <c r="G611" s="1">
        <v>46063</v>
      </c>
      <c r="H611" t="s">
        <v>904</v>
      </c>
      <c r="I611" t="s">
        <v>5</v>
      </c>
      <c r="J611" t="s">
        <v>6</v>
      </c>
      <c r="K611" t="s">
        <v>4</v>
      </c>
      <c r="L611" t="s">
        <v>1447</v>
      </c>
      <c r="M611" t="s">
        <v>1447</v>
      </c>
      <c r="N611" s="2">
        <v>4239</v>
      </c>
      <c r="O611" t="s">
        <v>1386</v>
      </c>
      <c r="P611" t="s">
        <v>9</v>
      </c>
      <c r="Q611" t="s">
        <v>86</v>
      </c>
      <c r="R611" t="e">
        <f>VLOOKUP(Q611,#REF!,2,FALSE)</f>
        <v>#REF!</v>
      </c>
      <c r="S611">
        <v>1004</v>
      </c>
      <c r="T611" t="s">
        <v>2225</v>
      </c>
      <c r="U611" t="s">
        <v>1387</v>
      </c>
      <c r="V611" s="1">
        <v>46053</v>
      </c>
      <c r="W611" s="1">
        <v>46053</v>
      </c>
      <c r="X611" t="s">
        <v>77</v>
      </c>
      <c r="Y611" t="s">
        <v>646</v>
      </c>
      <c r="Z611" t="s">
        <v>6</v>
      </c>
      <c r="AA611" t="s">
        <v>646</v>
      </c>
      <c r="AB611" s="4">
        <f t="shared" si="47"/>
        <v>141300</v>
      </c>
      <c r="AC611" s="6">
        <v>0.04</v>
      </c>
      <c r="AD611" s="4">
        <f t="shared" si="48"/>
        <v>5652</v>
      </c>
      <c r="AE611" s="4">
        <f t="shared" si="46"/>
        <v>1413</v>
      </c>
    </row>
    <row r="612" spans="1:31" x14ac:dyDescent="0.25">
      <c r="A612" t="s">
        <v>0</v>
      </c>
      <c r="B612" s="3" t="s">
        <v>2219</v>
      </c>
      <c r="C612" t="s">
        <v>1384</v>
      </c>
      <c r="D612" t="s">
        <v>160</v>
      </c>
      <c r="E612" t="s">
        <v>1272</v>
      </c>
      <c r="F612" s="1">
        <v>46060</v>
      </c>
      <c r="G612" s="1">
        <v>46063</v>
      </c>
      <c r="H612" t="s">
        <v>904</v>
      </c>
      <c r="I612" t="s">
        <v>5</v>
      </c>
      <c r="J612" t="s">
        <v>6</v>
      </c>
      <c r="K612" t="s">
        <v>4</v>
      </c>
      <c r="L612" t="s">
        <v>1448</v>
      </c>
      <c r="M612" t="s">
        <v>1448</v>
      </c>
      <c r="N612" s="2">
        <v>1301</v>
      </c>
      <c r="O612" t="s">
        <v>1386</v>
      </c>
      <c r="P612" t="s">
        <v>9</v>
      </c>
      <c r="Q612" t="s">
        <v>86</v>
      </c>
      <c r="R612" t="e">
        <f>VLOOKUP(Q612,#REF!,2,FALSE)</f>
        <v>#REF!</v>
      </c>
      <c r="S612">
        <v>1004</v>
      </c>
      <c r="T612" t="s">
        <v>2225</v>
      </c>
      <c r="U612" t="s">
        <v>1387</v>
      </c>
      <c r="V612" s="1">
        <v>46053</v>
      </c>
      <c r="W612" s="1">
        <v>46053</v>
      </c>
      <c r="X612" t="s">
        <v>77</v>
      </c>
      <c r="Y612" t="s">
        <v>646</v>
      </c>
      <c r="Z612" t="s">
        <v>6</v>
      </c>
      <c r="AA612" t="s">
        <v>646</v>
      </c>
      <c r="AB612" s="4">
        <f t="shared" si="47"/>
        <v>43366.666666666672</v>
      </c>
      <c r="AC612" s="6">
        <v>0.04</v>
      </c>
      <c r="AD612" s="4">
        <f t="shared" si="48"/>
        <v>1734.666666666667</v>
      </c>
      <c r="AE612" s="4">
        <f t="shared" si="46"/>
        <v>433.66666666666697</v>
      </c>
    </row>
    <row r="613" spans="1:31" x14ac:dyDescent="0.25">
      <c r="A613" t="s">
        <v>0</v>
      </c>
      <c r="B613" s="3" t="s">
        <v>2219</v>
      </c>
      <c r="C613" t="s">
        <v>1384</v>
      </c>
      <c r="D613" t="s">
        <v>160</v>
      </c>
      <c r="E613" t="s">
        <v>1274</v>
      </c>
      <c r="F613" s="1">
        <v>46060</v>
      </c>
      <c r="G613" s="1">
        <v>46063</v>
      </c>
      <c r="H613" t="s">
        <v>904</v>
      </c>
      <c r="I613" t="s">
        <v>5</v>
      </c>
      <c r="J613" t="s">
        <v>6</v>
      </c>
      <c r="K613" t="s">
        <v>4</v>
      </c>
      <c r="L613" t="s">
        <v>1449</v>
      </c>
      <c r="M613" t="s">
        <v>1449</v>
      </c>
      <c r="N613" s="2">
        <v>4555</v>
      </c>
      <c r="O613" t="s">
        <v>1386</v>
      </c>
      <c r="P613" t="s">
        <v>9</v>
      </c>
      <c r="Q613" t="s">
        <v>86</v>
      </c>
      <c r="R613" t="e">
        <f>VLOOKUP(Q613,#REF!,2,FALSE)</f>
        <v>#REF!</v>
      </c>
      <c r="S613">
        <v>1004</v>
      </c>
      <c r="T613" t="s">
        <v>2225</v>
      </c>
      <c r="U613" t="s">
        <v>1387</v>
      </c>
      <c r="V613" s="1">
        <v>46053</v>
      </c>
      <c r="W613" s="1">
        <v>46053</v>
      </c>
      <c r="X613" t="s">
        <v>77</v>
      </c>
      <c r="Y613" t="s">
        <v>646</v>
      </c>
      <c r="Z613" t="s">
        <v>6</v>
      </c>
      <c r="AA613" t="s">
        <v>646</v>
      </c>
      <c r="AB613" s="4">
        <f t="shared" si="47"/>
        <v>151833.33333333334</v>
      </c>
      <c r="AC613" s="6">
        <v>0.04</v>
      </c>
      <c r="AD613" s="4">
        <f t="shared" si="48"/>
        <v>6073.3333333333339</v>
      </c>
      <c r="AE613" s="4">
        <f t="shared" si="46"/>
        <v>1518.3333333333339</v>
      </c>
    </row>
    <row r="614" spans="1:31" x14ac:dyDescent="0.25">
      <c r="A614" t="s">
        <v>0</v>
      </c>
      <c r="B614" s="3" t="s">
        <v>2219</v>
      </c>
      <c r="C614" t="s">
        <v>1384</v>
      </c>
      <c r="D614" t="s">
        <v>160</v>
      </c>
      <c r="E614" t="s">
        <v>1276</v>
      </c>
      <c r="F614" s="1">
        <v>46060</v>
      </c>
      <c r="G614" s="1">
        <v>46063</v>
      </c>
      <c r="H614" t="s">
        <v>904</v>
      </c>
      <c r="I614" t="s">
        <v>5</v>
      </c>
      <c r="J614" t="s">
        <v>6</v>
      </c>
      <c r="K614" t="s">
        <v>4</v>
      </c>
      <c r="L614" t="s">
        <v>1450</v>
      </c>
      <c r="M614" t="s">
        <v>1450</v>
      </c>
      <c r="N614" s="2">
        <v>3967</v>
      </c>
      <c r="O614" t="s">
        <v>1386</v>
      </c>
      <c r="P614" t="s">
        <v>9</v>
      </c>
      <c r="Q614" t="s">
        <v>86</v>
      </c>
      <c r="R614" t="e">
        <f>VLOOKUP(Q614,#REF!,2,FALSE)</f>
        <v>#REF!</v>
      </c>
      <c r="S614">
        <v>1004</v>
      </c>
      <c r="T614" t="s">
        <v>2225</v>
      </c>
      <c r="U614" t="s">
        <v>1387</v>
      </c>
      <c r="V614" s="1">
        <v>46053</v>
      </c>
      <c r="W614" s="1">
        <v>46053</v>
      </c>
      <c r="X614" t="s">
        <v>77</v>
      </c>
      <c r="Y614" t="s">
        <v>646</v>
      </c>
      <c r="Z614" t="s">
        <v>6</v>
      </c>
      <c r="AA614" t="s">
        <v>646</v>
      </c>
      <c r="AB614" s="4">
        <f t="shared" si="47"/>
        <v>132233.33333333334</v>
      </c>
      <c r="AC614" s="6">
        <v>0.04</v>
      </c>
      <c r="AD614" s="4">
        <f t="shared" si="48"/>
        <v>5289.3333333333339</v>
      </c>
      <c r="AE614" s="4">
        <f t="shared" si="46"/>
        <v>1322.3333333333339</v>
      </c>
    </row>
    <row r="615" spans="1:31" x14ac:dyDescent="0.25">
      <c r="A615" t="s">
        <v>0</v>
      </c>
      <c r="B615" s="3" t="s">
        <v>2219</v>
      </c>
      <c r="C615" t="s">
        <v>1384</v>
      </c>
      <c r="D615" t="s">
        <v>160</v>
      </c>
      <c r="E615" t="s">
        <v>1278</v>
      </c>
      <c r="F615" s="1">
        <v>46060</v>
      </c>
      <c r="G615" s="1">
        <v>46063</v>
      </c>
      <c r="H615" t="s">
        <v>904</v>
      </c>
      <c r="I615" t="s">
        <v>5</v>
      </c>
      <c r="J615" t="s">
        <v>6</v>
      </c>
      <c r="K615" t="s">
        <v>4</v>
      </c>
      <c r="L615" t="s">
        <v>1451</v>
      </c>
      <c r="M615" t="s">
        <v>1451</v>
      </c>
      <c r="N615" s="2">
        <v>5785</v>
      </c>
      <c r="O615" t="s">
        <v>1386</v>
      </c>
      <c r="P615" t="s">
        <v>9</v>
      </c>
      <c r="Q615" t="s">
        <v>86</v>
      </c>
      <c r="R615" t="e">
        <f>VLOOKUP(Q615,#REF!,2,FALSE)</f>
        <v>#REF!</v>
      </c>
      <c r="S615">
        <v>1004</v>
      </c>
      <c r="T615" t="s">
        <v>2225</v>
      </c>
      <c r="U615" t="s">
        <v>1387</v>
      </c>
      <c r="V615" s="1">
        <v>46053</v>
      </c>
      <c r="W615" s="1">
        <v>46053</v>
      </c>
      <c r="X615" t="s">
        <v>77</v>
      </c>
      <c r="Y615" t="s">
        <v>646</v>
      </c>
      <c r="Z615" t="s">
        <v>6</v>
      </c>
      <c r="AA615" t="s">
        <v>646</v>
      </c>
      <c r="AB615" s="4">
        <f t="shared" si="47"/>
        <v>192833.33333333334</v>
      </c>
      <c r="AC615" s="6">
        <v>0.04</v>
      </c>
      <c r="AD615" s="4">
        <f t="shared" si="48"/>
        <v>7713.3333333333339</v>
      </c>
      <c r="AE615" s="4">
        <f t="shared" si="46"/>
        <v>1928.3333333333339</v>
      </c>
    </row>
    <row r="616" spans="1:31" x14ac:dyDescent="0.25">
      <c r="A616" t="s">
        <v>0</v>
      </c>
      <c r="B616" s="3" t="s">
        <v>2219</v>
      </c>
      <c r="C616" t="s">
        <v>1384</v>
      </c>
      <c r="D616" t="s">
        <v>160</v>
      </c>
      <c r="E616" t="s">
        <v>1280</v>
      </c>
      <c r="F616" s="1">
        <v>46060</v>
      </c>
      <c r="G616" s="1">
        <v>46063</v>
      </c>
      <c r="H616" t="s">
        <v>904</v>
      </c>
      <c r="I616" t="s">
        <v>5</v>
      </c>
      <c r="J616" t="s">
        <v>6</v>
      </c>
      <c r="K616" t="s">
        <v>4</v>
      </c>
      <c r="L616" t="s">
        <v>1452</v>
      </c>
      <c r="M616" t="s">
        <v>1452</v>
      </c>
      <c r="N616" s="2">
        <v>3836</v>
      </c>
      <c r="O616" t="s">
        <v>1386</v>
      </c>
      <c r="P616" t="s">
        <v>9</v>
      </c>
      <c r="Q616" t="s">
        <v>86</v>
      </c>
      <c r="R616" t="e">
        <f>VLOOKUP(Q616,#REF!,2,FALSE)</f>
        <v>#REF!</v>
      </c>
      <c r="S616">
        <v>1004</v>
      </c>
      <c r="T616" t="s">
        <v>2225</v>
      </c>
      <c r="U616" t="s">
        <v>1387</v>
      </c>
      <c r="V616" s="1">
        <v>46053</v>
      </c>
      <c r="W616" s="1">
        <v>46053</v>
      </c>
      <c r="X616" t="s">
        <v>77</v>
      </c>
      <c r="Y616" t="s">
        <v>646</v>
      </c>
      <c r="Z616" t="s">
        <v>6</v>
      </c>
      <c r="AA616" t="s">
        <v>646</v>
      </c>
      <c r="AB616" s="4">
        <f t="shared" si="47"/>
        <v>127866.66666666667</v>
      </c>
      <c r="AC616" s="6">
        <v>0.04</v>
      </c>
      <c r="AD616" s="4">
        <f t="shared" si="48"/>
        <v>5114.666666666667</v>
      </c>
      <c r="AE616" s="4">
        <f t="shared" si="46"/>
        <v>1278.666666666667</v>
      </c>
    </row>
    <row r="617" spans="1:31" x14ac:dyDescent="0.25">
      <c r="A617" t="s">
        <v>0</v>
      </c>
      <c r="B617" s="3" t="s">
        <v>2219</v>
      </c>
      <c r="C617" t="s">
        <v>1384</v>
      </c>
      <c r="D617" t="s">
        <v>160</v>
      </c>
      <c r="E617" t="s">
        <v>1282</v>
      </c>
      <c r="F617" s="1">
        <v>46060</v>
      </c>
      <c r="G617" s="1">
        <v>46063</v>
      </c>
      <c r="H617" t="s">
        <v>904</v>
      </c>
      <c r="I617" t="s">
        <v>5</v>
      </c>
      <c r="J617" t="s">
        <v>6</v>
      </c>
      <c r="K617" t="s">
        <v>4</v>
      </c>
      <c r="L617" t="s">
        <v>1453</v>
      </c>
      <c r="M617" t="s">
        <v>1453</v>
      </c>
      <c r="N617" s="2">
        <v>3114</v>
      </c>
      <c r="O617" t="s">
        <v>1386</v>
      </c>
      <c r="P617" t="s">
        <v>9</v>
      </c>
      <c r="Q617" t="s">
        <v>86</v>
      </c>
      <c r="R617" t="e">
        <f>VLOOKUP(Q617,#REF!,2,FALSE)</f>
        <v>#REF!</v>
      </c>
      <c r="S617">
        <v>1004</v>
      </c>
      <c r="T617" t="s">
        <v>2225</v>
      </c>
      <c r="U617" t="s">
        <v>1387</v>
      </c>
      <c r="V617" s="1">
        <v>46053</v>
      </c>
      <c r="W617" s="1">
        <v>46053</v>
      </c>
      <c r="X617" t="s">
        <v>77</v>
      </c>
      <c r="Y617" t="s">
        <v>646</v>
      </c>
      <c r="Z617" t="s">
        <v>6</v>
      </c>
      <c r="AA617" t="s">
        <v>646</v>
      </c>
      <c r="AB617" s="4">
        <f t="shared" si="47"/>
        <v>103800</v>
      </c>
      <c r="AC617" s="6">
        <v>0.04</v>
      </c>
      <c r="AD617" s="4">
        <f t="shared" si="48"/>
        <v>4152</v>
      </c>
      <c r="AE617" s="4">
        <f t="shared" si="46"/>
        <v>1038</v>
      </c>
    </row>
    <row r="618" spans="1:31" x14ac:dyDescent="0.25">
      <c r="A618" t="s">
        <v>0</v>
      </c>
      <c r="B618" s="3" t="s">
        <v>2219</v>
      </c>
      <c r="C618" t="s">
        <v>1384</v>
      </c>
      <c r="D618" t="s">
        <v>160</v>
      </c>
      <c r="E618" t="s">
        <v>1284</v>
      </c>
      <c r="F618" s="1">
        <v>46060</v>
      </c>
      <c r="G618" s="1">
        <v>46063</v>
      </c>
      <c r="H618" t="s">
        <v>904</v>
      </c>
      <c r="I618" t="s">
        <v>5</v>
      </c>
      <c r="J618" t="s">
        <v>6</v>
      </c>
      <c r="K618" t="s">
        <v>4</v>
      </c>
      <c r="L618" t="s">
        <v>1454</v>
      </c>
      <c r="M618" t="s">
        <v>1454</v>
      </c>
      <c r="N618" s="2">
        <v>7083</v>
      </c>
      <c r="O618" t="s">
        <v>1386</v>
      </c>
      <c r="P618" t="s">
        <v>9</v>
      </c>
      <c r="Q618" t="s">
        <v>86</v>
      </c>
      <c r="R618" t="e">
        <f>VLOOKUP(Q618,#REF!,2,FALSE)</f>
        <v>#REF!</v>
      </c>
      <c r="S618">
        <v>1004</v>
      </c>
      <c r="T618" t="s">
        <v>2225</v>
      </c>
      <c r="U618" t="s">
        <v>1387</v>
      </c>
      <c r="V618" s="1">
        <v>46053</v>
      </c>
      <c r="W618" s="1">
        <v>46053</v>
      </c>
      <c r="X618" t="s">
        <v>77</v>
      </c>
      <c r="Y618" t="s">
        <v>646</v>
      </c>
      <c r="Z618" t="s">
        <v>6</v>
      </c>
      <c r="AA618" t="s">
        <v>646</v>
      </c>
      <c r="AB618" s="4">
        <f t="shared" si="47"/>
        <v>236100</v>
      </c>
      <c r="AC618" s="6">
        <v>0.04</v>
      </c>
      <c r="AD618" s="4">
        <f t="shared" si="48"/>
        <v>9444</v>
      </c>
      <c r="AE618" s="4">
        <f t="shared" si="46"/>
        <v>2361</v>
      </c>
    </row>
    <row r="619" spans="1:31" x14ac:dyDescent="0.25">
      <c r="A619" t="s">
        <v>0</v>
      </c>
      <c r="B619" s="3" t="s">
        <v>2219</v>
      </c>
      <c r="C619" t="s">
        <v>1384</v>
      </c>
      <c r="D619" t="s">
        <v>160</v>
      </c>
      <c r="E619" t="s">
        <v>1286</v>
      </c>
      <c r="F619" s="1">
        <v>46060</v>
      </c>
      <c r="G619" s="1">
        <v>46063</v>
      </c>
      <c r="H619" t="s">
        <v>904</v>
      </c>
      <c r="I619" t="s">
        <v>5</v>
      </c>
      <c r="J619" t="s">
        <v>6</v>
      </c>
      <c r="K619" t="s">
        <v>4</v>
      </c>
      <c r="L619" t="s">
        <v>1455</v>
      </c>
      <c r="M619" t="s">
        <v>1455</v>
      </c>
      <c r="N619" s="2">
        <v>3954</v>
      </c>
      <c r="O619" t="s">
        <v>1386</v>
      </c>
      <c r="P619" t="s">
        <v>9</v>
      </c>
      <c r="Q619" t="s">
        <v>86</v>
      </c>
      <c r="R619" t="e">
        <f>VLOOKUP(Q619,#REF!,2,FALSE)</f>
        <v>#REF!</v>
      </c>
      <c r="S619">
        <v>1004</v>
      </c>
      <c r="T619" t="s">
        <v>2225</v>
      </c>
      <c r="U619" t="s">
        <v>1387</v>
      </c>
      <c r="V619" s="1">
        <v>46053</v>
      </c>
      <c r="W619" s="1">
        <v>46053</v>
      </c>
      <c r="X619" t="s">
        <v>77</v>
      </c>
      <c r="Y619" t="s">
        <v>646</v>
      </c>
      <c r="Z619" t="s">
        <v>6</v>
      </c>
      <c r="AA619" t="s">
        <v>646</v>
      </c>
      <c r="AB619" s="4">
        <f t="shared" si="47"/>
        <v>131800</v>
      </c>
      <c r="AC619" s="6">
        <v>0.04</v>
      </c>
      <c r="AD619" s="4">
        <f t="shared" si="48"/>
        <v>5272</v>
      </c>
      <c r="AE619" s="4">
        <f t="shared" si="46"/>
        <v>1318</v>
      </c>
    </row>
    <row r="620" spans="1:31" x14ac:dyDescent="0.25">
      <c r="A620" t="s">
        <v>0</v>
      </c>
      <c r="B620" s="3" t="s">
        <v>2219</v>
      </c>
      <c r="C620" t="s">
        <v>1384</v>
      </c>
      <c r="D620" t="s">
        <v>160</v>
      </c>
      <c r="E620" t="s">
        <v>1288</v>
      </c>
      <c r="F620" s="1">
        <v>46060</v>
      </c>
      <c r="G620" s="1">
        <v>46063</v>
      </c>
      <c r="H620" t="s">
        <v>904</v>
      </c>
      <c r="I620" t="s">
        <v>5</v>
      </c>
      <c r="J620" t="s">
        <v>6</v>
      </c>
      <c r="K620" t="s">
        <v>4</v>
      </c>
      <c r="L620" t="s">
        <v>1456</v>
      </c>
      <c r="M620" t="s">
        <v>1456</v>
      </c>
      <c r="N620" s="2">
        <v>4401</v>
      </c>
      <c r="O620" t="s">
        <v>1386</v>
      </c>
      <c r="P620" t="s">
        <v>9</v>
      </c>
      <c r="Q620" t="s">
        <v>86</v>
      </c>
      <c r="R620" t="e">
        <f>VLOOKUP(Q620,#REF!,2,FALSE)</f>
        <v>#REF!</v>
      </c>
      <c r="S620">
        <v>1004</v>
      </c>
      <c r="T620" t="s">
        <v>2225</v>
      </c>
      <c r="U620" t="s">
        <v>1387</v>
      </c>
      <c r="V620" s="1">
        <v>46053</v>
      </c>
      <c r="W620" s="1">
        <v>46053</v>
      </c>
      <c r="X620" t="s">
        <v>77</v>
      </c>
      <c r="Y620" t="s">
        <v>646</v>
      </c>
      <c r="Z620" t="s">
        <v>6</v>
      </c>
      <c r="AA620" t="s">
        <v>646</v>
      </c>
      <c r="AB620" s="4">
        <f t="shared" si="47"/>
        <v>146700</v>
      </c>
      <c r="AC620" s="6">
        <v>0.04</v>
      </c>
      <c r="AD620" s="4">
        <f t="shared" si="48"/>
        <v>5868</v>
      </c>
      <c r="AE620" s="4">
        <f t="shared" si="46"/>
        <v>1467</v>
      </c>
    </row>
    <row r="621" spans="1:31" x14ac:dyDescent="0.25">
      <c r="A621" t="s">
        <v>0</v>
      </c>
      <c r="B621" s="3" t="s">
        <v>2219</v>
      </c>
      <c r="C621" t="s">
        <v>1384</v>
      </c>
      <c r="D621" t="s">
        <v>160</v>
      </c>
      <c r="E621" t="s">
        <v>1290</v>
      </c>
      <c r="F621" s="1">
        <v>46060</v>
      </c>
      <c r="G621" s="1">
        <v>46063</v>
      </c>
      <c r="H621" t="s">
        <v>904</v>
      </c>
      <c r="I621" t="s">
        <v>5</v>
      </c>
      <c r="J621" t="s">
        <v>6</v>
      </c>
      <c r="K621" t="s">
        <v>4</v>
      </c>
      <c r="L621" t="s">
        <v>1457</v>
      </c>
      <c r="M621" t="s">
        <v>1457</v>
      </c>
      <c r="N621" s="2">
        <v>5032</v>
      </c>
      <c r="O621" t="s">
        <v>1386</v>
      </c>
      <c r="P621" t="s">
        <v>9</v>
      </c>
      <c r="Q621" t="s">
        <v>86</v>
      </c>
      <c r="R621" t="e">
        <f>VLOOKUP(Q621,#REF!,2,FALSE)</f>
        <v>#REF!</v>
      </c>
      <c r="S621">
        <v>1004</v>
      </c>
      <c r="T621" t="s">
        <v>2225</v>
      </c>
      <c r="U621" t="s">
        <v>1387</v>
      </c>
      <c r="V621" s="1">
        <v>46053</v>
      </c>
      <c r="W621" s="1">
        <v>46053</v>
      </c>
      <c r="X621" t="s">
        <v>77</v>
      </c>
      <c r="Y621" t="s">
        <v>646</v>
      </c>
      <c r="Z621" t="s">
        <v>6</v>
      </c>
      <c r="AA621" t="s">
        <v>646</v>
      </c>
      <c r="AB621" s="4">
        <f t="shared" si="47"/>
        <v>167733.33333333334</v>
      </c>
      <c r="AC621" s="6">
        <v>0.04</v>
      </c>
      <c r="AD621" s="4">
        <f t="shared" si="48"/>
        <v>6709.3333333333339</v>
      </c>
      <c r="AE621" s="4">
        <f t="shared" si="46"/>
        <v>1677.3333333333339</v>
      </c>
    </row>
    <row r="622" spans="1:31" x14ac:dyDescent="0.25">
      <c r="A622" t="s">
        <v>0</v>
      </c>
      <c r="B622" s="3" t="s">
        <v>2219</v>
      </c>
      <c r="C622" t="s">
        <v>1384</v>
      </c>
      <c r="D622" t="s">
        <v>160</v>
      </c>
      <c r="E622" t="s">
        <v>1292</v>
      </c>
      <c r="F622" s="1">
        <v>46060</v>
      </c>
      <c r="G622" s="1">
        <v>46063</v>
      </c>
      <c r="H622" t="s">
        <v>904</v>
      </c>
      <c r="I622" t="s">
        <v>5</v>
      </c>
      <c r="J622" t="s">
        <v>6</v>
      </c>
      <c r="K622" t="s">
        <v>4</v>
      </c>
      <c r="L622" t="s">
        <v>1458</v>
      </c>
      <c r="M622" t="s">
        <v>1458</v>
      </c>
      <c r="N622" s="2">
        <v>43281</v>
      </c>
      <c r="O622" t="s">
        <v>1386</v>
      </c>
      <c r="P622" t="s">
        <v>9</v>
      </c>
      <c r="Q622" t="s">
        <v>86</v>
      </c>
      <c r="R622" t="e">
        <f>VLOOKUP(Q622,#REF!,2,FALSE)</f>
        <v>#REF!</v>
      </c>
      <c r="S622">
        <v>1004</v>
      </c>
      <c r="T622" t="s">
        <v>2225</v>
      </c>
      <c r="U622" t="s">
        <v>1387</v>
      </c>
      <c r="V622" s="1">
        <v>46053</v>
      </c>
      <c r="W622" s="1">
        <v>46053</v>
      </c>
      <c r="X622" t="s">
        <v>77</v>
      </c>
      <c r="Y622" t="s">
        <v>646</v>
      </c>
      <c r="Z622" t="s">
        <v>6</v>
      </c>
      <c r="AA622" t="s">
        <v>646</v>
      </c>
      <c r="AB622" s="4">
        <f t="shared" si="47"/>
        <v>1442700</v>
      </c>
      <c r="AC622" s="6">
        <v>0.04</v>
      </c>
      <c r="AD622" s="4">
        <f t="shared" si="48"/>
        <v>57708</v>
      </c>
      <c r="AE622" s="4">
        <f t="shared" si="46"/>
        <v>14427</v>
      </c>
    </row>
    <row r="623" spans="1:31" x14ac:dyDescent="0.25">
      <c r="A623" t="s">
        <v>0</v>
      </c>
      <c r="B623" s="3" t="s">
        <v>2219</v>
      </c>
      <c r="C623" t="s">
        <v>1384</v>
      </c>
      <c r="D623" t="s">
        <v>160</v>
      </c>
      <c r="E623" t="s">
        <v>1459</v>
      </c>
      <c r="F623" s="1">
        <v>46060</v>
      </c>
      <c r="G623" s="1">
        <v>46063</v>
      </c>
      <c r="H623" t="s">
        <v>904</v>
      </c>
      <c r="I623" t="s">
        <v>5</v>
      </c>
      <c r="J623" t="s">
        <v>6</v>
      </c>
      <c r="K623" t="s">
        <v>4</v>
      </c>
      <c r="L623" t="s">
        <v>1460</v>
      </c>
      <c r="M623" t="s">
        <v>1460</v>
      </c>
      <c r="N623" s="2">
        <v>4501</v>
      </c>
      <c r="O623" t="s">
        <v>1386</v>
      </c>
      <c r="P623" t="s">
        <v>9</v>
      </c>
      <c r="Q623" t="s">
        <v>86</v>
      </c>
      <c r="R623" t="e">
        <f>VLOOKUP(Q623,#REF!,2,FALSE)</f>
        <v>#REF!</v>
      </c>
      <c r="S623">
        <v>1004</v>
      </c>
      <c r="T623" t="s">
        <v>2225</v>
      </c>
      <c r="U623" t="s">
        <v>1387</v>
      </c>
      <c r="V623" s="1">
        <v>46053</v>
      </c>
      <c r="W623" s="1">
        <v>46053</v>
      </c>
      <c r="X623" t="s">
        <v>77</v>
      </c>
      <c r="Y623" t="s">
        <v>646</v>
      </c>
      <c r="Z623" t="s">
        <v>6</v>
      </c>
      <c r="AA623" t="s">
        <v>646</v>
      </c>
      <c r="AB623" s="4">
        <f t="shared" si="47"/>
        <v>150033.33333333334</v>
      </c>
      <c r="AC623" s="6">
        <v>0.04</v>
      </c>
      <c r="AD623" s="4">
        <f t="shared" si="48"/>
        <v>6001.3333333333339</v>
      </c>
      <c r="AE623" s="4">
        <f t="shared" si="46"/>
        <v>1500.3333333333339</v>
      </c>
    </row>
    <row r="624" spans="1:31" x14ac:dyDescent="0.25">
      <c r="A624" t="s">
        <v>0</v>
      </c>
      <c r="B624" s="3" t="s">
        <v>2219</v>
      </c>
      <c r="C624" t="s">
        <v>1384</v>
      </c>
      <c r="D624" t="s">
        <v>160</v>
      </c>
      <c r="E624" t="s">
        <v>1461</v>
      </c>
      <c r="F624" s="1">
        <v>46060</v>
      </c>
      <c r="G624" s="1">
        <v>46063</v>
      </c>
      <c r="H624" t="s">
        <v>904</v>
      </c>
      <c r="I624" t="s">
        <v>5</v>
      </c>
      <c r="J624" t="s">
        <v>6</v>
      </c>
      <c r="K624" t="s">
        <v>4</v>
      </c>
      <c r="L624" t="s">
        <v>1462</v>
      </c>
      <c r="M624" t="s">
        <v>1462</v>
      </c>
      <c r="N624" s="2">
        <v>9405</v>
      </c>
      <c r="O624" t="s">
        <v>1386</v>
      </c>
      <c r="P624" t="s">
        <v>9</v>
      </c>
      <c r="Q624" t="s">
        <v>86</v>
      </c>
      <c r="R624" t="e">
        <f>VLOOKUP(Q624,#REF!,2,FALSE)</f>
        <v>#REF!</v>
      </c>
      <c r="S624">
        <v>1004</v>
      </c>
      <c r="T624" t="s">
        <v>2225</v>
      </c>
      <c r="U624" t="s">
        <v>1387</v>
      </c>
      <c r="V624" s="1">
        <v>46053</v>
      </c>
      <c r="W624" s="1">
        <v>46053</v>
      </c>
      <c r="X624" t="s">
        <v>77</v>
      </c>
      <c r="Y624" t="s">
        <v>646</v>
      </c>
      <c r="Z624" t="s">
        <v>6</v>
      </c>
      <c r="AA624" t="s">
        <v>646</v>
      </c>
      <c r="AB624" s="4">
        <f t="shared" si="47"/>
        <v>313500</v>
      </c>
      <c r="AC624" s="6">
        <v>0.04</v>
      </c>
      <c r="AD624" s="4">
        <f t="shared" si="48"/>
        <v>12540</v>
      </c>
      <c r="AE624" s="4">
        <f t="shared" si="46"/>
        <v>3135</v>
      </c>
    </row>
    <row r="625" spans="1:31" x14ac:dyDescent="0.25">
      <c r="A625" t="s">
        <v>0</v>
      </c>
      <c r="B625" s="3" t="s">
        <v>2219</v>
      </c>
      <c r="C625" t="s">
        <v>1384</v>
      </c>
      <c r="D625" t="s">
        <v>160</v>
      </c>
      <c r="E625" t="s">
        <v>1463</v>
      </c>
      <c r="F625" s="1">
        <v>46060</v>
      </c>
      <c r="G625" s="1">
        <v>46063</v>
      </c>
      <c r="H625" t="s">
        <v>904</v>
      </c>
      <c r="I625" t="s">
        <v>5</v>
      </c>
      <c r="J625" t="s">
        <v>6</v>
      </c>
      <c r="K625" t="s">
        <v>4</v>
      </c>
      <c r="L625" t="s">
        <v>1464</v>
      </c>
      <c r="M625" t="s">
        <v>1464</v>
      </c>
      <c r="N625" s="2">
        <v>7324</v>
      </c>
      <c r="O625" t="s">
        <v>1386</v>
      </c>
      <c r="P625" t="s">
        <v>9</v>
      </c>
      <c r="Q625" t="s">
        <v>86</v>
      </c>
      <c r="R625" t="e">
        <f>VLOOKUP(Q625,#REF!,2,FALSE)</f>
        <v>#REF!</v>
      </c>
      <c r="S625">
        <v>1004</v>
      </c>
      <c r="T625" t="s">
        <v>2225</v>
      </c>
      <c r="U625" t="s">
        <v>1387</v>
      </c>
      <c r="V625" s="1">
        <v>46053</v>
      </c>
      <c r="W625" s="1">
        <v>46053</v>
      </c>
      <c r="X625" t="s">
        <v>77</v>
      </c>
      <c r="Y625" t="s">
        <v>646</v>
      </c>
      <c r="Z625" t="s">
        <v>6</v>
      </c>
      <c r="AA625" t="s">
        <v>646</v>
      </c>
      <c r="AB625" s="4">
        <f t="shared" si="47"/>
        <v>244133.33333333334</v>
      </c>
      <c r="AC625" s="6">
        <v>0.04</v>
      </c>
      <c r="AD625" s="4">
        <f t="shared" si="48"/>
        <v>9765.3333333333339</v>
      </c>
      <c r="AE625" s="4">
        <f t="shared" si="46"/>
        <v>2441.3333333333339</v>
      </c>
    </row>
    <row r="626" spans="1:31" x14ac:dyDescent="0.25">
      <c r="A626" t="s">
        <v>0</v>
      </c>
      <c r="B626" s="3" t="s">
        <v>2219</v>
      </c>
      <c r="C626" t="s">
        <v>1384</v>
      </c>
      <c r="D626" t="s">
        <v>160</v>
      </c>
      <c r="E626" t="s">
        <v>1465</v>
      </c>
      <c r="F626" s="1">
        <v>46060</v>
      </c>
      <c r="G626" s="1">
        <v>46063</v>
      </c>
      <c r="H626" t="s">
        <v>882</v>
      </c>
      <c r="I626" t="s">
        <v>5</v>
      </c>
      <c r="J626" t="s">
        <v>6</v>
      </c>
      <c r="K626" t="s">
        <v>4</v>
      </c>
      <c r="L626" t="s">
        <v>1466</v>
      </c>
      <c r="M626" t="s">
        <v>1466</v>
      </c>
      <c r="N626" s="2">
        <v>46747</v>
      </c>
      <c r="O626" t="s">
        <v>1386</v>
      </c>
      <c r="P626" t="s">
        <v>9</v>
      </c>
      <c r="Q626" t="s">
        <v>75</v>
      </c>
      <c r="R626" t="e">
        <f>VLOOKUP(Q626,#REF!,2,FALSE)</f>
        <v>#REF!</v>
      </c>
      <c r="S626">
        <v>1004</v>
      </c>
      <c r="T626" t="s">
        <v>2225</v>
      </c>
      <c r="U626" t="s">
        <v>1387</v>
      </c>
      <c r="V626" s="1">
        <v>46053</v>
      </c>
      <c r="W626" s="1">
        <v>46053</v>
      </c>
      <c r="X626" t="s">
        <v>77</v>
      </c>
      <c r="Y626" t="s">
        <v>646</v>
      </c>
      <c r="Z626" t="s">
        <v>6</v>
      </c>
      <c r="AA626" t="s">
        <v>646</v>
      </c>
      <c r="AB626" s="4">
        <f t="shared" ref="AB626:AB657" si="49">L626/0.1</f>
        <v>467470</v>
      </c>
      <c r="AC626" s="5" t="s">
        <v>2215</v>
      </c>
      <c r="AD626" s="4">
        <f t="shared" ref="AD626:AD689" si="50">AB626/12</f>
        <v>38955.833333333336</v>
      </c>
      <c r="AE626" s="4">
        <f t="shared" si="46"/>
        <v>-7791.1666666666642</v>
      </c>
    </row>
    <row r="627" spans="1:31" x14ac:dyDescent="0.25">
      <c r="A627" t="s">
        <v>0</v>
      </c>
      <c r="B627" s="3" t="s">
        <v>2219</v>
      </c>
      <c r="C627" t="s">
        <v>1384</v>
      </c>
      <c r="D627" t="s">
        <v>160</v>
      </c>
      <c r="E627" t="s">
        <v>1467</v>
      </c>
      <c r="F627" s="1">
        <v>46060</v>
      </c>
      <c r="G627" s="1">
        <v>46063</v>
      </c>
      <c r="H627" t="s">
        <v>882</v>
      </c>
      <c r="I627" t="s">
        <v>5</v>
      </c>
      <c r="J627" t="s">
        <v>6</v>
      </c>
      <c r="K627" t="s">
        <v>4</v>
      </c>
      <c r="L627" t="s">
        <v>1468</v>
      </c>
      <c r="M627" t="s">
        <v>1468</v>
      </c>
      <c r="N627" s="2">
        <v>6295</v>
      </c>
      <c r="O627" t="s">
        <v>1386</v>
      </c>
      <c r="P627" t="s">
        <v>9</v>
      </c>
      <c r="Q627" t="s">
        <v>75</v>
      </c>
      <c r="R627" t="e">
        <f>VLOOKUP(Q627,#REF!,2,FALSE)</f>
        <v>#REF!</v>
      </c>
      <c r="S627">
        <v>1004</v>
      </c>
      <c r="T627" t="s">
        <v>2225</v>
      </c>
      <c r="U627" t="s">
        <v>1387</v>
      </c>
      <c r="V627" s="1">
        <v>46053</v>
      </c>
      <c r="W627" s="1">
        <v>46053</v>
      </c>
      <c r="X627" t="s">
        <v>77</v>
      </c>
      <c r="Y627" t="s">
        <v>646</v>
      </c>
      <c r="Z627" t="s">
        <v>6</v>
      </c>
      <c r="AA627" t="s">
        <v>646</v>
      </c>
      <c r="AB627" s="4">
        <f t="shared" si="49"/>
        <v>62950</v>
      </c>
      <c r="AC627" s="5" t="s">
        <v>2215</v>
      </c>
      <c r="AD627" s="4">
        <f t="shared" si="50"/>
        <v>5245.833333333333</v>
      </c>
      <c r="AE627" s="4">
        <f t="shared" si="46"/>
        <v>-1049.166666666667</v>
      </c>
    </row>
    <row r="628" spans="1:31" x14ac:dyDescent="0.25">
      <c r="A628" t="s">
        <v>0</v>
      </c>
      <c r="B628" s="3" t="s">
        <v>2219</v>
      </c>
      <c r="C628" t="s">
        <v>1384</v>
      </c>
      <c r="D628" t="s">
        <v>160</v>
      </c>
      <c r="E628" t="s">
        <v>1469</v>
      </c>
      <c r="F628" s="1">
        <v>46060</v>
      </c>
      <c r="G628" s="1">
        <v>46063</v>
      </c>
      <c r="H628" t="s">
        <v>882</v>
      </c>
      <c r="I628" t="s">
        <v>5</v>
      </c>
      <c r="J628" t="s">
        <v>6</v>
      </c>
      <c r="K628" t="s">
        <v>4</v>
      </c>
      <c r="L628" t="s">
        <v>1470</v>
      </c>
      <c r="M628" t="s">
        <v>1470</v>
      </c>
      <c r="N628" s="2">
        <v>7492</v>
      </c>
      <c r="O628" t="s">
        <v>1386</v>
      </c>
      <c r="P628" t="s">
        <v>9</v>
      </c>
      <c r="Q628" t="s">
        <v>75</v>
      </c>
      <c r="R628" t="e">
        <f>VLOOKUP(Q628,#REF!,2,FALSE)</f>
        <v>#REF!</v>
      </c>
      <c r="S628">
        <v>1004</v>
      </c>
      <c r="T628" t="s">
        <v>2225</v>
      </c>
      <c r="U628" t="s">
        <v>1387</v>
      </c>
      <c r="V628" s="1">
        <v>46053</v>
      </c>
      <c r="W628" s="1">
        <v>46053</v>
      </c>
      <c r="X628" t="s">
        <v>77</v>
      </c>
      <c r="Y628" t="s">
        <v>646</v>
      </c>
      <c r="Z628" t="s">
        <v>6</v>
      </c>
      <c r="AA628" t="s">
        <v>646</v>
      </c>
      <c r="AB628" s="4">
        <f t="shared" si="49"/>
        <v>74920</v>
      </c>
      <c r="AC628" s="5" t="s">
        <v>2215</v>
      </c>
      <c r="AD628" s="4">
        <f t="shared" si="50"/>
        <v>6243.333333333333</v>
      </c>
      <c r="AE628" s="4">
        <f t="shared" si="46"/>
        <v>-1248.666666666667</v>
      </c>
    </row>
    <row r="629" spans="1:31" x14ac:dyDescent="0.25">
      <c r="A629" t="s">
        <v>0</v>
      </c>
      <c r="B629" s="3" t="s">
        <v>2219</v>
      </c>
      <c r="C629" t="s">
        <v>1384</v>
      </c>
      <c r="D629" t="s">
        <v>160</v>
      </c>
      <c r="E629" t="s">
        <v>1471</v>
      </c>
      <c r="F629" s="1">
        <v>46060</v>
      </c>
      <c r="G629" s="1">
        <v>46063</v>
      </c>
      <c r="H629" t="s">
        <v>882</v>
      </c>
      <c r="I629" t="s">
        <v>5</v>
      </c>
      <c r="J629" t="s">
        <v>6</v>
      </c>
      <c r="K629" t="s">
        <v>4</v>
      </c>
      <c r="L629" t="s">
        <v>1472</v>
      </c>
      <c r="M629" t="s">
        <v>1472</v>
      </c>
      <c r="N629" s="2">
        <v>802641</v>
      </c>
      <c r="O629" t="s">
        <v>1386</v>
      </c>
      <c r="P629" t="s">
        <v>9</v>
      </c>
      <c r="Q629" t="s">
        <v>75</v>
      </c>
      <c r="R629" t="e">
        <f>VLOOKUP(Q629,#REF!,2,FALSE)</f>
        <v>#REF!</v>
      </c>
      <c r="S629">
        <v>1004</v>
      </c>
      <c r="T629" t="s">
        <v>2225</v>
      </c>
      <c r="U629" t="s">
        <v>1387</v>
      </c>
      <c r="V629" s="1">
        <v>46053</v>
      </c>
      <c r="W629" s="1">
        <v>46053</v>
      </c>
      <c r="X629" t="s">
        <v>77</v>
      </c>
      <c r="Y629" t="s">
        <v>646</v>
      </c>
      <c r="Z629" t="s">
        <v>6</v>
      </c>
      <c r="AA629" t="s">
        <v>646</v>
      </c>
      <c r="AB629" s="4">
        <f t="shared" si="49"/>
        <v>8026410</v>
      </c>
      <c r="AC629" s="5" t="s">
        <v>2215</v>
      </c>
      <c r="AD629" s="4">
        <f t="shared" si="50"/>
        <v>668867.5</v>
      </c>
      <c r="AE629" s="4">
        <f t="shared" si="46"/>
        <v>-133773.5</v>
      </c>
    </row>
    <row r="630" spans="1:31" x14ac:dyDescent="0.25">
      <c r="A630" t="s">
        <v>0</v>
      </c>
      <c r="B630" s="3" t="s">
        <v>2219</v>
      </c>
      <c r="C630" t="s">
        <v>1384</v>
      </c>
      <c r="D630" t="s">
        <v>160</v>
      </c>
      <c r="E630" t="s">
        <v>1473</v>
      </c>
      <c r="F630" s="1">
        <v>46060</v>
      </c>
      <c r="G630" s="1">
        <v>46063</v>
      </c>
      <c r="H630" t="s">
        <v>882</v>
      </c>
      <c r="I630" t="s">
        <v>5</v>
      </c>
      <c r="J630" t="s">
        <v>6</v>
      </c>
      <c r="K630" t="s">
        <v>4</v>
      </c>
      <c r="L630" t="s">
        <v>1474</v>
      </c>
      <c r="M630" t="s">
        <v>1474</v>
      </c>
      <c r="N630" s="2">
        <v>5562</v>
      </c>
      <c r="O630" t="s">
        <v>1386</v>
      </c>
      <c r="P630" t="s">
        <v>9</v>
      </c>
      <c r="Q630" t="s">
        <v>75</v>
      </c>
      <c r="R630" t="e">
        <f>VLOOKUP(Q630,#REF!,2,FALSE)</f>
        <v>#REF!</v>
      </c>
      <c r="S630">
        <v>1004</v>
      </c>
      <c r="T630" t="s">
        <v>2225</v>
      </c>
      <c r="U630" t="s">
        <v>1387</v>
      </c>
      <c r="V630" s="1">
        <v>46053</v>
      </c>
      <c r="W630" s="1">
        <v>46053</v>
      </c>
      <c r="X630" t="s">
        <v>77</v>
      </c>
      <c r="Y630" t="s">
        <v>646</v>
      </c>
      <c r="Z630" t="s">
        <v>6</v>
      </c>
      <c r="AA630" t="s">
        <v>646</v>
      </c>
      <c r="AB630" s="4">
        <f t="shared" si="49"/>
        <v>55620</v>
      </c>
      <c r="AC630" s="5" t="s">
        <v>2215</v>
      </c>
      <c r="AD630" s="4">
        <f t="shared" si="50"/>
        <v>4635</v>
      </c>
      <c r="AE630" s="4">
        <f t="shared" si="46"/>
        <v>-927</v>
      </c>
    </row>
    <row r="631" spans="1:31" x14ac:dyDescent="0.25">
      <c r="A631" t="s">
        <v>0</v>
      </c>
      <c r="B631" s="3" t="s">
        <v>2219</v>
      </c>
      <c r="C631" t="s">
        <v>1384</v>
      </c>
      <c r="D631" t="s">
        <v>160</v>
      </c>
      <c r="E631" t="s">
        <v>881</v>
      </c>
      <c r="F631" s="1">
        <v>46060</v>
      </c>
      <c r="G631" s="1">
        <v>46063</v>
      </c>
      <c r="H631" t="s">
        <v>882</v>
      </c>
      <c r="I631" t="s">
        <v>5</v>
      </c>
      <c r="J631" t="s">
        <v>6</v>
      </c>
      <c r="K631" t="s">
        <v>4</v>
      </c>
      <c r="L631" t="s">
        <v>1475</v>
      </c>
      <c r="M631" t="s">
        <v>1475</v>
      </c>
      <c r="N631" s="2">
        <v>8072</v>
      </c>
      <c r="O631" t="s">
        <v>1386</v>
      </c>
      <c r="P631" t="s">
        <v>9</v>
      </c>
      <c r="Q631" t="s">
        <v>75</v>
      </c>
      <c r="R631" t="e">
        <f>VLOOKUP(Q631,#REF!,2,FALSE)</f>
        <v>#REF!</v>
      </c>
      <c r="S631">
        <v>1004</v>
      </c>
      <c r="T631" t="s">
        <v>2225</v>
      </c>
      <c r="U631" t="s">
        <v>1387</v>
      </c>
      <c r="V631" s="1">
        <v>46053</v>
      </c>
      <c r="W631" s="1">
        <v>46053</v>
      </c>
      <c r="X631" t="s">
        <v>77</v>
      </c>
      <c r="Y631" t="s">
        <v>646</v>
      </c>
      <c r="Z631" t="s">
        <v>6</v>
      </c>
      <c r="AA631" t="s">
        <v>646</v>
      </c>
      <c r="AB631" s="4">
        <f t="shared" si="49"/>
        <v>80720</v>
      </c>
      <c r="AC631" s="5" t="s">
        <v>2215</v>
      </c>
      <c r="AD631" s="4">
        <f t="shared" si="50"/>
        <v>6726.666666666667</v>
      </c>
      <c r="AE631" s="4">
        <f t="shared" si="46"/>
        <v>-1345.333333333333</v>
      </c>
    </row>
    <row r="632" spans="1:31" x14ac:dyDescent="0.25">
      <c r="A632" t="s">
        <v>0</v>
      </c>
      <c r="B632" s="3" t="s">
        <v>2219</v>
      </c>
      <c r="C632" t="s">
        <v>1384</v>
      </c>
      <c r="D632" t="s">
        <v>160</v>
      </c>
      <c r="E632" t="s">
        <v>886</v>
      </c>
      <c r="F632" s="1">
        <v>46060</v>
      </c>
      <c r="G632" s="1">
        <v>46063</v>
      </c>
      <c r="H632" t="s">
        <v>882</v>
      </c>
      <c r="I632" t="s">
        <v>5</v>
      </c>
      <c r="J632" t="s">
        <v>6</v>
      </c>
      <c r="K632" t="s">
        <v>4</v>
      </c>
      <c r="L632" t="s">
        <v>1476</v>
      </c>
      <c r="M632" t="s">
        <v>1476</v>
      </c>
      <c r="N632" s="2">
        <v>89255</v>
      </c>
      <c r="O632" t="s">
        <v>1386</v>
      </c>
      <c r="P632" t="s">
        <v>9</v>
      </c>
      <c r="Q632" t="s">
        <v>75</v>
      </c>
      <c r="R632" t="e">
        <f>VLOOKUP(Q632,#REF!,2,FALSE)</f>
        <v>#REF!</v>
      </c>
      <c r="S632">
        <v>1004</v>
      </c>
      <c r="T632" t="s">
        <v>2225</v>
      </c>
      <c r="U632" t="s">
        <v>1387</v>
      </c>
      <c r="V632" s="1">
        <v>46053</v>
      </c>
      <c r="W632" s="1">
        <v>46053</v>
      </c>
      <c r="X632" t="s">
        <v>77</v>
      </c>
      <c r="Y632" t="s">
        <v>646</v>
      </c>
      <c r="Z632" t="s">
        <v>6</v>
      </c>
      <c r="AA632" t="s">
        <v>646</v>
      </c>
      <c r="AB632" s="4">
        <f t="shared" si="49"/>
        <v>892550</v>
      </c>
      <c r="AC632" s="5" t="s">
        <v>2215</v>
      </c>
      <c r="AD632" s="4">
        <f t="shared" si="50"/>
        <v>74379.166666666672</v>
      </c>
      <c r="AE632" s="4">
        <f t="shared" si="46"/>
        <v>-14875.833333333328</v>
      </c>
    </row>
    <row r="633" spans="1:31" x14ac:dyDescent="0.25">
      <c r="A633" t="s">
        <v>0</v>
      </c>
      <c r="B633" s="3" t="s">
        <v>2219</v>
      </c>
      <c r="C633" t="s">
        <v>1384</v>
      </c>
      <c r="D633" t="s">
        <v>160</v>
      </c>
      <c r="E633" t="s">
        <v>888</v>
      </c>
      <c r="F633" s="1">
        <v>46060</v>
      </c>
      <c r="G633" s="1">
        <v>46063</v>
      </c>
      <c r="H633" t="s">
        <v>882</v>
      </c>
      <c r="I633" t="s">
        <v>5</v>
      </c>
      <c r="J633" t="s">
        <v>6</v>
      </c>
      <c r="K633" t="s">
        <v>4</v>
      </c>
      <c r="L633" t="s">
        <v>1477</v>
      </c>
      <c r="M633" t="s">
        <v>1477</v>
      </c>
      <c r="N633" s="2">
        <v>187436</v>
      </c>
      <c r="O633" t="s">
        <v>1386</v>
      </c>
      <c r="P633" t="s">
        <v>9</v>
      </c>
      <c r="Q633" t="s">
        <v>75</v>
      </c>
      <c r="R633" t="e">
        <f>VLOOKUP(Q633,#REF!,2,FALSE)</f>
        <v>#REF!</v>
      </c>
      <c r="S633">
        <v>1004</v>
      </c>
      <c r="T633" t="s">
        <v>2225</v>
      </c>
      <c r="U633" t="s">
        <v>1387</v>
      </c>
      <c r="V633" s="1">
        <v>46053</v>
      </c>
      <c r="W633" s="1">
        <v>46053</v>
      </c>
      <c r="X633" t="s">
        <v>77</v>
      </c>
      <c r="Y633" t="s">
        <v>646</v>
      </c>
      <c r="Z633" t="s">
        <v>6</v>
      </c>
      <c r="AA633" t="s">
        <v>646</v>
      </c>
      <c r="AB633" s="4">
        <f t="shared" si="49"/>
        <v>1874360</v>
      </c>
      <c r="AC633" s="5" t="s">
        <v>2215</v>
      </c>
      <c r="AD633" s="4">
        <f t="shared" si="50"/>
        <v>156196.66666666666</v>
      </c>
      <c r="AE633" s="4">
        <f t="shared" si="46"/>
        <v>-31239.333333333343</v>
      </c>
    </row>
    <row r="634" spans="1:31" x14ac:dyDescent="0.25">
      <c r="A634" t="s">
        <v>0</v>
      </c>
      <c r="B634" s="3" t="s">
        <v>2219</v>
      </c>
      <c r="C634" t="s">
        <v>1384</v>
      </c>
      <c r="D634" t="s">
        <v>160</v>
      </c>
      <c r="E634" t="s">
        <v>890</v>
      </c>
      <c r="F634" s="1">
        <v>46060</v>
      </c>
      <c r="G634" s="1">
        <v>46063</v>
      </c>
      <c r="H634" t="s">
        <v>882</v>
      </c>
      <c r="I634" t="s">
        <v>5</v>
      </c>
      <c r="J634" t="s">
        <v>6</v>
      </c>
      <c r="K634" t="s">
        <v>4</v>
      </c>
      <c r="L634" t="s">
        <v>1478</v>
      </c>
      <c r="M634" t="s">
        <v>1478</v>
      </c>
      <c r="N634" s="2">
        <v>13744</v>
      </c>
      <c r="O634" t="s">
        <v>1386</v>
      </c>
      <c r="P634" t="s">
        <v>9</v>
      </c>
      <c r="Q634" t="s">
        <v>75</v>
      </c>
      <c r="R634" t="e">
        <f>VLOOKUP(Q634,#REF!,2,FALSE)</f>
        <v>#REF!</v>
      </c>
      <c r="S634">
        <v>1004</v>
      </c>
      <c r="T634" t="s">
        <v>2225</v>
      </c>
      <c r="U634" t="s">
        <v>1387</v>
      </c>
      <c r="V634" s="1">
        <v>46053</v>
      </c>
      <c r="W634" s="1">
        <v>46053</v>
      </c>
      <c r="X634" t="s">
        <v>77</v>
      </c>
      <c r="Y634" t="s">
        <v>646</v>
      </c>
      <c r="Z634" t="s">
        <v>6</v>
      </c>
      <c r="AA634" t="s">
        <v>646</v>
      </c>
      <c r="AB634" s="4">
        <f t="shared" si="49"/>
        <v>137440</v>
      </c>
      <c r="AC634" s="5" t="s">
        <v>2215</v>
      </c>
      <c r="AD634" s="4">
        <f t="shared" si="50"/>
        <v>11453.333333333334</v>
      </c>
      <c r="AE634" s="4">
        <f t="shared" si="46"/>
        <v>-2290.6666666666661</v>
      </c>
    </row>
    <row r="635" spans="1:31" x14ac:dyDescent="0.25">
      <c r="A635" t="s">
        <v>0</v>
      </c>
      <c r="B635" s="3" t="s">
        <v>2219</v>
      </c>
      <c r="C635" t="s">
        <v>1384</v>
      </c>
      <c r="D635" t="s">
        <v>160</v>
      </c>
      <c r="E635" t="s">
        <v>892</v>
      </c>
      <c r="F635" s="1">
        <v>46060</v>
      </c>
      <c r="G635" s="1">
        <v>46063</v>
      </c>
      <c r="H635" t="s">
        <v>882</v>
      </c>
      <c r="I635" t="s">
        <v>5</v>
      </c>
      <c r="J635" t="s">
        <v>6</v>
      </c>
      <c r="K635" t="s">
        <v>4</v>
      </c>
      <c r="L635" t="s">
        <v>1479</v>
      </c>
      <c r="M635" t="s">
        <v>1479</v>
      </c>
      <c r="N635" s="2">
        <v>286858</v>
      </c>
      <c r="O635" t="s">
        <v>1386</v>
      </c>
      <c r="P635" t="s">
        <v>9</v>
      </c>
      <c r="Q635" t="s">
        <v>75</v>
      </c>
      <c r="R635" t="e">
        <f>VLOOKUP(Q635,#REF!,2,FALSE)</f>
        <v>#REF!</v>
      </c>
      <c r="S635">
        <v>1004</v>
      </c>
      <c r="T635" t="s">
        <v>2225</v>
      </c>
      <c r="U635" t="s">
        <v>1387</v>
      </c>
      <c r="V635" s="1">
        <v>46053</v>
      </c>
      <c r="W635" s="1">
        <v>46053</v>
      </c>
      <c r="X635" t="s">
        <v>77</v>
      </c>
      <c r="Y635" t="s">
        <v>646</v>
      </c>
      <c r="Z635" t="s">
        <v>6</v>
      </c>
      <c r="AA635" t="s">
        <v>646</v>
      </c>
      <c r="AB635" s="4">
        <f t="shared" si="49"/>
        <v>2868580</v>
      </c>
      <c r="AC635" s="5" t="s">
        <v>2215</v>
      </c>
      <c r="AD635" s="4">
        <f t="shared" si="50"/>
        <v>239048.33333333334</v>
      </c>
      <c r="AE635" s="4">
        <f t="shared" si="46"/>
        <v>-47809.666666666657</v>
      </c>
    </row>
    <row r="636" spans="1:31" x14ac:dyDescent="0.25">
      <c r="A636" t="s">
        <v>0</v>
      </c>
      <c r="B636" s="3" t="s">
        <v>2219</v>
      </c>
      <c r="C636" t="s">
        <v>1384</v>
      </c>
      <c r="D636" t="s">
        <v>160</v>
      </c>
      <c r="E636" t="s">
        <v>894</v>
      </c>
      <c r="F636" s="1">
        <v>46060</v>
      </c>
      <c r="G636" s="1">
        <v>46063</v>
      </c>
      <c r="H636" t="s">
        <v>882</v>
      </c>
      <c r="I636" t="s">
        <v>5</v>
      </c>
      <c r="J636" t="s">
        <v>6</v>
      </c>
      <c r="K636" t="s">
        <v>4</v>
      </c>
      <c r="L636" t="s">
        <v>1480</v>
      </c>
      <c r="M636" t="s">
        <v>1480</v>
      </c>
      <c r="N636" s="2">
        <v>212376</v>
      </c>
      <c r="O636" t="s">
        <v>1386</v>
      </c>
      <c r="P636" t="s">
        <v>9</v>
      </c>
      <c r="Q636" t="s">
        <v>75</v>
      </c>
      <c r="R636" t="e">
        <f>VLOOKUP(Q636,#REF!,2,FALSE)</f>
        <v>#REF!</v>
      </c>
      <c r="S636">
        <v>1004</v>
      </c>
      <c r="T636" t="s">
        <v>2225</v>
      </c>
      <c r="U636" t="s">
        <v>1387</v>
      </c>
      <c r="V636" s="1">
        <v>46053</v>
      </c>
      <c r="W636" s="1">
        <v>46053</v>
      </c>
      <c r="X636" t="s">
        <v>77</v>
      </c>
      <c r="Y636" t="s">
        <v>646</v>
      </c>
      <c r="Z636" t="s">
        <v>6</v>
      </c>
      <c r="AA636" t="s">
        <v>646</v>
      </c>
      <c r="AB636" s="4">
        <f t="shared" si="49"/>
        <v>2123760</v>
      </c>
      <c r="AC636" s="5" t="s">
        <v>2215</v>
      </c>
      <c r="AD636" s="4">
        <f t="shared" si="50"/>
        <v>176980</v>
      </c>
      <c r="AE636" s="4">
        <f t="shared" si="46"/>
        <v>-35396</v>
      </c>
    </row>
    <row r="637" spans="1:31" x14ac:dyDescent="0.25">
      <c r="A637" t="s">
        <v>0</v>
      </c>
      <c r="B637" s="3" t="s">
        <v>2219</v>
      </c>
      <c r="C637" t="s">
        <v>1384</v>
      </c>
      <c r="D637" t="s">
        <v>160</v>
      </c>
      <c r="E637" t="s">
        <v>896</v>
      </c>
      <c r="F637" s="1">
        <v>46060</v>
      </c>
      <c r="G637" s="1">
        <v>46063</v>
      </c>
      <c r="H637" t="s">
        <v>882</v>
      </c>
      <c r="I637" t="s">
        <v>5</v>
      </c>
      <c r="J637" t="s">
        <v>6</v>
      </c>
      <c r="K637" t="s">
        <v>4</v>
      </c>
      <c r="L637" t="s">
        <v>1481</v>
      </c>
      <c r="M637" t="s">
        <v>1481</v>
      </c>
      <c r="N637" s="2">
        <v>32671</v>
      </c>
      <c r="O637" t="s">
        <v>1386</v>
      </c>
      <c r="P637" t="s">
        <v>9</v>
      </c>
      <c r="Q637" t="s">
        <v>75</v>
      </c>
      <c r="R637" t="e">
        <f>VLOOKUP(Q637,#REF!,2,FALSE)</f>
        <v>#REF!</v>
      </c>
      <c r="S637">
        <v>1004</v>
      </c>
      <c r="T637" t="s">
        <v>2225</v>
      </c>
      <c r="U637" t="s">
        <v>1387</v>
      </c>
      <c r="V637" s="1">
        <v>46053</v>
      </c>
      <c r="W637" s="1">
        <v>46053</v>
      </c>
      <c r="X637" t="s">
        <v>77</v>
      </c>
      <c r="Y637" t="s">
        <v>646</v>
      </c>
      <c r="Z637" t="s">
        <v>6</v>
      </c>
      <c r="AA637" t="s">
        <v>646</v>
      </c>
      <c r="AB637" s="4">
        <f t="shared" si="49"/>
        <v>326710</v>
      </c>
      <c r="AC637" s="5" t="s">
        <v>2215</v>
      </c>
      <c r="AD637" s="4">
        <f t="shared" si="50"/>
        <v>27225.833333333332</v>
      </c>
      <c r="AE637" s="4">
        <f t="shared" si="46"/>
        <v>-5445.1666666666679</v>
      </c>
    </row>
    <row r="638" spans="1:31" x14ac:dyDescent="0.25">
      <c r="A638" t="s">
        <v>0</v>
      </c>
      <c r="B638" s="3" t="s">
        <v>2219</v>
      </c>
      <c r="C638" t="s">
        <v>1384</v>
      </c>
      <c r="D638" t="s">
        <v>160</v>
      </c>
      <c r="E638" t="s">
        <v>898</v>
      </c>
      <c r="F638" s="1">
        <v>46060</v>
      </c>
      <c r="G638" s="1">
        <v>46063</v>
      </c>
      <c r="H638" t="s">
        <v>882</v>
      </c>
      <c r="I638" t="s">
        <v>5</v>
      </c>
      <c r="J638" t="s">
        <v>6</v>
      </c>
      <c r="K638" t="s">
        <v>4</v>
      </c>
      <c r="L638" t="s">
        <v>1482</v>
      </c>
      <c r="M638" t="s">
        <v>1482</v>
      </c>
      <c r="N638" s="2">
        <v>14227</v>
      </c>
      <c r="O638" t="s">
        <v>1386</v>
      </c>
      <c r="P638" t="s">
        <v>9</v>
      </c>
      <c r="Q638" t="s">
        <v>75</v>
      </c>
      <c r="R638" t="e">
        <f>VLOOKUP(Q638,#REF!,2,FALSE)</f>
        <v>#REF!</v>
      </c>
      <c r="S638">
        <v>1004</v>
      </c>
      <c r="T638" t="s">
        <v>2225</v>
      </c>
      <c r="U638" t="s">
        <v>1387</v>
      </c>
      <c r="V638" s="1">
        <v>46053</v>
      </c>
      <c r="W638" s="1">
        <v>46053</v>
      </c>
      <c r="X638" t="s">
        <v>77</v>
      </c>
      <c r="Y638" t="s">
        <v>646</v>
      </c>
      <c r="Z638" t="s">
        <v>6</v>
      </c>
      <c r="AA638" t="s">
        <v>646</v>
      </c>
      <c r="AB638" s="4">
        <f t="shared" si="49"/>
        <v>142270</v>
      </c>
      <c r="AC638" s="5" t="s">
        <v>2215</v>
      </c>
      <c r="AD638" s="4">
        <f t="shared" si="50"/>
        <v>11855.833333333334</v>
      </c>
      <c r="AE638" s="4">
        <f t="shared" si="46"/>
        <v>-2371.1666666666661</v>
      </c>
    </row>
    <row r="639" spans="1:31" x14ac:dyDescent="0.25">
      <c r="A639" t="s">
        <v>0</v>
      </c>
      <c r="B639" s="3" t="s">
        <v>2219</v>
      </c>
      <c r="C639" t="s">
        <v>1384</v>
      </c>
      <c r="D639" t="s">
        <v>160</v>
      </c>
      <c r="E639" t="s">
        <v>900</v>
      </c>
      <c r="F639" s="1">
        <v>46060</v>
      </c>
      <c r="G639" s="1">
        <v>46063</v>
      </c>
      <c r="H639" t="s">
        <v>882</v>
      </c>
      <c r="I639" t="s">
        <v>5</v>
      </c>
      <c r="J639" t="s">
        <v>6</v>
      </c>
      <c r="K639" t="s">
        <v>4</v>
      </c>
      <c r="L639" t="s">
        <v>1483</v>
      </c>
      <c r="M639" t="s">
        <v>1483</v>
      </c>
      <c r="N639" s="2">
        <v>9681</v>
      </c>
      <c r="O639" t="s">
        <v>1386</v>
      </c>
      <c r="P639" t="s">
        <v>9</v>
      </c>
      <c r="Q639" t="s">
        <v>75</v>
      </c>
      <c r="R639" t="e">
        <f>VLOOKUP(Q639,#REF!,2,FALSE)</f>
        <v>#REF!</v>
      </c>
      <c r="S639">
        <v>1004</v>
      </c>
      <c r="T639" t="s">
        <v>2225</v>
      </c>
      <c r="U639" t="s">
        <v>1387</v>
      </c>
      <c r="V639" s="1">
        <v>46053</v>
      </c>
      <c r="W639" s="1">
        <v>46053</v>
      </c>
      <c r="X639" t="s">
        <v>77</v>
      </c>
      <c r="Y639" t="s">
        <v>646</v>
      </c>
      <c r="Z639" t="s">
        <v>6</v>
      </c>
      <c r="AA639" t="s">
        <v>646</v>
      </c>
      <c r="AB639" s="4">
        <f t="shared" si="49"/>
        <v>96810</v>
      </c>
      <c r="AC639" s="5" t="s">
        <v>2215</v>
      </c>
      <c r="AD639" s="4">
        <f t="shared" si="50"/>
        <v>8067.5</v>
      </c>
      <c r="AE639" s="4">
        <f t="shared" si="46"/>
        <v>-1613.5</v>
      </c>
    </row>
    <row r="640" spans="1:31" x14ac:dyDescent="0.25">
      <c r="A640" t="s">
        <v>0</v>
      </c>
      <c r="B640" s="3" t="s">
        <v>2219</v>
      </c>
      <c r="C640" t="s">
        <v>1384</v>
      </c>
      <c r="D640" t="s">
        <v>160</v>
      </c>
      <c r="E640" t="s">
        <v>903</v>
      </c>
      <c r="F640" s="1">
        <v>46060</v>
      </c>
      <c r="G640" s="1">
        <v>46063</v>
      </c>
      <c r="H640" t="s">
        <v>882</v>
      </c>
      <c r="I640" t="s">
        <v>5</v>
      </c>
      <c r="J640" t="s">
        <v>6</v>
      </c>
      <c r="K640" t="s">
        <v>4</v>
      </c>
      <c r="L640" t="s">
        <v>1484</v>
      </c>
      <c r="M640" t="s">
        <v>1484</v>
      </c>
      <c r="N640" s="2">
        <v>70466</v>
      </c>
      <c r="O640" t="s">
        <v>1386</v>
      </c>
      <c r="P640" t="s">
        <v>9</v>
      </c>
      <c r="Q640" t="s">
        <v>75</v>
      </c>
      <c r="R640" t="e">
        <f>VLOOKUP(Q640,#REF!,2,FALSE)</f>
        <v>#REF!</v>
      </c>
      <c r="S640">
        <v>1004</v>
      </c>
      <c r="T640" t="s">
        <v>2225</v>
      </c>
      <c r="U640" t="s">
        <v>1387</v>
      </c>
      <c r="V640" s="1">
        <v>46053</v>
      </c>
      <c r="W640" s="1">
        <v>46053</v>
      </c>
      <c r="X640" t="s">
        <v>77</v>
      </c>
      <c r="Y640" t="s">
        <v>646</v>
      </c>
      <c r="Z640" t="s">
        <v>6</v>
      </c>
      <c r="AA640" t="s">
        <v>646</v>
      </c>
      <c r="AB640" s="4">
        <f t="shared" si="49"/>
        <v>704660</v>
      </c>
      <c r="AC640" s="5" t="s">
        <v>2215</v>
      </c>
      <c r="AD640" s="4">
        <f t="shared" si="50"/>
        <v>58721.666666666664</v>
      </c>
      <c r="AE640" s="4">
        <f t="shared" si="46"/>
        <v>-11744.333333333336</v>
      </c>
    </row>
    <row r="641" spans="1:31" x14ac:dyDescent="0.25">
      <c r="A641" t="s">
        <v>0</v>
      </c>
      <c r="B641" s="3" t="s">
        <v>2219</v>
      </c>
      <c r="C641" t="s">
        <v>1384</v>
      </c>
      <c r="D641" t="s">
        <v>160</v>
      </c>
      <c r="E641" t="s">
        <v>906</v>
      </c>
      <c r="F641" s="1">
        <v>46060</v>
      </c>
      <c r="G641" s="1">
        <v>46063</v>
      </c>
      <c r="H641" t="s">
        <v>882</v>
      </c>
      <c r="I641" t="s">
        <v>5</v>
      </c>
      <c r="J641" t="s">
        <v>6</v>
      </c>
      <c r="K641" t="s">
        <v>4</v>
      </c>
      <c r="L641" t="s">
        <v>1485</v>
      </c>
      <c r="M641" t="s">
        <v>1485</v>
      </c>
      <c r="N641" s="2">
        <v>29762</v>
      </c>
      <c r="O641" t="s">
        <v>1386</v>
      </c>
      <c r="P641" t="s">
        <v>9</v>
      </c>
      <c r="Q641" t="s">
        <v>75</v>
      </c>
      <c r="R641" t="e">
        <f>VLOOKUP(Q641,#REF!,2,FALSE)</f>
        <v>#REF!</v>
      </c>
      <c r="S641">
        <v>1004</v>
      </c>
      <c r="T641" t="s">
        <v>2225</v>
      </c>
      <c r="U641" t="s">
        <v>1387</v>
      </c>
      <c r="V641" s="1">
        <v>46053</v>
      </c>
      <c r="W641" s="1">
        <v>46053</v>
      </c>
      <c r="X641" t="s">
        <v>77</v>
      </c>
      <c r="Y641" t="s">
        <v>646</v>
      </c>
      <c r="Z641" t="s">
        <v>6</v>
      </c>
      <c r="AA641" t="s">
        <v>646</v>
      </c>
      <c r="AB641" s="4">
        <f t="shared" si="49"/>
        <v>297620</v>
      </c>
      <c r="AC641" s="5" t="s">
        <v>2215</v>
      </c>
      <c r="AD641" s="4">
        <f t="shared" si="50"/>
        <v>24801.666666666668</v>
      </c>
      <c r="AE641" s="4">
        <f t="shared" si="46"/>
        <v>-4960.3333333333321</v>
      </c>
    </row>
    <row r="642" spans="1:31" x14ac:dyDescent="0.25">
      <c r="A642" t="s">
        <v>0</v>
      </c>
      <c r="B642" s="3" t="s">
        <v>2219</v>
      </c>
      <c r="C642" t="s">
        <v>1384</v>
      </c>
      <c r="D642" t="s">
        <v>160</v>
      </c>
      <c r="E642" t="s">
        <v>908</v>
      </c>
      <c r="F642" s="1">
        <v>46060</v>
      </c>
      <c r="G642" s="1">
        <v>46063</v>
      </c>
      <c r="H642" t="s">
        <v>882</v>
      </c>
      <c r="I642" t="s">
        <v>5</v>
      </c>
      <c r="J642" t="s">
        <v>6</v>
      </c>
      <c r="K642" t="s">
        <v>4</v>
      </c>
      <c r="L642" t="s">
        <v>1486</v>
      </c>
      <c r="M642" t="s">
        <v>1486</v>
      </c>
      <c r="N642" s="2">
        <v>13087</v>
      </c>
      <c r="O642" t="s">
        <v>1386</v>
      </c>
      <c r="P642" t="s">
        <v>9</v>
      </c>
      <c r="Q642" t="s">
        <v>75</v>
      </c>
      <c r="R642" t="e">
        <f>VLOOKUP(Q642,#REF!,2,FALSE)</f>
        <v>#REF!</v>
      </c>
      <c r="S642">
        <v>1004</v>
      </c>
      <c r="T642" t="s">
        <v>2225</v>
      </c>
      <c r="U642" t="s">
        <v>1387</v>
      </c>
      <c r="V642" s="1">
        <v>46053</v>
      </c>
      <c r="W642" s="1">
        <v>46053</v>
      </c>
      <c r="X642" t="s">
        <v>77</v>
      </c>
      <c r="Y642" t="s">
        <v>646</v>
      </c>
      <c r="Z642" t="s">
        <v>6</v>
      </c>
      <c r="AA642" t="s">
        <v>646</v>
      </c>
      <c r="AB642" s="4">
        <f t="shared" si="49"/>
        <v>130870</v>
      </c>
      <c r="AC642" s="5" t="s">
        <v>2215</v>
      </c>
      <c r="AD642" s="4">
        <f t="shared" si="50"/>
        <v>10905.833333333334</v>
      </c>
      <c r="AE642" s="4">
        <f t="shared" ref="AE642:AE705" si="51">AD642-L642</f>
        <v>-2181.1666666666661</v>
      </c>
    </row>
    <row r="643" spans="1:31" x14ac:dyDescent="0.25">
      <c r="A643" t="s">
        <v>0</v>
      </c>
      <c r="B643" s="3" t="s">
        <v>2219</v>
      </c>
      <c r="C643" t="s">
        <v>1384</v>
      </c>
      <c r="D643" t="s">
        <v>160</v>
      </c>
      <c r="E643" t="s">
        <v>910</v>
      </c>
      <c r="F643" s="1">
        <v>46060</v>
      </c>
      <c r="G643" s="1">
        <v>46063</v>
      </c>
      <c r="H643" t="s">
        <v>882</v>
      </c>
      <c r="I643" t="s">
        <v>5</v>
      </c>
      <c r="J643" t="s">
        <v>6</v>
      </c>
      <c r="K643" t="s">
        <v>4</v>
      </c>
      <c r="L643" t="s">
        <v>1487</v>
      </c>
      <c r="M643" t="s">
        <v>1487</v>
      </c>
      <c r="N643" s="2">
        <v>374215</v>
      </c>
      <c r="O643" t="s">
        <v>1386</v>
      </c>
      <c r="P643" t="s">
        <v>9</v>
      </c>
      <c r="Q643" t="s">
        <v>75</v>
      </c>
      <c r="R643" t="e">
        <f>VLOOKUP(Q643,#REF!,2,FALSE)</f>
        <v>#REF!</v>
      </c>
      <c r="S643">
        <v>1004</v>
      </c>
      <c r="T643" t="s">
        <v>2225</v>
      </c>
      <c r="U643" t="s">
        <v>1387</v>
      </c>
      <c r="V643" s="1">
        <v>46053</v>
      </c>
      <c r="W643" s="1">
        <v>46053</v>
      </c>
      <c r="X643" t="s">
        <v>77</v>
      </c>
      <c r="Y643" t="s">
        <v>646</v>
      </c>
      <c r="Z643" t="s">
        <v>6</v>
      </c>
      <c r="AA643" t="s">
        <v>646</v>
      </c>
      <c r="AB643" s="4">
        <f t="shared" si="49"/>
        <v>3742150</v>
      </c>
      <c r="AC643" s="5" t="s">
        <v>2215</v>
      </c>
      <c r="AD643" s="4">
        <f t="shared" si="50"/>
        <v>311845.83333333331</v>
      </c>
      <c r="AE643" s="4">
        <f t="shared" si="51"/>
        <v>-62369.166666666686</v>
      </c>
    </row>
    <row r="644" spans="1:31" x14ac:dyDescent="0.25">
      <c r="A644" t="s">
        <v>0</v>
      </c>
      <c r="B644" s="3" t="s">
        <v>2219</v>
      </c>
      <c r="C644" t="s">
        <v>1384</v>
      </c>
      <c r="D644" t="s">
        <v>160</v>
      </c>
      <c r="E644" t="s">
        <v>912</v>
      </c>
      <c r="F644" s="1">
        <v>46060</v>
      </c>
      <c r="G644" s="1">
        <v>46063</v>
      </c>
      <c r="H644" t="s">
        <v>882</v>
      </c>
      <c r="I644" t="s">
        <v>5</v>
      </c>
      <c r="J644" t="s">
        <v>6</v>
      </c>
      <c r="K644" t="s">
        <v>4</v>
      </c>
      <c r="L644" t="s">
        <v>1488</v>
      </c>
      <c r="M644" t="s">
        <v>1488</v>
      </c>
      <c r="N644" s="2">
        <v>16324</v>
      </c>
      <c r="O644" t="s">
        <v>1386</v>
      </c>
      <c r="P644" t="s">
        <v>9</v>
      </c>
      <c r="Q644" t="s">
        <v>75</v>
      </c>
      <c r="R644" t="e">
        <f>VLOOKUP(Q644,#REF!,2,FALSE)</f>
        <v>#REF!</v>
      </c>
      <c r="S644">
        <v>1004</v>
      </c>
      <c r="T644" t="s">
        <v>2225</v>
      </c>
      <c r="U644" t="s">
        <v>1387</v>
      </c>
      <c r="V644" s="1">
        <v>46053</v>
      </c>
      <c r="W644" s="1">
        <v>46053</v>
      </c>
      <c r="X644" t="s">
        <v>77</v>
      </c>
      <c r="Y644" t="s">
        <v>646</v>
      </c>
      <c r="Z644" t="s">
        <v>6</v>
      </c>
      <c r="AA644" t="s">
        <v>646</v>
      </c>
      <c r="AB644" s="4">
        <f t="shared" si="49"/>
        <v>163240</v>
      </c>
      <c r="AC644" s="5" t="s">
        <v>2215</v>
      </c>
      <c r="AD644" s="4">
        <f t="shared" si="50"/>
        <v>13603.333333333334</v>
      </c>
      <c r="AE644" s="4">
        <f t="shared" si="51"/>
        <v>-2720.6666666666661</v>
      </c>
    </row>
    <row r="645" spans="1:31" x14ac:dyDescent="0.25">
      <c r="A645" t="s">
        <v>0</v>
      </c>
      <c r="B645" s="3" t="s">
        <v>2219</v>
      </c>
      <c r="C645" t="s">
        <v>1384</v>
      </c>
      <c r="D645" t="s">
        <v>160</v>
      </c>
      <c r="E645" t="s">
        <v>914</v>
      </c>
      <c r="F645" s="1">
        <v>46060</v>
      </c>
      <c r="G645" s="1">
        <v>46063</v>
      </c>
      <c r="H645" t="s">
        <v>882</v>
      </c>
      <c r="I645" t="s">
        <v>5</v>
      </c>
      <c r="J645" t="s">
        <v>6</v>
      </c>
      <c r="K645" t="s">
        <v>4</v>
      </c>
      <c r="L645" t="s">
        <v>1489</v>
      </c>
      <c r="M645" t="s">
        <v>1489</v>
      </c>
      <c r="N645" s="2">
        <v>64372</v>
      </c>
      <c r="O645" t="s">
        <v>1386</v>
      </c>
      <c r="P645" t="s">
        <v>9</v>
      </c>
      <c r="Q645" t="s">
        <v>75</v>
      </c>
      <c r="R645" t="e">
        <f>VLOOKUP(Q645,#REF!,2,FALSE)</f>
        <v>#REF!</v>
      </c>
      <c r="S645">
        <v>1004</v>
      </c>
      <c r="T645" t="s">
        <v>2225</v>
      </c>
      <c r="U645" t="s">
        <v>1387</v>
      </c>
      <c r="V645" s="1">
        <v>46053</v>
      </c>
      <c r="W645" s="1">
        <v>46053</v>
      </c>
      <c r="X645" t="s">
        <v>77</v>
      </c>
      <c r="Y645" t="s">
        <v>646</v>
      </c>
      <c r="Z645" t="s">
        <v>6</v>
      </c>
      <c r="AA645" t="s">
        <v>646</v>
      </c>
      <c r="AB645" s="4">
        <f t="shared" si="49"/>
        <v>643720</v>
      </c>
      <c r="AC645" s="5" t="s">
        <v>2215</v>
      </c>
      <c r="AD645" s="4">
        <f t="shared" si="50"/>
        <v>53643.333333333336</v>
      </c>
      <c r="AE645" s="4">
        <f t="shared" si="51"/>
        <v>-10728.666666666664</v>
      </c>
    </row>
    <row r="646" spans="1:31" x14ac:dyDescent="0.25">
      <c r="A646" t="s">
        <v>0</v>
      </c>
      <c r="B646" s="3" t="s">
        <v>2219</v>
      </c>
      <c r="C646" t="s">
        <v>1384</v>
      </c>
      <c r="D646" t="s">
        <v>160</v>
      </c>
      <c r="E646" t="s">
        <v>916</v>
      </c>
      <c r="F646" s="1">
        <v>46060</v>
      </c>
      <c r="G646" s="1">
        <v>46063</v>
      </c>
      <c r="H646" t="s">
        <v>882</v>
      </c>
      <c r="I646" t="s">
        <v>5</v>
      </c>
      <c r="J646" t="s">
        <v>6</v>
      </c>
      <c r="K646" t="s">
        <v>4</v>
      </c>
      <c r="L646" t="s">
        <v>1490</v>
      </c>
      <c r="M646" t="s">
        <v>1490</v>
      </c>
      <c r="N646" s="2">
        <v>68898</v>
      </c>
      <c r="O646" t="s">
        <v>1386</v>
      </c>
      <c r="P646" t="s">
        <v>9</v>
      </c>
      <c r="Q646" t="s">
        <v>75</v>
      </c>
      <c r="R646" t="e">
        <f>VLOOKUP(Q646,#REF!,2,FALSE)</f>
        <v>#REF!</v>
      </c>
      <c r="S646">
        <v>1004</v>
      </c>
      <c r="T646" t="s">
        <v>2225</v>
      </c>
      <c r="U646" t="s">
        <v>1387</v>
      </c>
      <c r="V646" s="1">
        <v>46053</v>
      </c>
      <c r="W646" s="1">
        <v>46053</v>
      </c>
      <c r="X646" t="s">
        <v>77</v>
      </c>
      <c r="Y646" t="s">
        <v>646</v>
      </c>
      <c r="Z646" t="s">
        <v>6</v>
      </c>
      <c r="AA646" t="s">
        <v>646</v>
      </c>
      <c r="AB646" s="4">
        <f t="shared" si="49"/>
        <v>688980</v>
      </c>
      <c r="AC646" s="5" t="s">
        <v>2215</v>
      </c>
      <c r="AD646" s="4">
        <f t="shared" si="50"/>
        <v>57415</v>
      </c>
      <c r="AE646" s="4">
        <f t="shared" si="51"/>
        <v>-11483</v>
      </c>
    </row>
    <row r="647" spans="1:31" x14ac:dyDescent="0.25">
      <c r="A647" t="s">
        <v>0</v>
      </c>
      <c r="B647" s="3" t="s">
        <v>2219</v>
      </c>
      <c r="C647" t="s">
        <v>1384</v>
      </c>
      <c r="D647" t="s">
        <v>160</v>
      </c>
      <c r="E647" t="s">
        <v>918</v>
      </c>
      <c r="F647" s="1">
        <v>46060</v>
      </c>
      <c r="G647" s="1">
        <v>46063</v>
      </c>
      <c r="H647" t="s">
        <v>882</v>
      </c>
      <c r="I647" t="s">
        <v>5</v>
      </c>
      <c r="J647" t="s">
        <v>6</v>
      </c>
      <c r="K647" t="s">
        <v>4</v>
      </c>
      <c r="L647" t="s">
        <v>1491</v>
      </c>
      <c r="M647" t="s">
        <v>1491</v>
      </c>
      <c r="N647" s="2">
        <v>51688</v>
      </c>
      <c r="O647" t="s">
        <v>1386</v>
      </c>
      <c r="P647" t="s">
        <v>9</v>
      </c>
      <c r="Q647" t="s">
        <v>75</v>
      </c>
      <c r="R647" t="e">
        <f>VLOOKUP(Q647,#REF!,2,FALSE)</f>
        <v>#REF!</v>
      </c>
      <c r="S647">
        <v>1004</v>
      </c>
      <c r="T647" t="s">
        <v>2225</v>
      </c>
      <c r="U647" t="s">
        <v>1387</v>
      </c>
      <c r="V647" s="1">
        <v>46053</v>
      </c>
      <c r="W647" s="1">
        <v>46053</v>
      </c>
      <c r="X647" t="s">
        <v>77</v>
      </c>
      <c r="Y647" t="s">
        <v>646</v>
      </c>
      <c r="Z647" t="s">
        <v>6</v>
      </c>
      <c r="AA647" t="s">
        <v>646</v>
      </c>
      <c r="AB647" s="4">
        <f t="shared" si="49"/>
        <v>516880</v>
      </c>
      <c r="AC647" s="5" t="s">
        <v>2215</v>
      </c>
      <c r="AD647" s="4">
        <f t="shared" si="50"/>
        <v>43073.333333333336</v>
      </c>
      <c r="AE647" s="4">
        <f t="shared" si="51"/>
        <v>-8614.6666666666642</v>
      </c>
    </row>
    <row r="648" spans="1:31" x14ac:dyDescent="0.25">
      <c r="A648" t="s">
        <v>0</v>
      </c>
      <c r="B648" s="3" t="s">
        <v>2219</v>
      </c>
      <c r="C648" t="s">
        <v>1384</v>
      </c>
      <c r="D648" t="s">
        <v>160</v>
      </c>
      <c r="E648" t="s">
        <v>1492</v>
      </c>
      <c r="F648" s="1">
        <v>46060</v>
      </c>
      <c r="G648" s="1">
        <v>46063</v>
      </c>
      <c r="H648" t="s">
        <v>882</v>
      </c>
      <c r="I648" t="s">
        <v>5</v>
      </c>
      <c r="J648" t="s">
        <v>6</v>
      </c>
      <c r="K648" t="s">
        <v>4</v>
      </c>
      <c r="L648" t="s">
        <v>1493</v>
      </c>
      <c r="M648" t="s">
        <v>1493</v>
      </c>
      <c r="N648" s="2">
        <v>31977</v>
      </c>
      <c r="O648" t="s">
        <v>1386</v>
      </c>
      <c r="P648" t="s">
        <v>9</v>
      </c>
      <c r="Q648" t="s">
        <v>75</v>
      </c>
      <c r="R648" t="e">
        <f>VLOOKUP(Q648,#REF!,2,FALSE)</f>
        <v>#REF!</v>
      </c>
      <c r="S648">
        <v>1004</v>
      </c>
      <c r="T648" t="s">
        <v>2225</v>
      </c>
      <c r="U648" t="s">
        <v>1387</v>
      </c>
      <c r="V648" s="1">
        <v>46053</v>
      </c>
      <c r="W648" s="1">
        <v>46053</v>
      </c>
      <c r="X648" t="s">
        <v>77</v>
      </c>
      <c r="Y648" t="s">
        <v>646</v>
      </c>
      <c r="Z648" t="s">
        <v>6</v>
      </c>
      <c r="AA648" t="s">
        <v>646</v>
      </c>
      <c r="AB648" s="4">
        <f t="shared" si="49"/>
        <v>319770</v>
      </c>
      <c r="AC648" s="5" t="s">
        <v>2215</v>
      </c>
      <c r="AD648" s="4">
        <f t="shared" si="50"/>
        <v>26647.5</v>
      </c>
      <c r="AE648" s="4">
        <f t="shared" si="51"/>
        <v>-5329.5</v>
      </c>
    </row>
    <row r="649" spans="1:31" x14ac:dyDescent="0.25">
      <c r="A649" t="s">
        <v>0</v>
      </c>
      <c r="B649" s="3" t="s">
        <v>2219</v>
      </c>
      <c r="C649" t="s">
        <v>1384</v>
      </c>
      <c r="D649" t="s">
        <v>160</v>
      </c>
      <c r="E649" t="s">
        <v>1494</v>
      </c>
      <c r="F649" s="1">
        <v>46060</v>
      </c>
      <c r="G649" s="1">
        <v>46063</v>
      </c>
      <c r="H649" t="s">
        <v>882</v>
      </c>
      <c r="I649" t="s">
        <v>5</v>
      </c>
      <c r="J649" t="s">
        <v>6</v>
      </c>
      <c r="K649" t="s">
        <v>4</v>
      </c>
      <c r="L649" t="s">
        <v>1495</v>
      </c>
      <c r="M649" t="s">
        <v>1495</v>
      </c>
      <c r="N649" s="2">
        <v>9810</v>
      </c>
      <c r="O649" t="s">
        <v>1386</v>
      </c>
      <c r="P649" t="s">
        <v>9</v>
      </c>
      <c r="Q649" t="s">
        <v>75</v>
      </c>
      <c r="R649" t="e">
        <f>VLOOKUP(Q649,#REF!,2,FALSE)</f>
        <v>#REF!</v>
      </c>
      <c r="S649">
        <v>1004</v>
      </c>
      <c r="T649" t="s">
        <v>2225</v>
      </c>
      <c r="U649" t="s">
        <v>1387</v>
      </c>
      <c r="V649" s="1">
        <v>46053</v>
      </c>
      <c r="W649" s="1">
        <v>46053</v>
      </c>
      <c r="X649" t="s">
        <v>77</v>
      </c>
      <c r="Y649" t="s">
        <v>646</v>
      </c>
      <c r="Z649" t="s">
        <v>6</v>
      </c>
      <c r="AA649" t="s">
        <v>646</v>
      </c>
      <c r="AB649" s="4">
        <f t="shared" si="49"/>
        <v>98100</v>
      </c>
      <c r="AC649" s="5" t="s">
        <v>2215</v>
      </c>
      <c r="AD649" s="4">
        <f t="shared" si="50"/>
        <v>8175</v>
      </c>
      <c r="AE649" s="4">
        <f t="shared" si="51"/>
        <v>-1635</v>
      </c>
    </row>
    <row r="650" spans="1:31" x14ac:dyDescent="0.25">
      <c r="A650" t="s">
        <v>0</v>
      </c>
      <c r="B650" s="3" t="s">
        <v>2219</v>
      </c>
      <c r="C650" t="s">
        <v>1384</v>
      </c>
      <c r="D650" t="s">
        <v>160</v>
      </c>
      <c r="E650" t="s">
        <v>1496</v>
      </c>
      <c r="F650" s="1">
        <v>46060</v>
      </c>
      <c r="G650" s="1">
        <v>46063</v>
      </c>
      <c r="H650" t="s">
        <v>882</v>
      </c>
      <c r="I650" t="s">
        <v>5</v>
      </c>
      <c r="J650" t="s">
        <v>6</v>
      </c>
      <c r="K650" t="s">
        <v>4</v>
      </c>
      <c r="L650" t="s">
        <v>1497</v>
      </c>
      <c r="M650" t="s">
        <v>1497</v>
      </c>
      <c r="N650" s="2">
        <v>24727</v>
      </c>
      <c r="O650" t="s">
        <v>1386</v>
      </c>
      <c r="P650" t="s">
        <v>9</v>
      </c>
      <c r="Q650" t="s">
        <v>75</v>
      </c>
      <c r="R650" t="e">
        <f>VLOOKUP(Q650,#REF!,2,FALSE)</f>
        <v>#REF!</v>
      </c>
      <c r="S650">
        <v>1004</v>
      </c>
      <c r="T650" t="s">
        <v>2225</v>
      </c>
      <c r="U650" t="s">
        <v>1387</v>
      </c>
      <c r="V650" s="1">
        <v>46053</v>
      </c>
      <c r="W650" s="1">
        <v>46053</v>
      </c>
      <c r="X650" t="s">
        <v>77</v>
      </c>
      <c r="Y650" t="s">
        <v>646</v>
      </c>
      <c r="Z650" t="s">
        <v>6</v>
      </c>
      <c r="AA650" t="s">
        <v>646</v>
      </c>
      <c r="AB650" s="4">
        <f t="shared" si="49"/>
        <v>247270</v>
      </c>
      <c r="AC650" s="5" t="s">
        <v>2215</v>
      </c>
      <c r="AD650" s="4">
        <f t="shared" si="50"/>
        <v>20605.833333333332</v>
      </c>
      <c r="AE650" s="4">
        <f t="shared" si="51"/>
        <v>-4121.1666666666679</v>
      </c>
    </row>
    <row r="651" spans="1:31" x14ac:dyDescent="0.25">
      <c r="A651" t="s">
        <v>0</v>
      </c>
      <c r="B651" s="3" t="s">
        <v>2219</v>
      </c>
      <c r="C651" t="s">
        <v>1384</v>
      </c>
      <c r="D651" t="s">
        <v>160</v>
      </c>
      <c r="E651" t="s">
        <v>1498</v>
      </c>
      <c r="F651" s="1">
        <v>46060</v>
      </c>
      <c r="G651" s="1">
        <v>46063</v>
      </c>
      <c r="H651" t="s">
        <v>882</v>
      </c>
      <c r="I651" t="s">
        <v>5</v>
      </c>
      <c r="J651" t="s">
        <v>6</v>
      </c>
      <c r="K651" t="s">
        <v>4</v>
      </c>
      <c r="L651" t="s">
        <v>1499</v>
      </c>
      <c r="M651" t="s">
        <v>1499</v>
      </c>
      <c r="N651" s="2">
        <v>46617</v>
      </c>
      <c r="O651" t="s">
        <v>1386</v>
      </c>
      <c r="P651" t="s">
        <v>9</v>
      </c>
      <c r="Q651" t="s">
        <v>75</v>
      </c>
      <c r="R651" t="e">
        <f>VLOOKUP(Q651,#REF!,2,FALSE)</f>
        <v>#REF!</v>
      </c>
      <c r="S651">
        <v>1004</v>
      </c>
      <c r="T651" t="s">
        <v>2225</v>
      </c>
      <c r="U651" t="s">
        <v>1387</v>
      </c>
      <c r="V651" s="1">
        <v>46053</v>
      </c>
      <c r="W651" s="1">
        <v>46053</v>
      </c>
      <c r="X651" t="s">
        <v>77</v>
      </c>
      <c r="Y651" t="s">
        <v>646</v>
      </c>
      <c r="Z651" t="s">
        <v>6</v>
      </c>
      <c r="AA651" t="s">
        <v>646</v>
      </c>
      <c r="AB651" s="4">
        <f t="shared" si="49"/>
        <v>466170</v>
      </c>
      <c r="AC651" s="5" t="s">
        <v>2215</v>
      </c>
      <c r="AD651" s="4">
        <f t="shared" si="50"/>
        <v>38847.5</v>
      </c>
      <c r="AE651" s="4">
        <f t="shared" si="51"/>
        <v>-7769.5</v>
      </c>
    </row>
    <row r="652" spans="1:31" x14ac:dyDescent="0.25">
      <c r="A652" t="s">
        <v>0</v>
      </c>
      <c r="B652" s="3" t="s">
        <v>2219</v>
      </c>
      <c r="C652" t="s">
        <v>1384</v>
      </c>
      <c r="D652" t="s">
        <v>160</v>
      </c>
      <c r="E652" t="s">
        <v>1500</v>
      </c>
      <c r="F652" s="1">
        <v>46060</v>
      </c>
      <c r="G652" s="1">
        <v>46063</v>
      </c>
      <c r="H652" t="s">
        <v>882</v>
      </c>
      <c r="I652" t="s">
        <v>5</v>
      </c>
      <c r="J652" t="s">
        <v>6</v>
      </c>
      <c r="K652" t="s">
        <v>4</v>
      </c>
      <c r="L652" t="s">
        <v>1501</v>
      </c>
      <c r="M652" t="s">
        <v>1501</v>
      </c>
      <c r="N652" s="2">
        <v>14682</v>
      </c>
      <c r="O652" t="s">
        <v>1386</v>
      </c>
      <c r="P652" t="s">
        <v>9</v>
      </c>
      <c r="Q652" t="s">
        <v>75</v>
      </c>
      <c r="R652" t="e">
        <f>VLOOKUP(Q652,#REF!,2,FALSE)</f>
        <v>#REF!</v>
      </c>
      <c r="S652">
        <v>1004</v>
      </c>
      <c r="T652" t="s">
        <v>2225</v>
      </c>
      <c r="U652" t="s">
        <v>1387</v>
      </c>
      <c r="V652" s="1">
        <v>46053</v>
      </c>
      <c r="W652" s="1">
        <v>46053</v>
      </c>
      <c r="X652" t="s">
        <v>77</v>
      </c>
      <c r="Y652" t="s">
        <v>646</v>
      </c>
      <c r="Z652" t="s">
        <v>6</v>
      </c>
      <c r="AA652" t="s">
        <v>646</v>
      </c>
      <c r="AB652" s="4">
        <f t="shared" si="49"/>
        <v>146820</v>
      </c>
      <c r="AC652" s="5" t="s">
        <v>2215</v>
      </c>
      <c r="AD652" s="4">
        <f t="shared" si="50"/>
        <v>12235</v>
      </c>
      <c r="AE652" s="4">
        <f t="shared" si="51"/>
        <v>-2447</v>
      </c>
    </row>
    <row r="653" spans="1:31" x14ac:dyDescent="0.25">
      <c r="A653" t="s">
        <v>0</v>
      </c>
      <c r="B653" s="3" t="s">
        <v>2219</v>
      </c>
      <c r="C653" t="s">
        <v>1384</v>
      </c>
      <c r="D653" t="s">
        <v>160</v>
      </c>
      <c r="E653" t="s">
        <v>1502</v>
      </c>
      <c r="F653" s="1">
        <v>46060</v>
      </c>
      <c r="G653" s="1">
        <v>46063</v>
      </c>
      <c r="H653" t="s">
        <v>882</v>
      </c>
      <c r="I653" t="s">
        <v>5</v>
      </c>
      <c r="J653" t="s">
        <v>6</v>
      </c>
      <c r="K653" t="s">
        <v>4</v>
      </c>
      <c r="L653" t="s">
        <v>1503</v>
      </c>
      <c r="M653" t="s">
        <v>1503</v>
      </c>
      <c r="N653" s="2">
        <v>13964</v>
      </c>
      <c r="O653" t="s">
        <v>1386</v>
      </c>
      <c r="P653" t="s">
        <v>9</v>
      </c>
      <c r="Q653" t="s">
        <v>75</v>
      </c>
      <c r="R653" t="e">
        <f>VLOOKUP(Q653,#REF!,2,FALSE)</f>
        <v>#REF!</v>
      </c>
      <c r="S653">
        <v>1004</v>
      </c>
      <c r="T653" t="s">
        <v>2225</v>
      </c>
      <c r="U653" t="s">
        <v>1387</v>
      </c>
      <c r="V653" s="1">
        <v>46053</v>
      </c>
      <c r="W653" s="1">
        <v>46053</v>
      </c>
      <c r="X653" t="s">
        <v>77</v>
      </c>
      <c r="Y653" t="s">
        <v>646</v>
      </c>
      <c r="Z653" t="s">
        <v>6</v>
      </c>
      <c r="AA653" t="s">
        <v>646</v>
      </c>
      <c r="AB653" s="4">
        <f t="shared" si="49"/>
        <v>139640</v>
      </c>
      <c r="AC653" s="5" t="s">
        <v>2215</v>
      </c>
      <c r="AD653" s="4">
        <f t="shared" si="50"/>
        <v>11636.666666666666</v>
      </c>
      <c r="AE653" s="4">
        <f t="shared" si="51"/>
        <v>-2327.3333333333339</v>
      </c>
    </row>
    <row r="654" spans="1:31" x14ac:dyDescent="0.25">
      <c r="A654" t="s">
        <v>0</v>
      </c>
      <c r="B654" s="3" t="s">
        <v>2219</v>
      </c>
      <c r="C654" t="s">
        <v>1384</v>
      </c>
      <c r="D654" t="s">
        <v>160</v>
      </c>
      <c r="E654" t="s">
        <v>1504</v>
      </c>
      <c r="F654" s="1">
        <v>46060</v>
      </c>
      <c r="G654" s="1">
        <v>46063</v>
      </c>
      <c r="H654" t="s">
        <v>882</v>
      </c>
      <c r="I654" t="s">
        <v>5</v>
      </c>
      <c r="J654" t="s">
        <v>6</v>
      </c>
      <c r="K654" t="s">
        <v>4</v>
      </c>
      <c r="L654" t="s">
        <v>1505</v>
      </c>
      <c r="M654" t="s">
        <v>1505</v>
      </c>
      <c r="N654" s="2">
        <v>228819</v>
      </c>
      <c r="O654" t="s">
        <v>1386</v>
      </c>
      <c r="P654" t="s">
        <v>9</v>
      </c>
      <c r="Q654" t="s">
        <v>75</v>
      </c>
      <c r="R654" t="e">
        <f>VLOOKUP(Q654,#REF!,2,FALSE)</f>
        <v>#REF!</v>
      </c>
      <c r="S654">
        <v>1004</v>
      </c>
      <c r="T654" t="s">
        <v>2225</v>
      </c>
      <c r="U654" t="s">
        <v>1387</v>
      </c>
      <c r="V654" s="1">
        <v>46053</v>
      </c>
      <c r="W654" s="1">
        <v>46053</v>
      </c>
      <c r="X654" t="s">
        <v>77</v>
      </c>
      <c r="Y654" t="s">
        <v>646</v>
      </c>
      <c r="Z654" t="s">
        <v>6</v>
      </c>
      <c r="AA654" t="s">
        <v>646</v>
      </c>
      <c r="AB654" s="4">
        <f t="shared" si="49"/>
        <v>2288190</v>
      </c>
      <c r="AC654" s="5" t="s">
        <v>2215</v>
      </c>
      <c r="AD654" s="4">
        <f t="shared" si="50"/>
        <v>190682.5</v>
      </c>
      <c r="AE654" s="4">
        <f t="shared" si="51"/>
        <v>-38136.5</v>
      </c>
    </row>
    <row r="655" spans="1:31" x14ac:dyDescent="0.25">
      <c r="A655" t="s">
        <v>0</v>
      </c>
      <c r="B655" s="3" t="s">
        <v>2219</v>
      </c>
      <c r="C655" t="s">
        <v>1384</v>
      </c>
      <c r="D655" t="s">
        <v>160</v>
      </c>
      <c r="E655" t="s">
        <v>1506</v>
      </c>
      <c r="F655" s="1">
        <v>46060</v>
      </c>
      <c r="G655" s="1">
        <v>46063</v>
      </c>
      <c r="H655" t="s">
        <v>882</v>
      </c>
      <c r="I655" t="s">
        <v>5</v>
      </c>
      <c r="J655" t="s">
        <v>6</v>
      </c>
      <c r="K655" t="s">
        <v>4</v>
      </c>
      <c r="L655" t="s">
        <v>1507</v>
      </c>
      <c r="M655" t="s">
        <v>1507</v>
      </c>
      <c r="N655" s="2">
        <v>82600</v>
      </c>
      <c r="O655" t="s">
        <v>1386</v>
      </c>
      <c r="P655" t="s">
        <v>9</v>
      </c>
      <c r="Q655" t="s">
        <v>75</v>
      </c>
      <c r="R655" t="e">
        <f>VLOOKUP(Q655,#REF!,2,FALSE)</f>
        <v>#REF!</v>
      </c>
      <c r="S655">
        <v>1004</v>
      </c>
      <c r="T655" t="s">
        <v>2225</v>
      </c>
      <c r="U655" t="s">
        <v>1387</v>
      </c>
      <c r="V655" s="1">
        <v>46053</v>
      </c>
      <c r="W655" s="1">
        <v>46053</v>
      </c>
      <c r="X655" t="s">
        <v>77</v>
      </c>
      <c r="Y655" t="s">
        <v>646</v>
      </c>
      <c r="Z655" t="s">
        <v>6</v>
      </c>
      <c r="AA655" t="s">
        <v>646</v>
      </c>
      <c r="AB655" s="4">
        <f t="shared" si="49"/>
        <v>826000</v>
      </c>
      <c r="AC655" s="5" t="s">
        <v>2215</v>
      </c>
      <c r="AD655" s="4">
        <f t="shared" si="50"/>
        <v>68833.333333333328</v>
      </c>
      <c r="AE655" s="4">
        <f t="shared" si="51"/>
        <v>-13766.666666666672</v>
      </c>
    </row>
    <row r="656" spans="1:31" x14ac:dyDescent="0.25">
      <c r="A656" t="s">
        <v>0</v>
      </c>
      <c r="B656" s="3" t="s">
        <v>2219</v>
      </c>
      <c r="C656" t="s">
        <v>1384</v>
      </c>
      <c r="D656" t="s">
        <v>160</v>
      </c>
      <c r="E656" t="s">
        <v>1508</v>
      </c>
      <c r="F656" s="1">
        <v>46060</v>
      </c>
      <c r="G656" s="1">
        <v>46063</v>
      </c>
      <c r="H656" t="s">
        <v>882</v>
      </c>
      <c r="I656" t="s">
        <v>5</v>
      </c>
      <c r="J656" t="s">
        <v>6</v>
      </c>
      <c r="K656" t="s">
        <v>4</v>
      </c>
      <c r="L656" t="s">
        <v>1509</v>
      </c>
      <c r="M656" t="s">
        <v>1509</v>
      </c>
      <c r="N656" s="2">
        <v>192358</v>
      </c>
      <c r="O656" t="s">
        <v>1386</v>
      </c>
      <c r="P656" t="s">
        <v>9</v>
      </c>
      <c r="Q656" t="s">
        <v>75</v>
      </c>
      <c r="R656" t="e">
        <f>VLOOKUP(Q656,#REF!,2,FALSE)</f>
        <v>#REF!</v>
      </c>
      <c r="S656">
        <v>1004</v>
      </c>
      <c r="T656" t="s">
        <v>2225</v>
      </c>
      <c r="U656" t="s">
        <v>1387</v>
      </c>
      <c r="V656" s="1">
        <v>46053</v>
      </c>
      <c r="W656" s="1">
        <v>46053</v>
      </c>
      <c r="X656" t="s">
        <v>77</v>
      </c>
      <c r="Y656" t="s">
        <v>646</v>
      </c>
      <c r="Z656" t="s">
        <v>6</v>
      </c>
      <c r="AA656" t="s">
        <v>646</v>
      </c>
      <c r="AB656" s="4">
        <f t="shared" si="49"/>
        <v>1923580</v>
      </c>
      <c r="AC656" s="5" t="s">
        <v>2215</v>
      </c>
      <c r="AD656" s="4">
        <f t="shared" si="50"/>
        <v>160298.33333333334</v>
      </c>
      <c r="AE656" s="4">
        <f t="shared" si="51"/>
        <v>-32059.666666666657</v>
      </c>
    </row>
    <row r="657" spans="1:31" x14ac:dyDescent="0.25">
      <c r="A657" t="s">
        <v>0</v>
      </c>
      <c r="B657" s="3" t="s">
        <v>2219</v>
      </c>
      <c r="C657" t="s">
        <v>1384</v>
      </c>
      <c r="D657" t="s">
        <v>160</v>
      </c>
      <c r="E657" t="s">
        <v>1510</v>
      </c>
      <c r="F657" s="1">
        <v>46060</v>
      </c>
      <c r="G657" s="1">
        <v>46063</v>
      </c>
      <c r="H657" t="s">
        <v>882</v>
      </c>
      <c r="I657" t="s">
        <v>5</v>
      </c>
      <c r="J657" t="s">
        <v>6</v>
      </c>
      <c r="K657" t="s">
        <v>4</v>
      </c>
      <c r="L657" t="s">
        <v>1511</v>
      </c>
      <c r="M657" t="s">
        <v>1511</v>
      </c>
      <c r="N657" s="2">
        <v>316272</v>
      </c>
      <c r="O657" t="s">
        <v>1386</v>
      </c>
      <c r="P657" t="s">
        <v>9</v>
      </c>
      <c r="Q657" t="s">
        <v>75</v>
      </c>
      <c r="R657" t="e">
        <f>VLOOKUP(Q657,#REF!,2,FALSE)</f>
        <v>#REF!</v>
      </c>
      <c r="S657">
        <v>1004</v>
      </c>
      <c r="T657" t="s">
        <v>2225</v>
      </c>
      <c r="U657" t="s">
        <v>1387</v>
      </c>
      <c r="V657" s="1">
        <v>46053</v>
      </c>
      <c r="W657" s="1">
        <v>46053</v>
      </c>
      <c r="X657" t="s">
        <v>77</v>
      </c>
      <c r="Y657" t="s">
        <v>646</v>
      </c>
      <c r="Z657" t="s">
        <v>6</v>
      </c>
      <c r="AA657" t="s">
        <v>646</v>
      </c>
      <c r="AB657" s="4">
        <f t="shared" si="49"/>
        <v>3162720</v>
      </c>
      <c r="AC657" s="5" t="s">
        <v>2215</v>
      </c>
      <c r="AD657" s="4">
        <f t="shared" si="50"/>
        <v>263560</v>
      </c>
      <c r="AE657" s="4">
        <f t="shared" si="51"/>
        <v>-52712</v>
      </c>
    </row>
    <row r="658" spans="1:31" x14ac:dyDescent="0.25">
      <c r="A658" t="s">
        <v>0</v>
      </c>
      <c r="B658" s="3" t="s">
        <v>2219</v>
      </c>
      <c r="C658" t="s">
        <v>1384</v>
      </c>
      <c r="D658" t="s">
        <v>160</v>
      </c>
      <c r="E658" t="s">
        <v>1512</v>
      </c>
      <c r="F658" s="1">
        <v>46060</v>
      </c>
      <c r="G658" s="1">
        <v>46063</v>
      </c>
      <c r="H658" t="s">
        <v>882</v>
      </c>
      <c r="I658" t="s">
        <v>5</v>
      </c>
      <c r="J658" t="s">
        <v>6</v>
      </c>
      <c r="K658" t="s">
        <v>4</v>
      </c>
      <c r="L658" t="s">
        <v>1513</v>
      </c>
      <c r="M658" t="s">
        <v>1513</v>
      </c>
      <c r="N658" s="2">
        <v>568031</v>
      </c>
      <c r="O658" t="s">
        <v>1386</v>
      </c>
      <c r="P658" t="s">
        <v>9</v>
      </c>
      <c r="Q658" t="s">
        <v>75</v>
      </c>
      <c r="R658" t="e">
        <f>VLOOKUP(Q658,#REF!,2,FALSE)</f>
        <v>#REF!</v>
      </c>
      <c r="S658">
        <v>1004</v>
      </c>
      <c r="T658" t="s">
        <v>2225</v>
      </c>
      <c r="U658" t="s">
        <v>1387</v>
      </c>
      <c r="V658" s="1">
        <v>46053</v>
      </c>
      <c r="W658" s="1">
        <v>46053</v>
      </c>
      <c r="X658" t="s">
        <v>77</v>
      </c>
      <c r="Y658" t="s">
        <v>646</v>
      </c>
      <c r="Z658" t="s">
        <v>6</v>
      </c>
      <c r="AA658" t="s">
        <v>646</v>
      </c>
      <c r="AB658" s="4">
        <f t="shared" ref="AB658:AB689" si="52">L658/0.1</f>
        <v>5680310</v>
      </c>
      <c r="AC658" s="5" t="s">
        <v>2215</v>
      </c>
      <c r="AD658" s="4">
        <f t="shared" si="50"/>
        <v>473359.16666666669</v>
      </c>
      <c r="AE658" s="4">
        <f t="shared" si="51"/>
        <v>-94671.833333333314</v>
      </c>
    </row>
    <row r="659" spans="1:31" x14ac:dyDescent="0.25">
      <c r="A659" t="s">
        <v>0</v>
      </c>
      <c r="B659" s="3" t="s">
        <v>2219</v>
      </c>
      <c r="C659" t="s">
        <v>1384</v>
      </c>
      <c r="D659" t="s">
        <v>160</v>
      </c>
      <c r="E659" t="s">
        <v>1514</v>
      </c>
      <c r="F659" s="1">
        <v>46060</v>
      </c>
      <c r="G659" s="1">
        <v>46063</v>
      </c>
      <c r="H659" t="s">
        <v>882</v>
      </c>
      <c r="I659" t="s">
        <v>5</v>
      </c>
      <c r="J659" t="s">
        <v>6</v>
      </c>
      <c r="K659" t="s">
        <v>4</v>
      </c>
      <c r="L659" t="s">
        <v>1515</v>
      </c>
      <c r="M659" t="s">
        <v>1515</v>
      </c>
      <c r="N659" s="2">
        <v>263116</v>
      </c>
      <c r="O659" t="s">
        <v>1386</v>
      </c>
      <c r="P659" t="s">
        <v>9</v>
      </c>
      <c r="Q659" t="s">
        <v>75</v>
      </c>
      <c r="R659" t="e">
        <f>VLOOKUP(Q659,#REF!,2,FALSE)</f>
        <v>#REF!</v>
      </c>
      <c r="S659">
        <v>1004</v>
      </c>
      <c r="T659" t="s">
        <v>2225</v>
      </c>
      <c r="U659" t="s">
        <v>1387</v>
      </c>
      <c r="V659" s="1">
        <v>46053</v>
      </c>
      <c r="W659" s="1">
        <v>46053</v>
      </c>
      <c r="X659" t="s">
        <v>77</v>
      </c>
      <c r="Y659" t="s">
        <v>646</v>
      </c>
      <c r="Z659" t="s">
        <v>6</v>
      </c>
      <c r="AA659" t="s">
        <v>646</v>
      </c>
      <c r="AB659" s="4">
        <f t="shared" si="52"/>
        <v>2631160</v>
      </c>
      <c r="AC659" s="5" t="s">
        <v>2215</v>
      </c>
      <c r="AD659" s="4">
        <f t="shared" si="50"/>
        <v>219263.33333333334</v>
      </c>
      <c r="AE659" s="4">
        <f t="shared" si="51"/>
        <v>-43852.666666666657</v>
      </c>
    </row>
    <row r="660" spans="1:31" x14ac:dyDescent="0.25">
      <c r="A660" t="s">
        <v>0</v>
      </c>
      <c r="B660" s="3" t="s">
        <v>2219</v>
      </c>
      <c r="C660" t="s">
        <v>1384</v>
      </c>
      <c r="D660" t="s">
        <v>160</v>
      </c>
      <c r="E660" t="s">
        <v>1516</v>
      </c>
      <c r="F660" s="1">
        <v>46060</v>
      </c>
      <c r="G660" s="1">
        <v>46063</v>
      </c>
      <c r="H660" t="s">
        <v>882</v>
      </c>
      <c r="I660" t="s">
        <v>5</v>
      </c>
      <c r="J660" t="s">
        <v>6</v>
      </c>
      <c r="K660" t="s">
        <v>4</v>
      </c>
      <c r="L660" t="s">
        <v>1517</v>
      </c>
      <c r="M660" t="s">
        <v>1517</v>
      </c>
      <c r="N660" s="2">
        <v>48920</v>
      </c>
      <c r="O660" t="s">
        <v>1386</v>
      </c>
      <c r="P660" t="s">
        <v>9</v>
      </c>
      <c r="Q660" t="s">
        <v>75</v>
      </c>
      <c r="R660" t="e">
        <f>VLOOKUP(Q660,#REF!,2,FALSE)</f>
        <v>#REF!</v>
      </c>
      <c r="S660">
        <v>1004</v>
      </c>
      <c r="T660" t="s">
        <v>2225</v>
      </c>
      <c r="U660" t="s">
        <v>1387</v>
      </c>
      <c r="V660" s="1">
        <v>46053</v>
      </c>
      <c r="W660" s="1">
        <v>46053</v>
      </c>
      <c r="X660" t="s">
        <v>77</v>
      </c>
      <c r="Y660" t="s">
        <v>646</v>
      </c>
      <c r="Z660" t="s">
        <v>6</v>
      </c>
      <c r="AA660" t="s">
        <v>646</v>
      </c>
      <c r="AB660" s="4">
        <f t="shared" si="52"/>
        <v>489200</v>
      </c>
      <c r="AC660" s="5" t="s">
        <v>2215</v>
      </c>
      <c r="AD660" s="4">
        <f t="shared" si="50"/>
        <v>40766.666666666664</v>
      </c>
      <c r="AE660" s="4">
        <f t="shared" si="51"/>
        <v>-8153.3333333333358</v>
      </c>
    </row>
    <row r="661" spans="1:31" x14ac:dyDescent="0.25">
      <c r="A661" t="s">
        <v>0</v>
      </c>
      <c r="B661" s="3" t="s">
        <v>2219</v>
      </c>
      <c r="C661" t="s">
        <v>1384</v>
      </c>
      <c r="D661" t="s">
        <v>160</v>
      </c>
      <c r="E661" t="s">
        <v>1518</v>
      </c>
      <c r="F661" s="1">
        <v>46060</v>
      </c>
      <c r="G661" s="1">
        <v>46063</v>
      </c>
      <c r="H661" t="s">
        <v>882</v>
      </c>
      <c r="I661" t="s">
        <v>5</v>
      </c>
      <c r="J661" t="s">
        <v>6</v>
      </c>
      <c r="K661" t="s">
        <v>4</v>
      </c>
      <c r="L661" t="s">
        <v>1519</v>
      </c>
      <c r="M661" t="s">
        <v>1519</v>
      </c>
      <c r="N661" s="2">
        <v>712333</v>
      </c>
      <c r="O661" t="s">
        <v>1386</v>
      </c>
      <c r="P661" t="s">
        <v>9</v>
      </c>
      <c r="Q661" t="s">
        <v>75</v>
      </c>
      <c r="R661" t="e">
        <f>VLOOKUP(Q661,#REF!,2,FALSE)</f>
        <v>#REF!</v>
      </c>
      <c r="S661">
        <v>1004</v>
      </c>
      <c r="T661" t="s">
        <v>2225</v>
      </c>
      <c r="U661" t="s">
        <v>1387</v>
      </c>
      <c r="V661" s="1">
        <v>46053</v>
      </c>
      <c r="W661" s="1">
        <v>46053</v>
      </c>
      <c r="X661" t="s">
        <v>77</v>
      </c>
      <c r="Y661" t="s">
        <v>646</v>
      </c>
      <c r="Z661" t="s">
        <v>6</v>
      </c>
      <c r="AA661" t="s">
        <v>646</v>
      </c>
      <c r="AB661" s="4">
        <f t="shared" si="52"/>
        <v>7123330</v>
      </c>
      <c r="AC661" s="5" t="s">
        <v>2215</v>
      </c>
      <c r="AD661" s="4">
        <f t="shared" si="50"/>
        <v>593610.83333333337</v>
      </c>
      <c r="AE661" s="4">
        <f t="shared" si="51"/>
        <v>-118722.16666666663</v>
      </c>
    </row>
    <row r="662" spans="1:31" x14ac:dyDescent="0.25">
      <c r="A662" t="s">
        <v>0</v>
      </c>
      <c r="B662" s="3" t="s">
        <v>2219</v>
      </c>
      <c r="C662" t="s">
        <v>1384</v>
      </c>
      <c r="D662" t="s">
        <v>160</v>
      </c>
      <c r="E662" t="s">
        <v>1520</v>
      </c>
      <c r="F662" s="1">
        <v>46060</v>
      </c>
      <c r="G662" s="1">
        <v>46063</v>
      </c>
      <c r="H662" t="s">
        <v>882</v>
      </c>
      <c r="I662" t="s">
        <v>5</v>
      </c>
      <c r="J662" t="s">
        <v>6</v>
      </c>
      <c r="K662" t="s">
        <v>4</v>
      </c>
      <c r="L662" t="s">
        <v>1521</v>
      </c>
      <c r="M662" t="s">
        <v>1521</v>
      </c>
      <c r="N662" s="2">
        <v>154130</v>
      </c>
      <c r="O662" t="s">
        <v>1386</v>
      </c>
      <c r="P662" t="s">
        <v>9</v>
      </c>
      <c r="Q662" t="s">
        <v>75</v>
      </c>
      <c r="R662" t="e">
        <f>VLOOKUP(Q662,#REF!,2,FALSE)</f>
        <v>#REF!</v>
      </c>
      <c r="S662">
        <v>1004</v>
      </c>
      <c r="T662" t="s">
        <v>2225</v>
      </c>
      <c r="U662" t="s">
        <v>1387</v>
      </c>
      <c r="V662" s="1">
        <v>46053</v>
      </c>
      <c r="W662" s="1">
        <v>46053</v>
      </c>
      <c r="X662" t="s">
        <v>77</v>
      </c>
      <c r="Y662" t="s">
        <v>646</v>
      </c>
      <c r="Z662" t="s">
        <v>6</v>
      </c>
      <c r="AA662" t="s">
        <v>646</v>
      </c>
      <c r="AB662" s="4">
        <f t="shared" si="52"/>
        <v>1541300</v>
      </c>
      <c r="AC662" s="5" t="s">
        <v>2215</v>
      </c>
      <c r="AD662" s="4">
        <f t="shared" si="50"/>
        <v>128441.66666666667</v>
      </c>
      <c r="AE662" s="4">
        <f t="shared" si="51"/>
        <v>-25688.333333333328</v>
      </c>
    </row>
    <row r="663" spans="1:31" x14ac:dyDescent="0.25">
      <c r="A663" t="s">
        <v>0</v>
      </c>
      <c r="B663" s="3" t="s">
        <v>2219</v>
      </c>
      <c r="C663" t="s">
        <v>1384</v>
      </c>
      <c r="D663" t="s">
        <v>160</v>
      </c>
      <c r="E663" t="s">
        <v>1522</v>
      </c>
      <c r="F663" s="1">
        <v>46060</v>
      </c>
      <c r="G663" s="1">
        <v>46063</v>
      </c>
      <c r="H663" t="s">
        <v>882</v>
      </c>
      <c r="I663" t="s">
        <v>5</v>
      </c>
      <c r="J663" t="s">
        <v>6</v>
      </c>
      <c r="K663" t="s">
        <v>4</v>
      </c>
      <c r="L663" t="s">
        <v>1523</v>
      </c>
      <c r="M663" t="s">
        <v>1523</v>
      </c>
      <c r="N663" s="2">
        <v>143741</v>
      </c>
      <c r="O663" t="s">
        <v>1386</v>
      </c>
      <c r="P663" t="s">
        <v>9</v>
      </c>
      <c r="Q663" t="s">
        <v>75</v>
      </c>
      <c r="R663" t="e">
        <f>VLOOKUP(Q663,#REF!,2,FALSE)</f>
        <v>#REF!</v>
      </c>
      <c r="S663">
        <v>1004</v>
      </c>
      <c r="T663" t="s">
        <v>2225</v>
      </c>
      <c r="U663" t="s">
        <v>1387</v>
      </c>
      <c r="V663" s="1">
        <v>46053</v>
      </c>
      <c r="W663" s="1">
        <v>46053</v>
      </c>
      <c r="X663" t="s">
        <v>77</v>
      </c>
      <c r="Y663" t="s">
        <v>646</v>
      </c>
      <c r="Z663" t="s">
        <v>6</v>
      </c>
      <c r="AA663" t="s">
        <v>646</v>
      </c>
      <c r="AB663" s="4">
        <f t="shared" si="52"/>
        <v>1437410</v>
      </c>
      <c r="AC663" s="5" t="s">
        <v>2215</v>
      </c>
      <c r="AD663" s="4">
        <f t="shared" si="50"/>
        <v>119784.16666666667</v>
      </c>
      <c r="AE663" s="4">
        <f t="shared" si="51"/>
        <v>-23956.833333333328</v>
      </c>
    </row>
    <row r="664" spans="1:31" x14ac:dyDescent="0.25">
      <c r="A664" t="s">
        <v>0</v>
      </c>
      <c r="B664" s="3" t="s">
        <v>2219</v>
      </c>
      <c r="C664" t="s">
        <v>1384</v>
      </c>
      <c r="D664" t="s">
        <v>160</v>
      </c>
      <c r="E664" t="s">
        <v>1524</v>
      </c>
      <c r="F664" s="1">
        <v>46060</v>
      </c>
      <c r="G664" s="1">
        <v>46063</v>
      </c>
      <c r="H664" t="s">
        <v>882</v>
      </c>
      <c r="I664" t="s">
        <v>5</v>
      </c>
      <c r="J664" t="s">
        <v>6</v>
      </c>
      <c r="K664" t="s">
        <v>4</v>
      </c>
      <c r="L664" t="s">
        <v>1525</v>
      </c>
      <c r="M664" t="s">
        <v>1525</v>
      </c>
      <c r="N664" s="2">
        <v>70451</v>
      </c>
      <c r="O664" t="s">
        <v>1386</v>
      </c>
      <c r="P664" t="s">
        <v>9</v>
      </c>
      <c r="Q664" t="s">
        <v>75</v>
      </c>
      <c r="R664" t="e">
        <f>VLOOKUP(Q664,#REF!,2,FALSE)</f>
        <v>#REF!</v>
      </c>
      <c r="S664">
        <v>1004</v>
      </c>
      <c r="T664" t="s">
        <v>2225</v>
      </c>
      <c r="U664" t="s">
        <v>1387</v>
      </c>
      <c r="V664" s="1">
        <v>46053</v>
      </c>
      <c r="W664" s="1">
        <v>46053</v>
      </c>
      <c r="X664" t="s">
        <v>77</v>
      </c>
      <c r="Y664" t="s">
        <v>646</v>
      </c>
      <c r="Z664" t="s">
        <v>6</v>
      </c>
      <c r="AA664" t="s">
        <v>646</v>
      </c>
      <c r="AB664" s="4">
        <f t="shared" si="52"/>
        <v>704510</v>
      </c>
      <c r="AC664" s="5" t="s">
        <v>2215</v>
      </c>
      <c r="AD664" s="4">
        <f t="shared" si="50"/>
        <v>58709.166666666664</v>
      </c>
      <c r="AE664" s="4">
        <f t="shared" si="51"/>
        <v>-11741.833333333336</v>
      </c>
    </row>
    <row r="665" spans="1:31" x14ac:dyDescent="0.25">
      <c r="A665" t="s">
        <v>0</v>
      </c>
      <c r="B665" s="3" t="s">
        <v>2219</v>
      </c>
      <c r="C665" t="s">
        <v>1384</v>
      </c>
      <c r="D665" t="s">
        <v>160</v>
      </c>
      <c r="E665" t="s">
        <v>1526</v>
      </c>
      <c r="F665" s="1">
        <v>46060</v>
      </c>
      <c r="G665" s="1">
        <v>46063</v>
      </c>
      <c r="H665" t="s">
        <v>882</v>
      </c>
      <c r="I665" t="s">
        <v>5</v>
      </c>
      <c r="J665" t="s">
        <v>6</v>
      </c>
      <c r="K665" t="s">
        <v>4</v>
      </c>
      <c r="L665" t="s">
        <v>1527</v>
      </c>
      <c r="M665" t="s">
        <v>1527</v>
      </c>
      <c r="N665" s="2">
        <v>101499</v>
      </c>
      <c r="O665" t="s">
        <v>1386</v>
      </c>
      <c r="P665" t="s">
        <v>9</v>
      </c>
      <c r="Q665" t="s">
        <v>75</v>
      </c>
      <c r="R665" t="e">
        <f>VLOOKUP(Q665,#REF!,2,FALSE)</f>
        <v>#REF!</v>
      </c>
      <c r="S665">
        <v>1004</v>
      </c>
      <c r="T665" t="s">
        <v>2225</v>
      </c>
      <c r="U665" t="s">
        <v>1387</v>
      </c>
      <c r="V665" s="1">
        <v>46053</v>
      </c>
      <c r="W665" s="1">
        <v>46053</v>
      </c>
      <c r="X665" t="s">
        <v>77</v>
      </c>
      <c r="Y665" t="s">
        <v>646</v>
      </c>
      <c r="Z665" t="s">
        <v>6</v>
      </c>
      <c r="AA665" t="s">
        <v>646</v>
      </c>
      <c r="AB665" s="4">
        <f t="shared" si="52"/>
        <v>1014990</v>
      </c>
      <c r="AC665" s="5" t="s">
        <v>2215</v>
      </c>
      <c r="AD665" s="4">
        <f t="shared" si="50"/>
        <v>84582.5</v>
      </c>
      <c r="AE665" s="4">
        <f t="shared" si="51"/>
        <v>-16916.5</v>
      </c>
    </row>
    <row r="666" spans="1:31" x14ac:dyDescent="0.25">
      <c r="A666" t="s">
        <v>0</v>
      </c>
      <c r="B666" s="3" t="s">
        <v>2219</v>
      </c>
      <c r="C666" t="s">
        <v>1384</v>
      </c>
      <c r="D666" t="s">
        <v>160</v>
      </c>
      <c r="E666" t="s">
        <v>1528</v>
      </c>
      <c r="F666" s="1">
        <v>46060</v>
      </c>
      <c r="G666" s="1">
        <v>46063</v>
      </c>
      <c r="H666" t="s">
        <v>882</v>
      </c>
      <c r="I666" t="s">
        <v>5</v>
      </c>
      <c r="J666" t="s">
        <v>6</v>
      </c>
      <c r="K666" t="s">
        <v>4</v>
      </c>
      <c r="L666" t="s">
        <v>1529</v>
      </c>
      <c r="M666" t="s">
        <v>1529</v>
      </c>
      <c r="N666" s="2">
        <v>124588</v>
      </c>
      <c r="O666" t="s">
        <v>1386</v>
      </c>
      <c r="P666" t="s">
        <v>9</v>
      </c>
      <c r="Q666" t="s">
        <v>75</v>
      </c>
      <c r="R666" t="e">
        <f>VLOOKUP(Q666,#REF!,2,FALSE)</f>
        <v>#REF!</v>
      </c>
      <c r="S666">
        <v>1004</v>
      </c>
      <c r="T666" t="s">
        <v>2225</v>
      </c>
      <c r="U666" t="s">
        <v>1387</v>
      </c>
      <c r="V666" s="1">
        <v>46053</v>
      </c>
      <c r="W666" s="1">
        <v>46053</v>
      </c>
      <c r="X666" t="s">
        <v>77</v>
      </c>
      <c r="Y666" t="s">
        <v>646</v>
      </c>
      <c r="Z666" t="s">
        <v>6</v>
      </c>
      <c r="AA666" t="s">
        <v>646</v>
      </c>
      <c r="AB666" s="4">
        <f t="shared" si="52"/>
        <v>1245880</v>
      </c>
      <c r="AC666" s="5" t="s">
        <v>2215</v>
      </c>
      <c r="AD666" s="4">
        <f t="shared" si="50"/>
        <v>103823.33333333333</v>
      </c>
      <c r="AE666" s="4">
        <f t="shared" si="51"/>
        <v>-20764.666666666672</v>
      </c>
    </row>
    <row r="667" spans="1:31" x14ac:dyDescent="0.25">
      <c r="A667" t="s">
        <v>0</v>
      </c>
      <c r="B667" s="3" t="s">
        <v>2219</v>
      </c>
      <c r="C667" t="s">
        <v>1384</v>
      </c>
      <c r="D667" t="s">
        <v>160</v>
      </c>
      <c r="E667" t="s">
        <v>1530</v>
      </c>
      <c r="F667" s="1">
        <v>46060</v>
      </c>
      <c r="G667" s="1">
        <v>46063</v>
      </c>
      <c r="H667" t="s">
        <v>882</v>
      </c>
      <c r="I667" t="s">
        <v>5</v>
      </c>
      <c r="J667" t="s">
        <v>6</v>
      </c>
      <c r="K667" t="s">
        <v>4</v>
      </c>
      <c r="L667" t="s">
        <v>1531</v>
      </c>
      <c r="M667" t="s">
        <v>1531</v>
      </c>
      <c r="N667" s="2">
        <v>108372</v>
      </c>
      <c r="O667" t="s">
        <v>1386</v>
      </c>
      <c r="P667" t="s">
        <v>9</v>
      </c>
      <c r="Q667" t="s">
        <v>75</v>
      </c>
      <c r="R667" t="e">
        <f>VLOOKUP(Q667,#REF!,2,FALSE)</f>
        <v>#REF!</v>
      </c>
      <c r="S667">
        <v>1004</v>
      </c>
      <c r="T667" t="s">
        <v>2225</v>
      </c>
      <c r="U667" t="s">
        <v>1387</v>
      </c>
      <c r="V667" s="1">
        <v>46053</v>
      </c>
      <c r="W667" s="1">
        <v>46053</v>
      </c>
      <c r="X667" t="s">
        <v>77</v>
      </c>
      <c r="Y667" t="s">
        <v>646</v>
      </c>
      <c r="Z667" t="s">
        <v>6</v>
      </c>
      <c r="AA667" t="s">
        <v>646</v>
      </c>
      <c r="AB667" s="4">
        <f t="shared" si="52"/>
        <v>1083720</v>
      </c>
      <c r="AC667" s="5" t="s">
        <v>2215</v>
      </c>
      <c r="AD667" s="4">
        <f t="shared" si="50"/>
        <v>90310</v>
      </c>
      <c r="AE667" s="4">
        <f t="shared" si="51"/>
        <v>-18062</v>
      </c>
    </row>
    <row r="668" spans="1:31" x14ac:dyDescent="0.25">
      <c r="A668" t="s">
        <v>0</v>
      </c>
      <c r="B668" s="3" t="s">
        <v>2219</v>
      </c>
      <c r="C668" t="s">
        <v>1384</v>
      </c>
      <c r="D668" t="s">
        <v>160</v>
      </c>
      <c r="E668" t="s">
        <v>331</v>
      </c>
      <c r="F668" s="1">
        <v>46060</v>
      </c>
      <c r="G668" s="1">
        <v>46063</v>
      </c>
      <c r="H668" t="s">
        <v>882</v>
      </c>
      <c r="I668" t="s">
        <v>5</v>
      </c>
      <c r="J668" t="s">
        <v>6</v>
      </c>
      <c r="K668" t="s">
        <v>4</v>
      </c>
      <c r="L668" t="s">
        <v>1532</v>
      </c>
      <c r="M668" t="s">
        <v>1532</v>
      </c>
      <c r="N668" s="2">
        <v>7719</v>
      </c>
      <c r="O668" t="s">
        <v>1386</v>
      </c>
      <c r="P668" t="s">
        <v>9</v>
      </c>
      <c r="Q668" t="s">
        <v>75</v>
      </c>
      <c r="R668" t="e">
        <f>VLOOKUP(Q668,#REF!,2,FALSE)</f>
        <v>#REF!</v>
      </c>
      <c r="S668">
        <v>1004</v>
      </c>
      <c r="T668" t="s">
        <v>2225</v>
      </c>
      <c r="U668" t="s">
        <v>1387</v>
      </c>
      <c r="V668" s="1">
        <v>46053</v>
      </c>
      <c r="W668" s="1">
        <v>46053</v>
      </c>
      <c r="X668" t="s">
        <v>77</v>
      </c>
      <c r="Y668" t="s">
        <v>646</v>
      </c>
      <c r="Z668" t="s">
        <v>6</v>
      </c>
      <c r="AA668" t="s">
        <v>646</v>
      </c>
      <c r="AB668" s="4">
        <f t="shared" si="52"/>
        <v>77190</v>
      </c>
      <c r="AC668" s="5" t="s">
        <v>2215</v>
      </c>
      <c r="AD668" s="4">
        <f t="shared" si="50"/>
        <v>6432.5</v>
      </c>
      <c r="AE668" s="4">
        <f t="shared" si="51"/>
        <v>-1286.5</v>
      </c>
    </row>
    <row r="669" spans="1:31" x14ac:dyDescent="0.25">
      <c r="A669" t="s">
        <v>0</v>
      </c>
      <c r="B669" s="3" t="s">
        <v>2219</v>
      </c>
      <c r="C669" t="s">
        <v>1384</v>
      </c>
      <c r="D669" t="s">
        <v>160</v>
      </c>
      <c r="E669" t="s">
        <v>336</v>
      </c>
      <c r="F669" s="1">
        <v>46060</v>
      </c>
      <c r="G669" s="1">
        <v>46063</v>
      </c>
      <c r="H669" t="s">
        <v>882</v>
      </c>
      <c r="I669" t="s">
        <v>5</v>
      </c>
      <c r="J669" t="s">
        <v>6</v>
      </c>
      <c r="K669" t="s">
        <v>4</v>
      </c>
      <c r="L669" t="s">
        <v>1533</v>
      </c>
      <c r="M669" t="s">
        <v>1533</v>
      </c>
      <c r="N669" s="2">
        <v>71090</v>
      </c>
      <c r="O669" t="s">
        <v>1386</v>
      </c>
      <c r="P669" t="s">
        <v>9</v>
      </c>
      <c r="Q669" t="s">
        <v>75</v>
      </c>
      <c r="R669" t="e">
        <f>VLOOKUP(Q669,#REF!,2,FALSE)</f>
        <v>#REF!</v>
      </c>
      <c r="S669">
        <v>1004</v>
      </c>
      <c r="T669" t="s">
        <v>2225</v>
      </c>
      <c r="U669" t="s">
        <v>1387</v>
      </c>
      <c r="V669" s="1">
        <v>46053</v>
      </c>
      <c r="W669" s="1">
        <v>46053</v>
      </c>
      <c r="X669" t="s">
        <v>77</v>
      </c>
      <c r="Y669" t="s">
        <v>646</v>
      </c>
      <c r="Z669" t="s">
        <v>6</v>
      </c>
      <c r="AA669" t="s">
        <v>646</v>
      </c>
      <c r="AB669" s="4">
        <f t="shared" si="52"/>
        <v>710900</v>
      </c>
      <c r="AC669" s="5" t="s">
        <v>2215</v>
      </c>
      <c r="AD669" s="4">
        <f t="shared" si="50"/>
        <v>59241.666666666664</v>
      </c>
      <c r="AE669" s="4">
        <f t="shared" si="51"/>
        <v>-11848.333333333336</v>
      </c>
    </row>
    <row r="670" spans="1:31" x14ac:dyDescent="0.25">
      <c r="A670" t="s">
        <v>0</v>
      </c>
      <c r="B670" s="3" t="s">
        <v>2219</v>
      </c>
      <c r="C670" t="s">
        <v>1384</v>
      </c>
      <c r="D670" t="s">
        <v>160</v>
      </c>
      <c r="E670" t="s">
        <v>339</v>
      </c>
      <c r="F670" s="1">
        <v>46060</v>
      </c>
      <c r="G670" s="1">
        <v>46063</v>
      </c>
      <c r="H670" t="s">
        <v>882</v>
      </c>
      <c r="I670" t="s">
        <v>5</v>
      </c>
      <c r="J670" t="s">
        <v>6</v>
      </c>
      <c r="K670" t="s">
        <v>4</v>
      </c>
      <c r="L670" t="s">
        <v>1534</v>
      </c>
      <c r="M670" t="s">
        <v>1534</v>
      </c>
      <c r="N670" s="2">
        <v>86364</v>
      </c>
      <c r="O670" t="s">
        <v>1386</v>
      </c>
      <c r="P670" t="s">
        <v>9</v>
      </c>
      <c r="Q670" t="s">
        <v>75</v>
      </c>
      <c r="R670" t="e">
        <f>VLOOKUP(Q670,#REF!,2,FALSE)</f>
        <v>#REF!</v>
      </c>
      <c r="S670">
        <v>1004</v>
      </c>
      <c r="T670" t="s">
        <v>2225</v>
      </c>
      <c r="U670" t="s">
        <v>1387</v>
      </c>
      <c r="V670" s="1">
        <v>46053</v>
      </c>
      <c r="W670" s="1">
        <v>46053</v>
      </c>
      <c r="X670" t="s">
        <v>77</v>
      </c>
      <c r="Y670" t="s">
        <v>646</v>
      </c>
      <c r="Z670" t="s">
        <v>6</v>
      </c>
      <c r="AA670" t="s">
        <v>646</v>
      </c>
      <c r="AB670" s="4">
        <f t="shared" si="52"/>
        <v>863640</v>
      </c>
      <c r="AC670" s="5" t="s">
        <v>2215</v>
      </c>
      <c r="AD670" s="4">
        <f t="shared" si="50"/>
        <v>71970</v>
      </c>
      <c r="AE670" s="4">
        <f t="shared" si="51"/>
        <v>-14394</v>
      </c>
    </row>
    <row r="671" spans="1:31" x14ac:dyDescent="0.25">
      <c r="A671" t="s">
        <v>0</v>
      </c>
      <c r="B671" s="3" t="s">
        <v>2219</v>
      </c>
      <c r="C671" t="s">
        <v>1384</v>
      </c>
      <c r="D671" t="s">
        <v>160</v>
      </c>
      <c r="E671" t="s">
        <v>1535</v>
      </c>
      <c r="F671" s="1">
        <v>46060</v>
      </c>
      <c r="G671" s="1">
        <v>46063</v>
      </c>
      <c r="H671" t="s">
        <v>882</v>
      </c>
      <c r="I671" t="s">
        <v>5</v>
      </c>
      <c r="J671" t="s">
        <v>6</v>
      </c>
      <c r="K671" t="s">
        <v>4</v>
      </c>
      <c r="L671" t="s">
        <v>1536</v>
      </c>
      <c r="M671" t="s">
        <v>1536</v>
      </c>
      <c r="N671" s="2">
        <v>9458</v>
      </c>
      <c r="O671" t="s">
        <v>1386</v>
      </c>
      <c r="P671" t="s">
        <v>9</v>
      </c>
      <c r="Q671" t="s">
        <v>75</v>
      </c>
      <c r="R671" t="e">
        <f>VLOOKUP(Q671,#REF!,2,FALSE)</f>
        <v>#REF!</v>
      </c>
      <c r="S671">
        <v>1004</v>
      </c>
      <c r="T671" t="s">
        <v>2225</v>
      </c>
      <c r="U671" t="s">
        <v>1387</v>
      </c>
      <c r="V671" s="1">
        <v>46053</v>
      </c>
      <c r="W671" s="1">
        <v>46053</v>
      </c>
      <c r="X671" t="s">
        <v>77</v>
      </c>
      <c r="Y671" t="s">
        <v>646</v>
      </c>
      <c r="Z671" t="s">
        <v>6</v>
      </c>
      <c r="AA671" t="s">
        <v>646</v>
      </c>
      <c r="AB671" s="4">
        <f t="shared" si="52"/>
        <v>94580</v>
      </c>
      <c r="AC671" s="5" t="s">
        <v>2215</v>
      </c>
      <c r="AD671" s="4">
        <f t="shared" si="50"/>
        <v>7881.666666666667</v>
      </c>
      <c r="AE671" s="4">
        <f t="shared" si="51"/>
        <v>-1576.333333333333</v>
      </c>
    </row>
    <row r="672" spans="1:31" x14ac:dyDescent="0.25">
      <c r="A672" t="s">
        <v>0</v>
      </c>
      <c r="B672" s="3" t="s">
        <v>2219</v>
      </c>
      <c r="C672" t="s">
        <v>1384</v>
      </c>
      <c r="D672" t="s">
        <v>160</v>
      </c>
      <c r="E672" t="s">
        <v>1537</v>
      </c>
      <c r="F672" s="1">
        <v>46060</v>
      </c>
      <c r="G672" s="1">
        <v>46063</v>
      </c>
      <c r="H672" t="s">
        <v>882</v>
      </c>
      <c r="I672" t="s">
        <v>5</v>
      </c>
      <c r="J672" t="s">
        <v>6</v>
      </c>
      <c r="K672" t="s">
        <v>4</v>
      </c>
      <c r="L672" t="s">
        <v>1538</v>
      </c>
      <c r="M672" t="s">
        <v>1538</v>
      </c>
      <c r="N672" s="2">
        <v>78454</v>
      </c>
      <c r="O672" t="s">
        <v>1386</v>
      </c>
      <c r="P672" t="s">
        <v>9</v>
      </c>
      <c r="Q672" t="s">
        <v>75</v>
      </c>
      <c r="R672" t="e">
        <f>VLOOKUP(Q672,#REF!,2,FALSE)</f>
        <v>#REF!</v>
      </c>
      <c r="S672">
        <v>1004</v>
      </c>
      <c r="T672" t="s">
        <v>2225</v>
      </c>
      <c r="U672" t="s">
        <v>1387</v>
      </c>
      <c r="V672" s="1">
        <v>46053</v>
      </c>
      <c r="W672" s="1">
        <v>46053</v>
      </c>
      <c r="X672" t="s">
        <v>77</v>
      </c>
      <c r="Y672" t="s">
        <v>646</v>
      </c>
      <c r="Z672" t="s">
        <v>6</v>
      </c>
      <c r="AA672" t="s">
        <v>646</v>
      </c>
      <c r="AB672" s="4">
        <f t="shared" si="52"/>
        <v>784540</v>
      </c>
      <c r="AC672" s="5" t="s">
        <v>2215</v>
      </c>
      <c r="AD672" s="4">
        <f t="shared" si="50"/>
        <v>65378.333333333336</v>
      </c>
      <c r="AE672" s="4">
        <f t="shared" si="51"/>
        <v>-13075.666666666664</v>
      </c>
    </row>
    <row r="673" spans="1:31" x14ac:dyDescent="0.25">
      <c r="A673" t="s">
        <v>0</v>
      </c>
      <c r="B673" s="3" t="s">
        <v>2219</v>
      </c>
      <c r="C673" t="s">
        <v>1384</v>
      </c>
      <c r="D673" t="s">
        <v>160</v>
      </c>
      <c r="E673" t="s">
        <v>1539</v>
      </c>
      <c r="F673" s="1">
        <v>46060</v>
      </c>
      <c r="G673" s="1">
        <v>46063</v>
      </c>
      <c r="H673" t="s">
        <v>882</v>
      </c>
      <c r="I673" t="s">
        <v>5</v>
      </c>
      <c r="J673" t="s">
        <v>6</v>
      </c>
      <c r="K673" t="s">
        <v>4</v>
      </c>
      <c r="L673" t="s">
        <v>1540</v>
      </c>
      <c r="M673" t="s">
        <v>1540</v>
      </c>
      <c r="N673" s="2">
        <v>128392</v>
      </c>
      <c r="O673" t="s">
        <v>1386</v>
      </c>
      <c r="P673" t="s">
        <v>9</v>
      </c>
      <c r="Q673" t="s">
        <v>75</v>
      </c>
      <c r="R673" t="e">
        <f>VLOOKUP(Q673,#REF!,2,FALSE)</f>
        <v>#REF!</v>
      </c>
      <c r="S673">
        <v>1004</v>
      </c>
      <c r="T673" t="s">
        <v>2225</v>
      </c>
      <c r="U673" t="s">
        <v>1387</v>
      </c>
      <c r="V673" s="1">
        <v>46053</v>
      </c>
      <c r="W673" s="1">
        <v>46053</v>
      </c>
      <c r="X673" t="s">
        <v>77</v>
      </c>
      <c r="Y673" t="s">
        <v>646</v>
      </c>
      <c r="Z673" t="s">
        <v>6</v>
      </c>
      <c r="AA673" t="s">
        <v>646</v>
      </c>
      <c r="AB673" s="4">
        <f t="shared" si="52"/>
        <v>1283920</v>
      </c>
      <c r="AC673" s="5" t="s">
        <v>2215</v>
      </c>
      <c r="AD673" s="4">
        <f t="shared" si="50"/>
        <v>106993.33333333333</v>
      </c>
      <c r="AE673" s="4">
        <f t="shared" si="51"/>
        <v>-21398.666666666672</v>
      </c>
    </row>
    <row r="674" spans="1:31" x14ac:dyDescent="0.25">
      <c r="A674" t="s">
        <v>0</v>
      </c>
      <c r="B674" s="3" t="s">
        <v>2219</v>
      </c>
      <c r="C674" t="s">
        <v>1384</v>
      </c>
      <c r="D674" t="s">
        <v>160</v>
      </c>
      <c r="E674" t="s">
        <v>1541</v>
      </c>
      <c r="F674" s="1">
        <v>46060</v>
      </c>
      <c r="G674" s="1">
        <v>46063</v>
      </c>
      <c r="H674" t="s">
        <v>882</v>
      </c>
      <c r="I674" t="s">
        <v>5</v>
      </c>
      <c r="J674" t="s">
        <v>6</v>
      </c>
      <c r="K674" t="s">
        <v>4</v>
      </c>
      <c r="L674" t="s">
        <v>1542</v>
      </c>
      <c r="M674" t="s">
        <v>1542</v>
      </c>
      <c r="N674" s="2">
        <v>28703</v>
      </c>
      <c r="O674" t="s">
        <v>1386</v>
      </c>
      <c r="P674" t="s">
        <v>9</v>
      </c>
      <c r="Q674" t="s">
        <v>75</v>
      </c>
      <c r="R674" t="e">
        <f>VLOOKUP(Q674,#REF!,2,FALSE)</f>
        <v>#REF!</v>
      </c>
      <c r="S674">
        <v>1004</v>
      </c>
      <c r="T674" t="s">
        <v>2225</v>
      </c>
      <c r="U674" t="s">
        <v>1387</v>
      </c>
      <c r="V674" s="1">
        <v>46053</v>
      </c>
      <c r="W674" s="1">
        <v>46053</v>
      </c>
      <c r="X674" t="s">
        <v>77</v>
      </c>
      <c r="Y674" t="s">
        <v>646</v>
      </c>
      <c r="Z674" t="s">
        <v>6</v>
      </c>
      <c r="AA674" t="s">
        <v>646</v>
      </c>
      <c r="AB674" s="4">
        <f t="shared" si="52"/>
        <v>287030</v>
      </c>
      <c r="AC674" s="5" t="s">
        <v>2215</v>
      </c>
      <c r="AD674" s="4">
        <f t="shared" si="50"/>
        <v>23919.166666666668</v>
      </c>
      <c r="AE674" s="4">
        <f t="shared" si="51"/>
        <v>-4783.8333333333321</v>
      </c>
    </row>
    <row r="675" spans="1:31" x14ac:dyDescent="0.25">
      <c r="A675" t="s">
        <v>0</v>
      </c>
      <c r="B675" s="3" t="s">
        <v>2219</v>
      </c>
      <c r="C675" t="s">
        <v>1384</v>
      </c>
      <c r="D675" t="s">
        <v>160</v>
      </c>
      <c r="E675" t="s">
        <v>432</v>
      </c>
      <c r="F675" s="1">
        <v>46060</v>
      </c>
      <c r="G675" s="1">
        <v>46063</v>
      </c>
      <c r="H675" t="s">
        <v>882</v>
      </c>
      <c r="I675" t="s">
        <v>5</v>
      </c>
      <c r="J675" t="s">
        <v>6</v>
      </c>
      <c r="K675" t="s">
        <v>4</v>
      </c>
      <c r="L675" t="s">
        <v>1543</v>
      </c>
      <c r="M675" t="s">
        <v>1543</v>
      </c>
      <c r="N675" s="2">
        <v>49231</v>
      </c>
      <c r="O675" t="s">
        <v>1386</v>
      </c>
      <c r="P675" t="s">
        <v>9</v>
      </c>
      <c r="Q675" t="s">
        <v>75</v>
      </c>
      <c r="R675" t="e">
        <f>VLOOKUP(Q675,#REF!,2,FALSE)</f>
        <v>#REF!</v>
      </c>
      <c r="S675">
        <v>1004</v>
      </c>
      <c r="T675" t="s">
        <v>2225</v>
      </c>
      <c r="U675" t="s">
        <v>1387</v>
      </c>
      <c r="V675" s="1">
        <v>46053</v>
      </c>
      <c r="W675" s="1">
        <v>46053</v>
      </c>
      <c r="X675" t="s">
        <v>77</v>
      </c>
      <c r="Y675" t="s">
        <v>646</v>
      </c>
      <c r="Z675" t="s">
        <v>6</v>
      </c>
      <c r="AA675" t="s">
        <v>646</v>
      </c>
      <c r="AB675" s="4">
        <f t="shared" si="52"/>
        <v>492310</v>
      </c>
      <c r="AC675" s="5" t="s">
        <v>2215</v>
      </c>
      <c r="AD675" s="4">
        <f t="shared" si="50"/>
        <v>41025.833333333336</v>
      </c>
      <c r="AE675" s="4">
        <f t="shared" si="51"/>
        <v>-8205.1666666666642</v>
      </c>
    </row>
    <row r="676" spans="1:31" x14ac:dyDescent="0.25">
      <c r="A676" t="s">
        <v>0</v>
      </c>
      <c r="B676" s="3" t="s">
        <v>2219</v>
      </c>
      <c r="C676" t="s">
        <v>1384</v>
      </c>
      <c r="D676" t="s">
        <v>160</v>
      </c>
      <c r="E676" t="s">
        <v>436</v>
      </c>
      <c r="F676" s="1">
        <v>46060</v>
      </c>
      <c r="G676" s="1">
        <v>46063</v>
      </c>
      <c r="H676" t="s">
        <v>882</v>
      </c>
      <c r="I676" t="s">
        <v>5</v>
      </c>
      <c r="J676" t="s">
        <v>6</v>
      </c>
      <c r="K676" t="s">
        <v>4</v>
      </c>
      <c r="L676" t="s">
        <v>1544</v>
      </c>
      <c r="M676" t="s">
        <v>1544</v>
      </c>
      <c r="N676" s="2">
        <v>96375</v>
      </c>
      <c r="O676" t="s">
        <v>1386</v>
      </c>
      <c r="P676" t="s">
        <v>9</v>
      </c>
      <c r="Q676" t="s">
        <v>75</v>
      </c>
      <c r="R676" t="e">
        <f>VLOOKUP(Q676,#REF!,2,FALSE)</f>
        <v>#REF!</v>
      </c>
      <c r="S676">
        <v>1004</v>
      </c>
      <c r="T676" t="s">
        <v>2225</v>
      </c>
      <c r="U676" t="s">
        <v>1387</v>
      </c>
      <c r="V676" s="1">
        <v>46053</v>
      </c>
      <c r="W676" s="1">
        <v>46053</v>
      </c>
      <c r="X676" t="s">
        <v>77</v>
      </c>
      <c r="Y676" t="s">
        <v>646</v>
      </c>
      <c r="Z676" t="s">
        <v>6</v>
      </c>
      <c r="AA676" t="s">
        <v>646</v>
      </c>
      <c r="AB676" s="4">
        <f t="shared" si="52"/>
        <v>963750</v>
      </c>
      <c r="AC676" s="5" t="s">
        <v>2215</v>
      </c>
      <c r="AD676" s="4">
        <f t="shared" si="50"/>
        <v>80312.5</v>
      </c>
      <c r="AE676" s="4">
        <f t="shared" si="51"/>
        <v>-16062.5</v>
      </c>
    </row>
    <row r="677" spans="1:31" x14ac:dyDescent="0.25">
      <c r="A677" t="s">
        <v>0</v>
      </c>
      <c r="B677" s="3" t="s">
        <v>2219</v>
      </c>
      <c r="C677" t="s">
        <v>1384</v>
      </c>
      <c r="D677" t="s">
        <v>160</v>
      </c>
      <c r="E677" t="s">
        <v>437</v>
      </c>
      <c r="F677" s="1">
        <v>46060</v>
      </c>
      <c r="G677" s="1">
        <v>46063</v>
      </c>
      <c r="H677" t="s">
        <v>882</v>
      </c>
      <c r="I677" t="s">
        <v>5</v>
      </c>
      <c r="J677" t="s">
        <v>6</v>
      </c>
      <c r="K677" t="s">
        <v>4</v>
      </c>
      <c r="L677" t="s">
        <v>1545</v>
      </c>
      <c r="M677" t="s">
        <v>1545</v>
      </c>
      <c r="N677" s="2">
        <v>44379</v>
      </c>
      <c r="O677" t="s">
        <v>1386</v>
      </c>
      <c r="P677" t="s">
        <v>9</v>
      </c>
      <c r="Q677" t="s">
        <v>75</v>
      </c>
      <c r="R677" t="e">
        <f>VLOOKUP(Q677,#REF!,2,FALSE)</f>
        <v>#REF!</v>
      </c>
      <c r="S677">
        <v>1004</v>
      </c>
      <c r="T677" t="s">
        <v>2225</v>
      </c>
      <c r="U677" t="s">
        <v>1387</v>
      </c>
      <c r="V677" s="1">
        <v>46053</v>
      </c>
      <c r="W677" s="1">
        <v>46053</v>
      </c>
      <c r="X677" t="s">
        <v>77</v>
      </c>
      <c r="Y677" t="s">
        <v>646</v>
      </c>
      <c r="Z677" t="s">
        <v>6</v>
      </c>
      <c r="AA677" t="s">
        <v>646</v>
      </c>
      <c r="AB677" s="4">
        <f t="shared" si="52"/>
        <v>443790</v>
      </c>
      <c r="AC677" s="5" t="s">
        <v>2215</v>
      </c>
      <c r="AD677" s="4">
        <f t="shared" si="50"/>
        <v>36982.5</v>
      </c>
      <c r="AE677" s="4">
        <f t="shared" si="51"/>
        <v>-7396.5</v>
      </c>
    </row>
    <row r="678" spans="1:31" x14ac:dyDescent="0.25">
      <c r="A678" t="s">
        <v>0</v>
      </c>
      <c r="B678" s="3" t="s">
        <v>2219</v>
      </c>
      <c r="C678" t="s">
        <v>1384</v>
      </c>
      <c r="D678" t="s">
        <v>160</v>
      </c>
      <c r="E678" t="s">
        <v>1546</v>
      </c>
      <c r="F678" s="1">
        <v>46060</v>
      </c>
      <c r="G678" s="1">
        <v>46063</v>
      </c>
      <c r="H678" t="s">
        <v>882</v>
      </c>
      <c r="I678" t="s">
        <v>5</v>
      </c>
      <c r="J678" t="s">
        <v>6</v>
      </c>
      <c r="K678" t="s">
        <v>4</v>
      </c>
      <c r="L678" t="s">
        <v>1547</v>
      </c>
      <c r="M678" t="s">
        <v>1547</v>
      </c>
      <c r="N678" s="2">
        <v>42857</v>
      </c>
      <c r="O678" t="s">
        <v>1386</v>
      </c>
      <c r="P678" t="s">
        <v>9</v>
      </c>
      <c r="Q678" t="s">
        <v>75</v>
      </c>
      <c r="R678" t="e">
        <f>VLOOKUP(Q678,#REF!,2,FALSE)</f>
        <v>#REF!</v>
      </c>
      <c r="S678">
        <v>1004</v>
      </c>
      <c r="T678" t="s">
        <v>2225</v>
      </c>
      <c r="U678" t="s">
        <v>1387</v>
      </c>
      <c r="V678" s="1">
        <v>46053</v>
      </c>
      <c r="W678" s="1">
        <v>46053</v>
      </c>
      <c r="X678" t="s">
        <v>77</v>
      </c>
      <c r="Y678" t="s">
        <v>646</v>
      </c>
      <c r="Z678" t="s">
        <v>6</v>
      </c>
      <c r="AA678" t="s">
        <v>646</v>
      </c>
      <c r="AB678" s="4">
        <f t="shared" si="52"/>
        <v>428570</v>
      </c>
      <c r="AC678" s="5" t="s">
        <v>2215</v>
      </c>
      <c r="AD678" s="4">
        <f t="shared" si="50"/>
        <v>35714.166666666664</v>
      </c>
      <c r="AE678" s="4">
        <f t="shared" si="51"/>
        <v>-7142.8333333333358</v>
      </c>
    </row>
    <row r="679" spans="1:31" x14ac:dyDescent="0.25">
      <c r="A679" t="s">
        <v>0</v>
      </c>
      <c r="B679" s="3" t="s">
        <v>2219</v>
      </c>
      <c r="C679" t="s">
        <v>1384</v>
      </c>
      <c r="D679" t="s">
        <v>160</v>
      </c>
      <c r="E679" t="s">
        <v>1548</v>
      </c>
      <c r="F679" s="1">
        <v>46060</v>
      </c>
      <c r="G679" s="1">
        <v>46063</v>
      </c>
      <c r="H679" t="s">
        <v>882</v>
      </c>
      <c r="I679" t="s">
        <v>5</v>
      </c>
      <c r="J679" t="s">
        <v>6</v>
      </c>
      <c r="K679" t="s">
        <v>4</v>
      </c>
      <c r="L679" t="s">
        <v>1549</v>
      </c>
      <c r="M679" t="s">
        <v>1549</v>
      </c>
      <c r="N679" s="2">
        <v>99422</v>
      </c>
      <c r="O679" t="s">
        <v>1386</v>
      </c>
      <c r="P679" t="s">
        <v>9</v>
      </c>
      <c r="Q679" t="s">
        <v>75</v>
      </c>
      <c r="R679" t="e">
        <f>VLOOKUP(Q679,#REF!,2,FALSE)</f>
        <v>#REF!</v>
      </c>
      <c r="S679">
        <v>1004</v>
      </c>
      <c r="T679" t="s">
        <v>2225</v>
      </c>
      <c r="U679" t="s">
        <v>1387</v>
      </c>
      <c r="V679" s="1">
        <v>46053</v>
      </c>
      <c r="W679" s="1">
        <v>46053</v>
      </c>
      <c r="X679" t="s">
        <v>77</v>
      </c>
      <c r="Y679" t="s">
        <v>646</v>
      </c>
      <c r="Z679" t="s">
        <v>6</v>
      </c>
      <c r="AA679" t="s">
        <v>646</v>
      </c>
      <c r="AB679" s="4">
        <f t="shared" si="52"/>
        <v>994220</v>
      </c>
      <c r="AC679" s="5" t="s">
        <v>2215</v>
      </c>
      <c r="AD679" s="4">
        <f t="shared" si="50"/>
        <v>82851.666666666672</v>
      </c>
      <c r="AE679" s="4">
        <f t="shared" si="51"/>
        <v>-16570.333333333328</v>
      </c>
    </row>
    <row r="680" spans="1:31" x14ac:dyDescent="0.25">
      <c r="A680" t="s">
        <v>0</v>
      </c>
      <c r="B680" s="3" t="s">
        <v>2219</v>
      </c>
      <c r="C680" t="s">
        <v>1384</v>
      </c>
      <c r="D680" t="s">
        <v>160</v>
      </c>
      <c r="E680" t="s">
        <v>1550</v>
      </c>
      <c r="F680" s="1">
        <v>46060</v>
      </c>
      <c r="G680" s="1">
        <v>46063</v>
      </c>
      <c r="H680" t="s">
        <v>882</v>
      </c>
      <c r="I680" t="s">
        <v>5</v>
      </c>
      <c r="J680" t="s">
        <v>6</v>
      </c>
      <c r="K680" t="s">
        <v>4</v>
      </c>
      <c r="L680" t="s">
        <v>1551</v>
      </c>
      <c r="M680" t="s">
        <v>1551</v>
      </c>
      <c r="N680" s="2">
        <v>158786</v>
      </c>
      <c r="O680" t="s">
        <v>1386</v>
      </c>
      <c r="P680" t="s">
        <v>9</v>
      </c>
      <c r="Q680" t="s">
        <v>75</v>
      </c>
      <c r="R680" t="e">
        <f>VLOOKUP(Q680,#REF!,2,FALSE)</f>
        <v>#REF!</v>
      </c>
      <c r="S680">
        <v>1004</v>
      </c>
      <c r="T680" t="s">
        <v>2225</v>
      </c>
      <c r="U680" t="s">
        <v>1387</v>
      </c>
      <c r="V680" s="1">
        <v>46053</v>
      </c>
      <c r="W680" s="1">
        <v>46053</v>
      </c>
      <c r="X680" t="s">
        <v>77</v>
      </c>
      <c r="Y680" t="s">
        <v>646</v>
      </c>
      <c r="Z680" t="s">
        <v>6</v>
      </c>
      <c r="AA680" t="s">
        <v>646</v>
      </c>
      <c r="AB680" s="4">
        <f t="shared" si="52"/>
        <v>1587860</v>
      </c>
      <c r="AC680" s="5" t="s">
        <v>2215</v>
      </c>
      <c r="AD680" s="4">
        <f t="shared" si="50"/>
        <v>132321.66666666666</v>
      </c>
      <c r="AE680" s="4">
        <f t="shared" si="51"/>
        <v>-26464.333333333343</v>
      </c>
    </row>
    <row r="681" spans="1:31" x14ac:dyDescent="0.25">
      <c r="A681" t="s">
        <v>0</v>
      </c>
      <c r="B681" s="3" t="s">
        <v>2219</v>
      </c>
      <c r="C681" t="s">
        <v>1384</v>
      </c>
      <c r="D681" t="s">
        <v>160</v>
      </c>
      <c r="E681" t="s">
        <v>1552</v>
      </c>
      <c r="F681" s="1">
        <v>46060</v>
      </c>
      <c r="G681" s="1">
        <v>46063</v>
      </c>
      <c r="H681" t="s">
        <v>882</v>
      </c>
      <c r="I681" t="s">
        <v>5</v>
      </c>
      <c r="J681" t="s">
        <v>6</v>
      </c>
      <c r="K681" t="s">
        <v>4</v>
      </c>
      <c r="L681" t="s">
        <v>1553</v>
      </c>
      <c r="M681" t="s">
        <v>1553</v>
      </c>
      <c r="N681" s="2">
        <v>105983</v>
      </c>
      <c r="O681" t="s">
        <v>1386</v>
      </c>
      <c r="P681" t="s">
        <v>9</v>
      </c>
      <c r="Q681" t="s">
        <v>75</v>
      </c>
      <c r="R681" t="e">
        <f>VLOOKUP(Q681,#REF!,2,FALSE)</f>
        <v>#REF!</v>
      </c>
      <c r="S681">
        <v>1004</v>
      </c>
      <c r="T681" t="s">
        <v>2225</v>
      </c>
      <c r="U681" t="s">
        <v>1387</v>
      </c>
      <c r="V681" s="1">
        <v>46053</v>
      </c>
      <c r="W681" s="1">
        <v>46053</v>
      </c>
      <c r="X681" t="s">
        <v>77</v>
      </c>
      <c r="Y681" t="s">
        <v>646</v>
      </c>
      <c r="Z681" t="s">
        <v>6</v>
      </c>
      <c r="AA681" t="s">
        <v>646</v>
      </c>
      <c r="AB681" s="4">
        <f t="shared" si="52"/>
        <v>1059830</v>
      </c>
      <c r="AC681" s="5" t="s">
        <v>2215</v>
      </c>
      <c r="AD681" s="4">
        <f t="shared" si="50"/>
        <v>88319.166666666672</v>
      </c>
      <c r="AE681" s="4">
        <f t="shared" si="51"/>
        <v>-17663.833333333328</v>
      </c>
    </row>
    <row r="682" spans="1:31" x14ac:dyDescent="0.25">
      <c r="A682" t="s">
        <v>0</v>
      </c>
      <c r="B682" s="3" t="s">
        <v>2219</v>
      </c>
      <c r="C682" t="s">
        <v>1384</v>
      </c>
      <c r="D682" t="s">
        <v>160</v>
      </c>
      <c r="E682" t="s">
        <v>1554</v>
      </c>
      <c r="F682" s="1">
        <v>46060</v>
      </c>
      <c r="G682" s="1">
        <v>46063</v>
      </c>
      <c r="H682" t="s">
        <v>882</v>
      </c>
      <c r="I682" t="s">
        <v>5</v>
      </c>
      <c r="J682" t="s">
        <v>6</v>
      </c>
      <c r="K682" t="s">
        <v>4</v>
      </c>
      <c r="L682" t="s">
        <v>1555</v>
      </c>
      <c r="M682" t="s">
        <v>1555</v>
      </c>
      <c r="N682" s="2">
        <v>32515</v>
      </c>
      <c r="O682" t="s">
        <v>1386</v>
      </c>
      <c r="P682" t="s">
        <v>9</v>
      </c>
      <c r="Q682" t="s">
        <v>75</v>
      </c>
      <c r="R682" t="e">
        <f>VLOOKUP(Q682,#REF!,2,FALSE)</f>
        <v>#REF!</v>
      </c>
      <c r="S682">
        <v>1004</v>
      </c>
      <c r="T682" t="s">
        <v>2225</v>
      </c>
      <c r="U682" t="s">
        <v>1387</v>
      </c>
      <c r="V682" s="1">
        <v>46053</v>
      </c>
      <c r="W682" s="1">
        <v>46053</v>
      </c>
      <c r="X682" t="s">
        <v>77</v>
      </c>
      <c r="Y682" t="s">
        <v>646</v>
      </c>
      <c r="Z682" t="s">
        <v>6</v>
      </c>
      <c r="AA682" t="s">
        <v>646</v>
      </c>
      <c r="AB682" s="4">
        <f t="shared" si="52"/>
        <v>325150</v>
      </c>
      <c r="AC682" s="5" t="s">
        <v>2215</v>
      </c>
      <c r="AD682" s="4">
        <f t="shared" si="50"/>
        <v>27095.833333333332</v>
      </c>
      <c r="AE682" s="4">
        <f t="shared" si="51"/>
        <v>-5419.1666666666679</v>
      </c>
    </row>
    <row r="683" spans="1:31" x14ac:dyDescent="0.25">
      <c r="A683" t="s">
        <v>0</v>
      </c>
      <c r="B683" s="3" t="s">
        <v>2219</v>
      </c>
      <c r="C683" t="s">
        <v>1384</v>
      </c>
      <c r="D683" t="s">
        <v>160</v>
      </c>
      <c r="E683" t="s">
        <v>242</v>
      </c>
      <c r="F683" s="1">
        <v>46060</v>
      </c>
      <c r="G683" s="1">
        <v>46063</v>
      </c>
      <c r="H683" t="s">
        <v>882</v>
      </c>
      <c r="I683" t="s">
        <v>5</v>
      </c>
      <c r="J683" t="s">
        <v>6</v>
      </c>
      <c r="K683" t="s">
        <v>4</v>
      </c>
      <c r="L683" t="s">
        <v>1556</v>
      </c>
      <c r="M683" t="s">
        <v>1556</v>
      </c>
      <c r="N683" s="2">
        <v>113901</v>
      </c>
      <c r="O683" t="s">
        <v>1386</v>
      </c>
      <c r="P683" t="s">
        <v>9</v>
      </c>
      <c r="Q683" t="s">
        <v>75</v>
      </c>
      <c r="R683" t="e">
        <f>VLOOKUP(Q683,#REF!,2,FALSE)</f>
        <v>#REF!</v>
      </c>
      <c r="S683">
        <v>1004</v>
      </c>
      <c r="T683" t="s">
        <v>2225</v>
      </c>
      <c r="U683" t="s">
        <v>1387</v>
      </c>
      <c r="V683" s="1">
        <v>46053</v>
      </c>
      <c r="W683" s="1">
        <v>46053</v>
      </c>
      <c r="X683" t="s">
        <v>77</v>
      </c>
      <c r="Y683" t="s">
        <v>646</v>
      </c>
      <c r="Z683" t="s">
        <v>6</v>
      </c>
      <c r="AA683" t="s">
        <v>646</v>
      </c>
      <c r="AB683" s="4">
        <f t="shared" si="52"/>
        <v>1139010</v>
      </c>
      <c r="AC683" s="5" t="s">
        <v>2215</v>
      </c>
      <c r="AD683" s="4">
        <f t="shared" si="50"/>
        <v>94917.5</v>
      </c>
      <c r="AE683" s="4">
        <f t="shared" si="51"/>
        <v>-18983.5</v>
      </c>
    </row>
    <row r="684" spans="1:31" x14ac:dyDescent="0.25">
      <c r="A684" t="s">
        <v>0</v>
      </c>
      <c r="B684" s="3" t="s">
        <v>2219</v>
      </c>
      <c r="C684" t="s">
        <v>1384</v>
      </c>
      <c r="D684" t="s">
        <v>160</v>
      </c>
      <c r="E684" t="s">
        <v>247</v>
      </c>
      <c r="F684" s="1">
        <v>46060</v>
      </c>
      <c r="G684" s="1">
        <v>46063</v>
      </c>
      <c r="H684" t="s">
        <v>882</v>
      </c>
      <c r="I684" t="s">
        <v>5</v>
      </c>
      <c r="J684" t="s">
        <v>6</v>
      </c>
      <c r="K684" t="s">
        <v>4</v>
      </c>
      <c r="L684" t="s">
        <v>1557</v>
      </c>
      <c r="M684" t="s">
        <v>1557</v>
      </c>
      <c r="N684" s="2">
        <v>99160</v>
      </c>
      <c r="O684" t="s">
        <v>1386</v>
      </c>
      <c r="P684" t="s">
        <v>9</v>
      </c>
      <c r="Q684" t="s">
        <v>75</v>
      </c>
      <c r="R684" t="e">
        <f>VLOOKUP(Q684,#REF!,2,FALSE)</f>
        <v>#REF!</v>
      </c>
      <c r="S684">
        <v>1004</v>
      </c>
      <c r="T684" t="s">
        <v>2225</v>
      </c>
      <c r="U684" t="s">
        <v>1387</v>
      </c>
      <c r="V684" s="1">
        <v>46053</v>
      </c>
      <c r="W684" s="1">
        <v>46053</v>
      </c>
      <c r="X684" t="s">
        <v>77</v>
      </c>
      <c r="Y684" t="s">
        <v>646</v>
      </c>
      <c r="Z684" t="s">
        <v>6</v>
      </c>
      <c r="AA684" t="s">
        <v>646</v>
      </c>
      <c r="AB684" s="4">
        <f t="shared" si="52"/>
        <v>991600</v>
      </c>
      <c r="AC684" s="5" t="s">
        <v>2215</v>
      </c>
      <c r="AD684" s="4">
        <f t="shared" si="50"/>
        <v>82633.333333333328</v>
      </c>
      <c r="AE684" s="4">
        <f t="shared" si="51"/>
        <v>-16526.666666666672</v>
      </c>
    </row>
    <row r="685" spans="1:31" x14ac:dyDescent="0.25">
      <c r="A685" t="s">
        <v>0</v>
      </c>
      <c r="B685" s="3" t="s">
        <v>2219</v>
      </c>
      <c r="C685" t="s">
        <v>1384</v>
      </c>
      <c r="D685" t="s">
        <v>160</v>
      </c>
      <c r="E685" t="s">
        <v>249</v>
      </c>
      <c r="F685" s="1">
        <v>46060</v>
      </c>
      <c r="G685" s="1">
        <v>46063</v>
      </c>
      <c r="H685" t="s">
        <v>882</v>
      </c>
      <c r="I685" t="s">
        <v>5</v>
      </c>
      <c r="J685" t="s">
        <v>6</v>
      </c>
      <c r="K685" t="s">
        <v>4</v>
      </c>
      <c r="L685" t="s">
        <v>1558</v>
      </c>
      <c r="M685" t="s">
        <v>1558</v>
      </c>
      <c r="N685" s="2">
        <v>144641</v>
      </c>
      <c r="O685" t="s">
        <v>1386</v>
      </c>
      <c r="P685" t="s">
        <v>9</v>
      </c>
      <c r="Q685" t="s">
        <v>75</v>
      </c>
      <c r="R685" t="e">
        <f>VLOOKUP(Q685,#REF!,2,FALSE)</f>
        <v>#REF!</v>
      </c>
      <c r="S685">
        <v>1004</v>
      </c>
      <c r="T685" t="s">
        <v>2225</v>
      </c>
      <c r="U685" t="s">
        <v>1387</v>
      </c>
      <c r="V685" s="1">
        <v>46053</v>
      </c>
      <c r="W685" s="1">
        <v>46053</v>
      </c>
      <c r="X685" t="s">
        <v>77</v>
      </c>
      <c r="Y685" t="s">
        <v>646</v>
      </c>
      <c r="Z685" t="s">
        <v>6</v>
      </c>
      <c r="AA685" t="s">
        <v>646</v>
      </c>
      <c r="AB685" s="4">
        <f t="shared" si="52"/>
        <v>1446410</v>
      </c>
      <c r="AC685" s="5" t="s">
        <v>2215</v>
      </c>
      <c r="AD685" s="4">
        <f t="shared" si="50"/>
        <v>120534.16666666667</v>
      </c>
      <c r="AE685" s="4">
        <f t="shared" si="51"/>
        <v>-24106.833333333328</v>
      </c>
    </row>
    <row r="686" spans="1:31" x14ac:dyDescent="0.25">
      <c r="A686" t="s">
        <v>0</v>
      </c>
      <c r="B686" s="3" t="s">
        <v>2219</v>
      </c>
      <c r="C686" t="s">
        <v>1384</v>
      </c>
      <c r="D686" t="s">
        <v>160</v>
      </c>
      <c r="E686" t="s">
        <v>1559</v>
      </c>
      <c r="F686" s="1">
        <v>46060</v>
      </c>
      <c r="G686" s="1">
        <v>46063</v>
      </c>
      <c r="H686" t="s">
        <v>882</v>
      </c>
      <c r="I686" t="s">
        <v>5</v>
      </c>
      <c r="J686" t="s">
        <v>6</v>
      </c>
      <c r="K686" t="s">
        <v>4</v>
      </c>
      <c r="L686" t="s">
        <v>1560</v>
      </c>
      <c r="M686" t="s">
        <v>1560</v>
      </c>
      <c r="N686" s="2">
        <v>95893</v>
      </c>
      <c r="O686" t="s">
        <v>1386</v>
      </c>
      <c r="P686" t="s">
        <v>9</v>
      </c>
      <c r="Q686" t="s">
        <v>75</v>
      </c>
      <c r="R686" t="e">
        <f>VLOOKUP(Q686,#REF!,2,FALSE)</f>
        <v>#REF!</v>
      </c>
      <c r="S686">
        <v>1004</v>
      </c>
      <c r="T686" t="s">
        <v>2225</v>
      </c>
      <c r="U686" t="s">
        <v>1387</v>
      </c>
      <c r="V686" s="1">
        <v>46053</v>
      </c>
      <c r="W686" s="1">
        <v>46053</v>
      </c>
      <c r="X686" t="s">
        <v>77</v>
      </c>
      <c r="Y686" t="s">
        <v>646</v>
      </c>
      <c r="Z686" t="s">
        <v>6</v>
      </c>
      <c r="AA686" t="s">
        <v>646</v>
      </c>
      <c r="AB686" s="4">
        <f t="shared" si="52"/>
        <v>958930</v>
      </c>
      <c r="AC686" s="5" t="s">
        <v>2215</v>
      </c>
      <c r="AD686" s="4">
        <f t="shared" si="50"/>
        <v>79910.833333333328</v>
      </c>
      <c r="AE686" s="4">
        <f t="shared" si="51"/>
        <v>-15982.166666666672</v>
      </c>
    </row>
    <row r="687" spans="1:31" x14ac:dyDescent="0.25">
      <c r="A687" t="s">
        <v>0</v>
      </c>
      <c r="B687" s="3" t="s">
        <v>2219</v>
      </c>
      <c r="C687" t="s">
        <v>1384</v>
      </c>
      <c r="D687" t="s">
        <v>160</v>
      </c>
      <c r="E687" t="s">
        <v>741</v>
      </c>
      <c r="F687" s="1">
        <v>46060</v>
      </c>
      <c r="G687" s="1">
        <v>46063</v>
      </c>
      <c r="H687" t="s">
        <v>882</v>
      </c>
      <c r="I687" t="s">
        <v>5</v>
      </c>
      <c r="J687" t="s">
        <v>6</v>
      </c>
      <c r="K687" t="s">
        <v>4</v>
      </c>
      <c r="L687" t="s">
        <v>1561</v>
      </c>
      <c r="M687" t="s">
        <v>1561</v>
      </c>
      <c r="N687" s="2">
        <v>77832</v>
      </c>
      <c r="O687" t="s">
        <v>1386</v>
      </c>
      <c r="P687" t="s">
        <v>9</v>
      </c>
      <c r="Q687" t="s">
        <v>75</v>
      </c>
      <c r="R687" t="e">
        <f>VLOOKUP(Q687,#REF!,2,FALSE)</f>
        <v>#REF!</v>
      </c>
      <c r="S687">
        <v>1004</v>
      </c>
      <c r="T687" t="s">
        <v>2225</v>
      </c>
      <c r="U687" t="s">
        <v>1387</v>
      </c>
      <c r="V687" s="1">
        <v>46053</v>
      </c>
      <c r="W687" s="1">
        <v>46053</v>
      </c>
      <c r="X687" t="s">
        <v>77</v>
      </c>
      <c r="Y687" t="s">
        <v>646</v>
      </c>
      <c r="Z687" t="s">
        <v>6</v>
      </c>
      <c r="AA687" t="s">
        <v>646</v>
      </c>
      <c r="AB687" s="4">
        <f t="shared" si="52"/>
        <v>778320</v>
      </c>
      <c r="AC687" s="5" t="s">
        <v>2215</v>
      </c>
      <c r="AD687" s="4">
        <f t="shared" si="50"/>
        <v>64860</v>
      </c>
      <c r="AE687" s="4">
        <f t="shared" si="51"/>
        <v>-12972</v>
      </c>
    </row>
    <row r="688" spans="1:31" x14ac:dyDescent="0.25">
      <c r="A688" t="s">
        <v>0</v>
      </c>
      <c r="B688" s="3" t="s">
        <v>2219</v>
      </c>
      <c r="C688" t="s">
        <v>1384</v>
      </c>
      <c r="D688" t="s">
        <v>160</v>
      </c>
      <c r="E688" t="s">
        <v>666</v>
      </c>
      <c r="F688" s="1">
        <v>46060</v>
      </c>
      <c r="G688" s="1">
        <v>46063</v>
      </c>
      <c r="H688" t="s">
        <v>882</v>
      </c>
      <c r="I688" t="s">
        <v>5</v>
      </c>
      <c r="J688" t="s">
        <v>6</v>
      </c>
      <c r="K688" t="s">
        <v>4</v>
      </c>
      <c r="L688" t="s">
        <v>1562</v>
      </c>
      <c r="M688" t="s">
        <v>1562</v>
      </c>
      <c r="N688" s="2">
        <v>177069</v>
      </c>
      <c r="O688" t="s">
        <v>1386</v>
      </c>
      <c r="P688" t="s">
        <v>9</v>
      </c>
      <c r="Q688" t="s">
        <v>75</v>
      </c>
      <c r="R688" t="e">
        <f>VLOOKUP(Q688,#REF!,2,FALSE)</f>
        <v>#REF!</v>
      </c>
      <c r="S688">
        <v>1004</v>
      </c>
      <c r="T688" t="s">
        <v>2225</v>
      </c>
      <c r="U688" t="s">
        <v>1387</v>
      </c>
      <c r="V688" s="1">
        <v>46053</v>
      </c>
      <c r="W688" s="1">
        <v>46053</v>
      </c>
      <c r="X688" t="s">
        <v>77</v>
      </c>
      <c r="Y688" t="s">
        <v>646</v>
      </c>
      <c r="Z688" t="s">
        <v>6</v>
      </c>
      <c r="AA688" t="s">
        <v>646</v>
      </c>
      <c r="AB688" s="4">
        <f t="shared" si="52"/>
        <v>1770690</v>
      </c>
      <c r="AC688" s="5" t="s">
        <v>2215</v>
      </c>
      <c r="AD688" s="4">
        <f t="shared" si="50"/>
        <v>147557.5</v>
      </c>
      <c r="AE688" s="4">
        <f t="shared" si="51"/>
        <v>-29511.5</v>
      </c>
    </row>
    <row r="689" spans="1:31" x14ac:dyDescent="0.25">
      <c r="A689" t="s">
        <v>0</v>
      </c>
      <c r="B689" s="3" t="s">
        <v>2219</v>
      </c>
      <c r="C689" t="s">
        <v>1384</v>
      </c>
      <c r="D689" t="s">
        <v>160</v>
      </c>
      <c r="E689" t="s">
        <v>670</v>
      </c>
      <c r="F689" s="1">
        <v>46060</v>
      </c>
      <c r="G689" s="1">
        <v>46063</v>
      </c>
      <c r="H689" t="s">
        <v>882</v>
      </c>
      <c r="I689" t="s">
        <v>5</v>
      </c>
      <c r="J689" t="s">
        <v>6</v>
      </c>
      <c r="K689" t="s">
        <v>4</v>
      </c>
      <c r="L689" t="s">
        <v>1563</v>
      </c>
      <c r="M689" t="s">
        <v>1563</v>
      </c>
      <c r="N689" s="2">
        <v>98864</v>
      </c>
      <c r="O689" t="s">
        <v>1386</v>
      </c>
      <c r="P689" t="s">
        <v>9</v>
      </c>
      <c r="Q689" t="s">
        <v>75</v>
      </c>
      <c r="R689" t="e">
        <f>VLOOKUP(Q689,#REF!,2,FALSE)</f>
        <v>#REF!</v>
      </c>
      <c r="S689">
        <v>1004</v>
      </c>
      <c r="T689" t="s">
        <v>2225</v>
      </c>
      <c r="U689" t="s">
        <v>1387</v>
      </c>
      <c r="V689" s="1">
        <v>46053</v>
      </c>
      <c r="W689" s="1">
        <v>46053</v>
      </c>
      <c r="X689" t="s">
        <v>77</v>
      </c>
      <c r="Y689" t="s">
        <v>646</v>
      </c>
      <c r="Z689" t="s">
        <v>6</v>
      </c>
      <c r="AA689" t="s">
        <v>646</v>
      </c>
      <c r="AB689" s="4">
        <f t="shared" si="52"/>
        <v>988640</v>
      </c>
      <c r="AC689" s="5" t="s">
        <v>2215</v>
      </c>
      <c r="AD689" s="4">
        <f t="shared" si="50"/>
        <v>82386.666666666672</v>
      </c>
      <c r="AE689" s="4">
        <f t="shared" si="51"/>
        <v>-16477.333333333328</v>
      </c>
    </row>
    <row r="690" spans="1:31" x14ac:dyDescent="0.25">
      <c r="A690" t="s">
        <v>0</v>
      </c>
      <c r="B690" s="3" t="s">
        <v>2219</v>
      </c>
      <c r="C690" t="s">
        <v>1384</v>
      </c>
      <c r="D690" t="s">
        <v>160</v>
      </c>
      <c r="E690" t="s">
        <v>671</v>
      </c>
      <c r="F690" s="1">
        <v>46060</v>
      </c>
      <c r="G690" s="1">
        <v>46063</v>
      </c>
      <c r="H690" t="s">
        <v>882</v>
      </c>
      <c r="I690" t="s">
        <v>5</v>
      </c>
      <c r="J690" t="s">
        <v>6</v>
      </c>
      <c r="K690" t="s">
        <v>4</v>
      </c>
      <c r="L690" t="s">
        <v>1564</v>
      </c>
      <c r="M690" t="s">
        <v>1564</v>
      </c>
      <c r="N690" s="2">
        <v>110038</v>
      </c>
      <c r="O690" t="s">
        <v>1386</v>
      </c>
      <c r="P690" t="s">
        <v>9</v>
      </c>
      <c r="Q690" t="s">
        <v>75</v>
      </c>
      <c r="R690" t="e">
        <f>VLOOKUP(Q690,#REF!,2,FALSE)</f>
        <v>#REF!</v>
      </c>
      <c r="S690">
        <v>1004</v>
      </c>
      <c r="T690" t="s">
        <v>2225</v>
      </c>
      <c r="U690" t="s">
        <v>1387</v>
      </c>
      <c r="V690" s="1">
        <v>46053</v>
      </c>
      <c r="W690" s="1">
        <v>46053</v>
      </c>
      <c r="X690" t="s">
        <v>77</v>
      </c>
      <c r="Y690" t="s">
        <v>646</v>
      </c>
      <c r="Z690" t="s">
        <v>6</v>
      </c>
      <c r="AA690" t="s">
        <v>646</v>
      </c>
      <c r="AB690" s="4">
        <f t="shared" ref="AB690:AB695" si="53">L690/0.1</f>
        <v>1100380</v>
      </c>
      <c r="AC690" s="5" t="s">
        <v>2215</v>
      </c>
      <c r="AD690" s="4">
        <f t="shared" ref="AD690:AD695" si="54">AB690/12</f>
        <v>91698.333333333328</v>
      </c>
      <c r="AE690" s="4">
        <f t="shared" si="51"/>
        <v>-18339.666666666672</v>
      </c>
    </row>
    <row r="691" spans="1:31" x14ac:dyDescent="0.25">
      <c r="A691" t="s">
        <v>0</v>
      </c>
      <c r="B691" s="3" t="s">
        <v>2219</v>
      </c>
      <c r="C691" t="s">
        <v>1384</v>
      </c>
      <c r="D691" t="s">
        <v>160</v>
      </c>
      <c r="E691" t="s">
        <v>542</v>
      </c>
      <c r="F691" s="1">
        <v>46060</v>
      </c>
      <c r="G691" s="1">
        <v>46063</v>
      </c>
      <c r="H691" t="s">
        <v>882</v>
      </c>
      <c r="I691" t="s">
        <v>5</v>
      </c>
      <c r="J691" t="s">
        <v>6</v>
      </c>
      <c r="K691" t="s">
        <v>4</v>
      </c>
      <c r="L691" t="s">
        <v>1565</v>
      </c>
      <c r="M691" t="s">
        <v>1565</v>
      </c>
      <c r="N691" s="2">
        <v>125771</v>
      </c>
      <c r="O691" t="s">
        <v>1386</v>
      </c>
      <c r="P691" t="s">
        <v>9</v>
      </c>
      <c r="Q691" t="s">
        <v>75</v>
      </c>
      <c r="R691" t="e">
        <f>VLOOKUP(Q691,#REF!,2,FALSE)</f>
        <v>#REF!</v>
      </c>
      <c r="S691">
        <v>1004</v>
      </c>
      <c r="T691" t="s">
        <v>2225</v>
      </c>
      <c r="U691" t="s">
        <v>1387</v>
      </c>
      <c r="V691" s="1">
        <v>46053</v>
      </c>
      <c r="W691" s="1">
        <v>46053</v>
      </c>
      <c r="X691" t="s">
        <v>77</v>
      </c>
      <c r="Y691" t="s">
        <v>646</v>
      </c>
      <c r="Z691" t="s">
        <v>6</v>
      </c>
      <c r="AA691" t="s">
        <v>646</v>
      </c>
      <c r="AB691" s="4">
        <f t="shared" si="53"/>
        <v>1257710</v>
      </c>
      <c r="AC691" s="5" t="s">
        <v>2215</v>
      </c>
      <c r="AD691" s="4">
        <f t="shared" si="54"/>
        <v>104809.16666666667</v>
      </c>
      <c r="AE691" s="4">
        <f t="shared" si="51"/>
        <v>-20961.833333333328</v>
      </c>
    </row>
    <row r="692" spans="1:31" x14ac:dyDescent="0.25">
      <c r="A692" t="s">
        <v>0</v>
      </c>
      <c r="B692" s="3" t="s">
        <v>2219</v>
      </c>
      <c r="C692" t="s">
        <v>1384</v>
      </c>
      <c r="D692" t="s">
        <v>160</v>
      </c>
      <c r="E692" t="s">
        <v>546</v>
      </c>
      <c r="F692" s="1">
        <v>46060</v>
      </c>
      <c r="G692" s="1">
        <v>46063</v>
      </c>
      <c r="H692" t="s">
        <v>882</v>
      </c>
      <c r="I692" t="s">
        <v>5</v>
      </c>
      <c r="J692" t="s">
        <v>6</v>
      </c>
      <c r="K692" t="s">
        <v>4</v>
      </c>
      <c r="L692" t="s">
        <v>1566</v>
      </c>
      <c r="M692" t="s">
        <v>1566</v>
      </c>
      <c r="N692" s="2">
        <v>1054684</v>
      </c>
      <c r="O692" t="s">
        <v>1386</v>
      </c>
      <c r="P692" t="s">
        <v>9</v>
      </c>
      <c r="Q692" t="s">
        <v>75</v>
      </c>
      <c r="R692" t="e">
        <f>VLOOKUP(Q692,#REF!,2,FALSE)</f>
        <v>#REF!</v>
      </c>
      <c r="S692">
        <v>1004</v>
      </c>
      <c r="T692" t="s">
        <v>2225</v>
      </c>
      <c r="U692" t="s">
        <v>1387</v>
      </c>
      <c r="V692" s="1">
        <v>46053</v>
      </c>
      <c r="W692" s="1">
        <v>46053</v>
      </c>
      <c r="X692" t="s">
        <v>77</v>
      </c>
      <c r="Y692" t="s">
        <v>646</v>
      </c>
      <c r="Z692" t="s">
        <v>6</v>
      </c>
      <c r="AA692" t="s">
        <v>646</v>
      </c>
      <c r="AB692" s="4">
        <f t="shared" si="53"/>
        <v>10546840</v>
      </c>
      <c r="AC692" s="5" t="s">
        <v>2215</v>
      </c>
      <c r="AD692" s="4">
        <f t="shared" si="54"/>
        <v>878903.33333333337</v>
      </c>
      <c r="AE692" s="4">
        <f t="shared" si="51"/>
        <v>-175780.66666666663</v>
      </c>
    </row>
    <row r="693" spans="1:31" x14ac:dyDescent="0.25">
      <c r="A693" t="s">
        <v>0</v>
      </c>
      <c r="B693" s="3" t="s">
        <v>2219</v>
      </c>
      <c r="C693" t="s">
        <v>1384</v>
      </c>
      <c r="D693" t="s">
        <v>160</v>
      </c>
      <c r="E693" t="s">
        <v>548</v>
      </c>
      <c r="F693" s="1">
        <v>46060</v>
      </c>
      <c r="G693" s="1">
        <v>46063</v>
      </c>
      <c r="H693" t="s">
        <v>882</v>
      </c>
      <c r="I693" t="s">
        <v>5</v>
      </c>
      <c r="J693" t="s">
        <v>6</v>
      </c>
      <c r="K693" t="s">
        <v>4</v>
      </c>
      <c r="L693" t="s">
        <v>1567</v>
      </c>
      <c r="M693" t="s">
        <v>1567</v>
      </c>
      <c r="N693" s="2">
        <v>112542</v>
      </c>
      <c r="O693" t="s">
        <v>1386</v>
      </c>
      <c r="P693" t="s">
        <v>9</v>
      </c>
      <c r="Q693" t="s">
        <v>75</v>
      </c>
      <c r="R693" t="e">
        <f>VLOOKUP(Q693,#REF!,2,FALSE)</f>
        <v>#REF!</v>
      </c>
      <c r="S693">
        <v>1004</v>
      </c>
      <c r="T693" t="s">
        <v>2225</v>
      </c>
      <c r="U693" t="s">
        <v>1387</v>
      </c>
      <c r="V693" s="1">
        <v>46053</v>
      </c>
      <c r="W693" s="1">
        <v>46053</v>
      </c>
      <c r="X693" t="s">
        <v>77</v>
      </c>
      <c r="Y693" t="s">
        <v>646</v>
      </c>
      <c r="Z693" t="s">
        <v>6</v>
      </c>
      <c r="AA693" t="s">
        <v>646</v>
      </c>
      <c r="AB693" s="4">
        <f t="shared" si="53"/>
        <v>1125420</v>
      </c>
      <c r="AC693" s="5" t="s">
        <v>2215</v>
      </c>
      <c r="AD693" s="4">
        <f t="shared" si="54"/>
        <v>93785</v>
      </c>
      <c r="AE693" s="4">
        <f t="shared" si="51"/>
        <v>-18757</v>
      </c>
    </row>
    <row r="694" spans="1:31" x14ac:dyDescent="0.25">
      <c r="A694" t="s">
        <v>0</v>
      </c>
      <c r="B694" s="3" t="s">
        <v>2219</v>
      </c>
      <c r="C694" t="s">
        <v>1384</v>
      </c>
      <c r="D694" t="s">
        <v>160</v>
      </c>
      <c r="E694" t="s">
        <v>1316</v>
      </c>
      <c r="F694" s="1">
        <v>46060</v>
      </c>
      <c r="G694" s="1">
        <v>46063</v>
      </c>
      <c r="H694" t="s">
        <v>882</v>
      </c>
      <c r="I694" t="s">
        <v>5</v>
      </c>
      <c r="J694" t="s">
        <v>6</v>
      </c>
      <c r="K694" t="s">
        <v>4</v>
      </c>
      <c r="L694" t="s">
        <v>1568</v>
      </c>
      <c r="M694" t="s">
        <v>1568</v>
      </c>
      <c r="N694" s="2">
        <v>214518</v>
      </c>
      <c r="O694" t="s">
        <v>1386</v>
      </c>
      <c r="P694" t="s">
        <v>9</v>
      </c>
      <c r="Q694" t="s">
        <v>75</v>
      </c>
      <c r="R694" t="e">
        <f>VLOOKUP(Q694,#REF!,2,FALSE)</f>
        <v>#REF!</v>
      </c>
      <c r="S694">
        <v>1004</v>
      </c>
      <c r="T694" t="s">
        <v>2225</v>
      </c>
      <c r="U694" t="s">
        <v>1387</v>
      </c>
      <c r="V694" s="1">
        <v>46053</v>
      </c>
      <c r="W694" s="1">
        <v>46053</v>
      </c>
      <c r="X694" t="s">
        <v>77</v>
      </c>
      <c r="Y694" t="s">
        <v>646</v>
      </c>
      <c r="Z694" t="s">
        <v>6</v>
      </c>
      <c r="AA694" t="s">
        <v>646</v>
      </c>
      <c r="AB694" s="4">
        <f t="shared" si="53"/>
        <v>2145180</v>
      </c>
      <c r="AC694" s="5" t="s">
        <v>2215</v>
      </c>
      <c r="AD694" s="4">
        <f t="shared" si="54"/>
        <v>178765</v>
      </c>
      <c r="AE694" s="4">
        <f t="shared" si="51"/>
        <v>-35753</v>
      </c>
    </row>
    <row r="695" spans="1:31" x14ac:dyDescent="0.25">
      <c r="A695" t="s">
        <v>0</v>
      </c>
      <c r="B695" s="3" t="s">
        <v>2219</v>
      </c>
      <c r="C695" t="s">
        <v>1384</v>
      </c>
      <c r="D695" t="s">
        <v>160</v>
      </c>
      <c r="E695" t="s">
        <v>1318</v>
      </c>
      <c r="F695" s="1">
        <v>46060</v>
      </c>
      <c r="G695" s="1">
        <v>46063</v>
      </c>
      <c r="H695" t="s">
        <v>882</v>
      </c>
      <c r="I695" t="s">
        <v>5</v>
      </c>
      <c r="J695" t="s">
        <v>6</v>
      </c>
      <c r="K695" t="s">
        <v>4</v>
      </c>
      <c r="L695" t="s">
        <v>1569</v>
      </c>
      <c r="M695" t="s">
        <v>1569</v>
      </c>
      <c r="N695" s="2">
        <v>170280</v>
      </c>
      <c r="O695" t="s">
        <v>1386</v>
      </c>
      <c r="P695" t="s">
        <v>9</v>
      </c>
      <c r="Q695" t="s">
        <v>75</v>
      </c>
      <c r="R695" t="e">
        <f>VLOOKUP(Q695,#REF!,2,FALSE)</f>
        <v>#REF!</v>
      </c>
      <c r="S695">
        <v>1004</v>
      </c>
      <c r="T695" t="s">
        <v>2225</v>
      </c>
      <c r="U695" t="s">
        <v>1387</v>
      </c>
      <c r="V695" s="1">
        <v>46053</v>
      </c>
      <c r="W695" s="1">
        <v>46053</v>
      </c>
      <c r="X695" t="s">
        <v>77</v>
      </c>
      <c r="Y695" t="s">
        <v>646</v>
      </c>
      <c r="Z695" t="s">
        <v>6</v>
      </c>
      <c r="AA695" t="s">
        <v>646</v>
      </c>
      <c r="AB695" s="4">
        <f t="shared" si="53"/>
        <v>1702800</v>
      </c>
      <c r="AC695" s="5" t="s">
        <v>2215</v>
      </c>
      <c r="AD695" s="4">
        <f t="shared" si="54"/>
        <v>141900</v>
      </c>
      <c r="AE695" s="4">
        <f t="shared" si="51"/>
        <v>-28380</v>
      </c>
    </row>
    <row r="696" spans="1:31" x14ac:dyDescent="0.25">
      <c r="A696" t="s">
        <v>0</v>
      </c>
      <c r="B696" s="3" t="s">
        <v>2219</v>
      </c>
      <c r="C696" t="s">
        <v>1384</v>
      </c>
      <c r="D696" t="s">
        <v>160</v>
      </c>
      <c r="E696" t="s">
        <v>1320</v>
      </c>
      <c r="F696" s="1">
        <v>46060</v>
      </c>
      <c r="G696" s="1">
        <v>46063</v>
      </c>
      <c r="H696" t="s">
        <v>901</v>
      </c>
      <c r="I696" t="s">
        <v>5</v>
      </c>
      <c r="J696" t="s">
        <v>6</v>
      </c>
      <c r="K696" t="s">
        <v>4</v>
      </c>
      <c r="L696" t="s">
        <v>1570</v>
      </c>
      <c r="M696" t="s">
        <v>1570</v>
      </c>
      <c r="N696" s="2">
        <v>13460</v>
      </c>
      <c r="O696" t="s">
        <v>1386</v>
      </c>
      <c r="P696" t="s">
        <v>9</v>
      </c>
      <c r="Q696" t="s">
        <v>82</v>
      </c>
      <c r="R696" t="e">
        <f>VLOOKUP(Q696,#REF!,2,FALSE)</f>
        <v>#REF!</v>
      </c>
      <c r="S696">
        <v>1004</v>
      </c>
      <c r="T696" t="s">
        <v>2225</v>
      </c>
      <c r="U696" t="s">
        <v>1387</v>
      </c>
      <c r="V696" s="1">
        <v>46053</v>
      </c>
      <c r="W696" s="1">
        <v>46053</v>
      </c>
      <c r="X696" t="s">
        <v>77</v>
      </c>
      <c r="Y696" t="s">
        <v>646</v>
      </c>
      <c r="Z696" t="s">
        <v>6</v>
      </c>
      <c r="AA696" t="s">
        <v>646</v>
      </c>
      <c r="AB696" s="4">
        <f t="shared" ref="AB696:AB706" si="55">L696/0.08</f>
        <v>168250</v>
      </c>
      <c r="AC696" s="6">
        <v>0.1</v>
      </c>
      <c r="AD696" s="4">
        <f t="shared" ref="AD696:AD706" si="56">AB696*AC696</f>
        <v>16825</v>
      </c>
      <c r="AE696" s="4">
        <f t="shared" si="51"/>
        <v>3365</v>
      </c>
    </row>
    <row r="697" spans="1:31" x14ac:dyDescent="0.25">
      <c r="A697" t="s">
        <v>0</v>
      </c>
      <c r="B697" s="3" t="s">
        <v>2219</v>
      </c>
      <c r="C697" t="s">
        <v>1384</v>
      </c>
      <c r="D697" t="s">
        <v>160</v>
      </c>
      <c r="E697" t="s">
        <v>1322</v>
      </c>
      <c r="F697" s="1">
        <v>46060</v>
      </c>
      <c r="G697" s="1">
        <v>46063</v>
      </c>
      <c r="H697" t="s">
        <v>901</v>
      </c>
      <c r="I697" t="s">
        <v>5</v>
      </c>
      <c r="J697" t="s">
        <v>6</v>
      </c>
      <c r="K697" t="s">
        <v>4</v>
      </c>
      <c r="L697" t="s">
        <v>1571</v>
      </c>
      <c r="M697" t="s">
        <v>1571</v>
      </c>
      <c r="N697" s="2">
        <v>48938</v>
      </c>
      <c r="O697" t="s">
        <v>1386</v>
      </c>
      <c r="P697" t="s">
        <v>9</v>
      </c>
      <c r="Q697" t="s">
        <v>82</v>
      </c>
      <c r="R697" t="e">
        <f>VLOOKUP(Q697,#REF!,2,FALSE)</f>
        <v>#REF!</v>
      </c>
      <c r="S697">
        <v>1004</v>
      </c>
      <c r="T697" t="s">
        <v>2225</v>
      </c>
      <c r="U697" t="s">
        <v>1387</v>
      </c>
      <c r="V697" s="1">
        <v>46053</v>
      </c>
      <c r="W697" s="1">
        <v>46053</v>
      </c>
      <c r="X697" t="s">
        <v>77</v>
      </c>
      <c r="Y697" t="s">
        <v>646</v>
      </c>
      <c r="Z697" t="s">
        <v>6</v>
      </c>
      <c r="AA697" t="s">
        <v>646</v>
      </c>
      <c r="AB697" s="4">
        <f t="shared" si="55"/>
        <v>611725</v>
      </c>
      <c r="AC697" s="6">
        <v>0.1</v>
      </c>
      <c r="AD697" s="4">
        <f t="shared" si="56"/>
        <v>61172.5</v>
      </c>
      <c r="AE697" s="4">
        <f t="shared" si="51"/>
        <v>12234.5</v>
      </c>
    </row>
    <row r="698" spans="1:31" x14ac:dyDescent="0.25">
      <c r="A698" t="s">
        <v>0</v>
      </c>
      <c r="B698" s="3" t="s">
        <v>2219</v>
      </c>
      <c r="C698" t="s">
        <v>1384</v>
      </c>
      <c r="D698" t="s">
        <v>160</v>
      </c>
      <c r="E698" t="s">
        <v>1324</v>
      </c>
      <c r="F698" s="1">
        <v>46060</v>
      </c>
      <c r="G698" s="1">
        <v>46063</v>
      </c>
      <c r="H698" t="s">
        <v>901</v>
      </c>
      <c r="I698" t="s">
        <v>5</v>
      </c>
      <c r="J698" t="s">
        <v>6</v>
      </c>
      <c r="K698" t="s">
        <v>4</v>
      </c>
      <c r="L698" t="s">
        <v>1572</v>
      </c>
      <c r="M698" t="s">
        <v>1572</v>
      </c>
      <c r="N698" s="2">
        <v>11916</v>
      </c>
      <c r="O698" t="s">
        <v>1386</v>
      </c>
      <c r="P698" t="s">
        <v>9</v>
      </c>
      <c r="Q698" t="s">
        <v>82</v>
      </c>
      <c r="R698" t="e">
        <f>VLOOKUP(Q698,#REF!,2,FALSE)</f>
        <v>#REF!</v>
      </c>
      <c r="S698">
        <v>1004</v>
      </c>
      <c r="T698" t="s">
        <v>2225</v>
      </c>
      <c r="U698" t="s">
        <v>1387</v>
      </c>
      <c r="V698" s="1">
        <v>46053</v>
      </c>
      <c r="W698" s="1">
        <v>46053</v>
      </c>
      <c r="X698" t="s">
        <v>77</v>
      </c>
      <c r="Y698" t="s">
        <v>646</v>
      </c>
      <c r="Z698" t="s">
        <v>6</v>
      </c>
      <c r="AA698" t="s">
        <v>646</v>
      </c>
      <c r="AB698" s="4">
        <f t="shared" si="55"/>
        <v>148950</v>
      </c>
      <c r="AC698" s="6">
        <v>0.1</v>
      </c>
      <c r="AD698" s="4">
        <f t="shared" si="56"/>
        <v>14895</v>
      </c>
      <c r="AE698" s="4">
        <f t="shared" si="51"/>
        <v>2979</v>
      </c>
    </row>
    <row r="699" spans="1:31" x14ac:dyDescent="0.25">
      <c r="A699" t="s">
        <v>0</v>
      </c>
      <c r="B699" s="3" t="s">
        <v>2219</v>
      </c>
      <c r="C699" t="s">
        <v>1384</v>
      </c>
      <c r="D699" t="s">
        <v>160</v>
      </c>
      <c r="E699" t="s">
        <v>1326</v>
      </c>
      <c r="F699" s="1">
        <v>46060</v>
      </c>
      <c r="G699" s="1">
        <v>46063</v>
      </c>
      <c r="H699" t="s">
        <v>901</v>
      </c>
      <c r="I699" t="s">
        <v>5</v>
      </c>
      <c r="J699" t="s">
        <v>6</v>
      </c>
      <c r="K699" t="s">
        <v>4</v>
      </c>
      <c r="L699" t="s">
        <v>1573</v>
      </c>
      <c r="M699" t="s">
        <v>1573</v>
      </c>
      <c r="N699" s="2">
        <v>35442</v>
      </c>
      <c r="O699" t="s">
        <v>1386</v>
      </c>
      <c r="P699" t="s">
        <v>9</v>
      </c>
      <c r="Q699" t="s">
        <v>82</v>
      </c>
      <c r="R699" t="e">
        <f>VLOOKUP(Q699,#REF!,2,FALSE)</f>
        <v>#REF!</v>
      </c>
      <c r="S699">
        <v>1004</v>
      </c>
      <c r="T699" t="s">
        <v>2225</v>
      </c>
      <c r="U699" t="s">
        <v>1387</v>
      </c>
      <c r="V699" s="1">
        <v>46053</v>
      </c>
      <c r="W699" s="1">
        <v>46053</v>
      </c>
      <c r="X699" t="s">
        <v>77</v>
      </c>
      <c r="Y699" t="s">
        <v>646</v>
      </c>
      <c r="Z699" t="s">
        <v>6</v>
      </c>
      <c r="AA699" t="s">
        <v>646</v>
      </c>
      <c r="AB699" s="4">
        <f t="shared" si="55"/>
        <v>443025</v>
      </c>
      <c r="AC699" s="6">
        <v>0.1</v>
      </c>
      <c r="AD699" s="4">
        <f t="shared" si="56"/>
        <v>44302.5</v>
      </c>
      <c r="AE699" s="4">
        <f t="shared" si="51"/>
        <v>8860.5</v>
      </c>
    </row>
    <row r="700" spans="1:31" x14ac:dyDescent="0.25">
      <c r="A700" t="s">
        <v>0</v>
      </c>
      <c r="B700" s="3" t="s">
        <v>2219</v>
      </c>
      <c r="C700" t="s">
        <v>1384</v>
      </c>
      <c r="D700" t="s">
        <v>160</v>
      </c>
      <c r="E700" t="s">
        <v>1328</v>
      </c>
      <c r="F700" s="1">
        <v>46060</v>
      </c>
      <c r="G700" s="1">
        <v>46063</v>
      </c>
      <c r="H700" t="s">
        <v>901</v>
      </c>
      <c r="I700" t="s">
        <v>5</v>
      </c>
      <c r="J700" t="s">
        <v>6</v>
      </c>
      <c r="K700" t="s">
        <v>4</v>
      </c>
      <c r="L700" t="s">
        <v>1574</v>
      </c>
      <c r="M700" t="s">
        <v>1574</v>
      </c>
      <c r="N700" s="2">
        <v>9876</v>
      </c>
      <c r="O700" t="s">
        <v>1386</v>
      </c>
      <c r="P700" t="s">
        <v>9</v>
      </c>
      <c r="Q700" t="s">
        <v>82</v>
      </c>
      <c r="R700" t="e">
        <f>VLOOKUP(Q700,#REF!,2,FALSE)</f>
        <v>#REF!</v>
      </c>
      <c r="S700">
        <v>1004</v>
      </c>
      <c r="T700" t="s">
        <v>2225</v>
      </c>
      <c r="U700" t="s">
        <v>1387</v>
      </c>
      <c r="V700" s="1">
        <v>46053</v>
      </c>
      <c r="W700" s="1">
        <v>46053</v>
      </c>
      <c r="X700" t="s">
        <v>77</v>
      </c>
      <c r="Y700" t="s">
        <v>646</v>
      </c>
      <c r="Z700" t="s">
        <v>6</v>
      </c>
      <c r="AA700" t="s">
        <v>646</v>
      </c>
      <c r="AB700" s="4">
        <f t="shared" si="55"/>
        <v>123450</v>
      </c>
      <c r="AC700" s="6">
        <v>0.1</v>
      </c>
      <c r="AD700" s="4">
        <f t="shared" si="56"/>
        <v>12345</v>
      </c>
      <c r="AE700" s="4">
        <f t="shared" si="51"/>
        <v>2469</v>
      </c>
    </row>
    <row r="701" spans="1:31" x14ac:dyDescent="0.25">
      <c r="A701" t="s">
        <v>0</v>
      </c>
      <c r="B701" s="3" t="s">
        <v>2219</v>
      </c>
      <c r="C701" t="s">
        <v>1384</v>
      </c>
      <c r="D701" t="s">
        <v>160</v>
      </c>
      <c r="E701" t="s">
        <v>1330</v>
      </c>
      <c r="F701" s="1">
        <v>46060</v>
      </c>
      <c r="G701" s="1">
        <v>46063</v>
      </c>
      <c r="H701" t="s">
        <v>901</v>
      </c>
      <c r="I701" t="s">
        <v>5</v>
      </c>
      <c r="J701" t="s">
        <v>6</v>
      </c>
      <c r="K701" t="s">
        <v>4</v>
      </c>
      <c r="L701" t="s">
        <v>1575</v>
      </c>
      <c r="M701" t="s">
        <v>1575</v>
      </c>
      <c r="N701" s="2">
        <v>29044</v>
      </c>
      <c r="O701" t="s">
        <v>1386</v>
      </c>
      <c r="P701" t="s">
        <v>9</v>
      </c>
      <c r="Q701" t="s">
        <v>82</v>
      </c>
      <c r="R701" t="e">
        <f>VLOOKUP(Q701,#REF!,2,FALSE)</f>
        <v>#REF!</v>
      </c>
      <c r="S701">
        <v>1004</v>
      </c>
      <c r="T701" t="s">
        <v>2225</v>
      </c>
      <c r="U701" t="s">
        <v>1387</v>
      </c>
      <c r="V701" s="1">
        <v>46053</v>
      </c>
      <c r="W701" s="1">
        <v>46053</v>
      </c>
      <c r="X701" t="s">
        <v>77</v>
      </c>
      <c r="Y701" t="s">
        <v>646</v>
      </c>
      <c r="Z701" t="s">
        <v>6</v>
      </c>
      <c r="AA701" t="s">
        <v>646</v>
      </c>
      <c r="AB701" s="4">
        <f t="shared" si="55"/>
        <v>363050</v>
      </c>
      <c r="AC701" s="6">
        <v>0.1</v>
      </c>
      <c r="AD701" s="4">
        <f t="shared" si="56"/>
        <v>36305</v>
      </c>
      <c r="AE701" s="4">
        <f t="shared" si="51"/>
        <v>7261</v>
      </c>
    </row>
    <row r="702" spans="1:31" x14ac:dyDescent="0.25">
      <c r="A702" t="s">
        <v>0</v>
      </c>
      <c r="B702" s="3" t="s">
        <v>2219</v>
      </c>
      <c r="C702" t="s">
        <v>1384</v>
      </c>
      <c r="D702" t="s">
        <v>160</v>
      </c>
      <c r="E702" t="s">
        <v>1332</v>
      </c>
      <c r="F702" s="1">
        <v>46060</v>
      </c>
      <c r="G702" s="1">
        <v>46063</v>
      </c>
      <c r="H702" t="s">
        <v>901</v>
      </c>
      <c r="I702" t="s">
        <v>5</v>
      </c>
      <c r="J702" t="s">
        <v>6</v>
      </c>
      <c r="K702" t="s">
        <v>4</v>
      </c>
      <c r="L702" t="s">
        <v>1576</v>
      </c>
      <c r="M702" t="s">
        <v>1576</v>
      </c>
      <c r="N702" s="2">
        <v>19235</v>
      </c>
      <c r="O702" t="s">
        <v>1386</v>
      </c>
      <c r="P702" t="s">
        <v>9</v>
      </c>
      <c r="Q702" t="s">
        <v>82</v>
      </c>
      <c r="R702" t="e">
        <f>VLOOKUP(Q702,#REF!,2,FALSE)</f>
        <v>#REF!</v>
      </c>
      <c r="S702">
        <v>1004</v>
      </c>
      <c r="T702" t="s">
        <v>2225</v>
      </c>
      <c r="U702" t="s">
        <v>1387</v>
      </c>
      <c r="V702" s="1">
        <v>46053</v>
      </c>
      <c r="W702" s="1">
        <v>46053</v>
      </c>
      <c r="X702" t="s">
        <v>77</v>
      </c>
      <c r="Y702" t="s">
        <v>646</v>
      </c>
      <c r="Z702" t="s">
        <v>6</v>
      </c>
      <c r="AA702" t="s">
        <v>646</v>
      </c>
      <c r="AB702" s="4">
        <f t="shared" si="55"/>
        <v>240437.5</v>
      </c>
      <c r="AC702" s="6">
        <v>0.1</v>
      </c>
      <c r="AD702" s="4">
        <f t="shared" si="56"/>
        <v>24043.75</v>
      </c>
      <c r="AE702" s="4">
        <f t="shared" si="51"/>
        <v>4808.75</v>
      </c>
    </row>
    <row r="703" spans="1:31" x14ac:dyDescent="0.25">
      <c r="A703" t="s">
        <v>0</v>
      </c>
      <c r="B703" s="3" t="s">
        <v>2219</v>
      </c>
      <c r="C703" t="s">
        <v>1384</v>
      </c>
      <c r="D703" t="s">
        <v>160</v>
      </c>
      <c r="E703" t="s">
        <v>1334</v>
      </c>
      <c r="F703" s="1">
        <v>46060</v>
      </c>
      <c r="G703" s="1">
        <v>46063</v>
      </c>
      <c r="H703" t="s">
        <v>901</v>
      </c>
      <c r="I703" t="s">
        <v>5</v>
      </c>
      <c r="J703" t="s">
        <v>6</v>
      </c>
      <c r="K703" t="s">
        <v>4</v>
      </c>
      <c r="L703" t="s">
        <v>1577</v>
      </c>
      <c r="M703" t="s">
        <v>1577</v>
      </c>
      <c r="N703" s="2">
        <v>15128</v>
      </c>
      <c r="O703" t="s">
        <v>1386</v>
      </c>
      <c r="P703" t="s">
        <v>9</v>
      </c>
      <c r="Q703" t="s">
        <v>82</v>
      </c>
      <c r="R703" t="e">
        <f>VLOOKUP(Q703,#REF!,2,FALSE)</f>
        <v>#REF!</v>
      </c>
      <c r="S703">
        <v>1004</v>
      </c>
      <c r="T703" t="s">
        <v>2225</v>
      </c>
      <c r="U703" t="s">
        <v>1387</v>
      </c>
      <c r="V703" s="1">
        <v>46053</v>
      </c>
      <c r="W703" s="1">
        <v>46053</v>
      </c>
      <c r="X703" t="s">
        <v>77</v>
      </c>
      <c r="Y703" t="s">
        <v>646</v>
      </c>
      <c r="Z703" t="s">
        <v>6</v>
      </c>
      <c r="AA703" t="s">
        <v>646</v>
      </c>
      <c r="AB703" s="4">
        <f t="shared" si="55"/>
        <v>189100</v>
      </c>
      <c r="AC703" s="6">
        <v>0.1</v>
      </c>
      <c r="AD703" s="4">
        <f t="shared" si="56"/>
        <v>18910</v>
      </c>
      <c r="AE703" s="4">
        <f t="shared" si="51"/>
        <v>3782</v>
      </c>
    </row>
    <row r="704" spans="1:31" x14ac:dyDescent="0.25">
      <c r="A704" t="s">
        <v>0</v>
      </c>
      <c r="B704" s="3" t="s">
        <v>2219</v>
      </c>
      <c r="C704" t="s">
        <v>1384</v>
      </c>
      <c r="D704" t="s">
        <v>160</v>
      </c>
      <c r="E704" t="s">
        <v>1336</v>
      </c>
      <c r="F704" s="1">
        <v>46060</v>
      </c>
      <c r="G704" s="1">
        <v>46063</v>
      </c>
      <c r="H704" t="s">
        <v>901</v>
      </c>
      <c r="I704" t="s">
        <v>5</v>
      </c>
      <c r="J704" t="s">
        <v>6</v>
      </c>
      <c r="K704" t="s">
        <v>4</v>
      </c>
      <c r="L704" t="s">
        <v>1578</v>
      </c>
      <c r="M704" t="s">
        <v>1578</v>
      </c>
      <c r="N704" s="2">
        <v>35579</v>
      </c>
      <c r="O704" t="s">
        <v>1386</v>
      </c>
      <c r="P704" t="s">
        <v>9</v>
      </c>
      <c r="Q704" t="s">
        <v>82</v>
      </c>
      <c r="R704" t="e">
        <f>VLOOKUP(Q704,#REF!,2,FALSE)</f>
        <v>#REF!</v>
      </c>
      <c r="S704">
        <v>1004</v>
      </c>
      <c r="T704" t="s">
        <v>2225</v>
      </c>
      <c r="U704" t="s">
        <v>1387</v>
      </c>
      <c r="V704" s="1">
        <v>46053</v>
      </c>
      <c r="W704" s="1">
        <v>46053</v>
      </c>
      <c r="X704" t="s">
        <v>77</v>
      </c>
      <c r="Y704" t="s">
        <v>646</v>
      </c>
      <c r="Z704" t="s">
        <v>6</v>
      </c>
      <c r="AA704" t="s">
        <v>646</v>
      </c>
      <c r="AB704" s="4">
        <f t="shared" si="55"/>
        <v>444737.5</v>
      </c>
      <c r="AC704" s="6">
        <v>0.1</v>
      </c>
      <c r="AD704" s="4">
        <f t="shared" si="56"/>
        <v>44473.75</v>
      </c>
      <c r="AE704" s="4">
        <f t="shared" si="51"/>
        <v>8894.75</v>
      </c>
    </row>
    <row r="705" spans="1:31" x14ac:dyDescent="0.25">
      <c r="A705" t="s">
        <v>0</v>
      </c>
      <c r="B705" s="3" t="s">
        <v>2219</v>
      </c>
      <c r="C705" t="s">
        <v>1384</v>
      </c>
      <c r="D705" t="s">
        <v>160</v>
      </c>
      <c r="E705" t="s">
        <v>1338</v>
      </c>
      <c r="F705" s="1">
        <v>46060</v>
      </c>
      <c r="G705" s="1">
        <v>46063</v>
      </c>
      <c r="H705" t="s">
        <v>901</v>
      </c>
      <c r="I705" t="s">
        <v>5</v>
      </c>
      <c r="J705" t="s">
        <v>6</v>
      </c>
      <c r="K705" t="s">
        <v>4</v>
      </c>
      <c r="L705" t="s">
        <v>1579</v>
      </c>
      <c r="M705" t="s">
        <v>1579</v>
      </c>
      <c r="N705" s="2">
        <v>17977</v>
      </c>
      <c r="O705" t="s">
        <v>1386</v>
      </c>
      <c r="P705" t="s">
        <v>9</v>
      </c>
      <c r="Q705" t="s">
        <v>82</v>
      </c>
      <c r="R705" t="e">
        <f>VLOOKUP(Q705,#REF!,2,FALSE)</f>
        <v>#REF!</v>
      </c>
      <c r="S705">
        <v>1004</v>
      </c>
      <c r="T705" t="s">
        <v>2225</v>
      </c>
      <c r="U705" t="s">
        <v>1387</v>
      </c>
      <c r="V705" s="1">
        <v>46053</v>
      </c>
      <c r="W705" s="1">
        <v>46053</v>
      </c>
      <c r="X705" t="s">
        <v>77</v>
      </c>
      <c r="Y705" t="s">
        <v>646</v>
      </c>
      <c r="Z705" t="s">
        <v>6</v>
      </c>
      <c r="AA705" t="s">
        <v>646</v>
      </c>
      <c r="AB705" s="4">
        <f t="shared" si="55"/>
        <v>224712.5</v>
      </c>
      <c r="AC705" s="6">
        <v>0.1</v>
      </c>
      <c r="AD705" s="4">
        <f t="shared" si="56"/>
        <v>22471.25</v>
      </c>
      <c r="AE705" s="4">
        <f t="shared" si="51"/>
        <v>4494.25</v>
      </c>
    </row>
    <row r="706" spans="1:31" x14ac:dyDescent="0.25">
      <c r="A706" t="s">
        <v>0</v>
      </c>
      <c r="B706" s="3" t="s">
        <v>2219</v>
      </c>
      <c r="C706" t="s">
        <v>1384</v>
      </c>
      <c r="D706" t="s">
        <v>160</v>
      </c>
      <c r="E706" t="s">
        <v>1340</v>
      </c>
      <c r="F706" s="1">
        <v>46060</v>
      </c>
      <c r="G706" s="1">
        <v>46063</v>
      </c>
      <c r="H706" t="s">
        <v>901</v>
      </c>
      <c r="I706" t="s">
        <v>5</v>
      </c>
      <c r="J706" t="s">
        <v>6</v>
      </c>
      <c r="K706" t="s">
        <v>4</v>
      </c>
      <c r="L706" t="s">
        <v>1580</v>
      </c>
      <c r="M706" t="s">
        <v>1580</v>
      </c>
      <c r="N706" s="2">
        <v>15525</v>
      </c>
      <c r="O706" t="s">
        <v>1386</v>
      </c>
      <c r="P706" t="s">
        <v>9</v>
      </c>
      <c r="Q706" t="s">
        <v>82</v>
      </c>
      <c r="R706" t="e">
        <f>VLOOKUP(Q706,#REF!,2,FALSE)</f>
        <v>#REF!</v>
      </c>
      <c r="S706">
        <v>1004</v>
      </c>
      <c r="T706" t="s">
        <v>2225</v>
      </c>
      <c r="U706" t="s">
        <v>1387</v>
      </c>
      <c r="V706" s="1">
        <v>46053</v>
      </c>
      <c r="W706" s="1">
        <v>46053</v>
      </c>
      <c r="X706" t="s">
        <v>77</v>
      </c>
      <c r="Y706" t="s">
        <v>646</v>
      </c>
      <c r="Z706" t="s">
        <v>6</v>
      </c>
      <c r="AA706" t="s">
        <v>646</v>
      </c>
      <c r="AB706" s="4">
        <f t="shared" si="55"/>
        <v>194062.5</v>
      </c>
      <c r="AC706" s="6">
        <v>0.1</v>
      </c>
      <c r="AD706" s="4">
        <f t="shared" si="56"/>
        <v>19406.25</v>
      </c>
      <c r="AE706" s="4">
        <f t="shared" ref="AE706:AE769" si="57">AD706-L706</f>
        <v>3881.25</v>
      </c>
    </row>
    <row r="707" spans="1:31" x14ac:dyDescent="0.25">
      <c r="A707" t="s">
        <v>0</v>
      </c>
      <c r="B707" s="3" t="s">
        <v>2219</v>
      </c>
      <c r="C707" t="s">
        <v>1384</v>
      </c>
      <c r="D707" t="s">
        <v>160</v>
      </c>
      <c r="E707" t="s">
        <v>1581</v>
      </c>
      <c r="F707" s="1">
        <v>46060</v>
      </c>
      <c r="G707" s="1">
        <v>46063</v>
      </c>
      <c r="H707" t="s">
        <v>904</v>
      </c>
      <c r="I707" t="s">
        <v>5</v>
      </c>
      <c r="J707" t="s">
        <v>6</v>
      </c>
      <c r="K707" t="s">
        <v>4</v>
      </c>
      <c r="L707" t="s">
        <v>1582</v>
      </c>
      <c r="M707" t="s">
        <v>1582</v>
      </c>
      <c r="N707" s="2">
        <v>297</v>
      </c>
      <c r="O707" t="s">
        <v>1386</v>
      </c>
      <c r="P707" t="s">
        <v>9</v>
      </c>
      <c r="Q707" t="s">
        <v>86</v>
      </c>
      <c r="R707" t="e">
        <f>VLOOKUP(Q707,#REF!,2,FALSE)</f>
        <v>#REF!</v>
      </c>
      <c r="S707">
        <v>1004</v>
      </c>
      <c r="T707" t="s">
        <v>2225</v>
      </c>
      <c r="U707" t="s">
        <v>1387</v>
      </c>
      <c r="V707" s="1">
        <v>46053</v>
      </c>
      <c r="W707" s="1">
        <v>46053</v>
      </c>
      <c r="X707" t="s">
        <v>77</v>
      </c>
      <c r="Y707" t="s">
        <v>646</v>
      </c>
      <c r="Z707" t="s">
        <v>6</v>
      </c>
      <c r="AA707" t="s">
        <v>646</v>
      </c>
      <c r="AB707" s="4">
        <f t="shared" ref="AB707:AB742" si="58">L707/0.03</f>
        <v>9900</v>
      </c>
      <c r="AC707" s="6">
        <v>0.04</v>
      </c>
      <c r="AD707" s="4">
        <f t="shared" ref="AD707:AD742" si="59">AB707*AC707</f>
        <v>396</v>
      </c>
      <c r="AE707" s="4">
        <f t="shared" si="57"/>
        <v>99</v>
      </c>
    </row>
    <row r="708" spans="1:31" x14ac:dyDescent="0.25">
      <c r="A708" t="s">
        <v>0</v>
      </c>
      <c r="B708" s="3" t="s">
        <v>2219</v>
      </c>
      <c r="C708" t="s">
        <v>1384</v>
      </c>
      <c r="D708" t="s">
        <v>160</v>
      </c>
      <c r="E708" t="s">
        <v>1583</v>
      </c>
      <c r="F708" s="1">
        <v>46060</v>
      </c>
      <c r="G708" s="1">
        <v>46063</v>
      </c>
      <c r="H708" t="s">
        <v>904</v>
      </c>
      <c r="I708" t="s">
        <v>5</v>
      </c>
      <c r="J708" t="s">
        <v>6</v>
      </c>
      <c r="K708" t="s">
        <v>4</v>
      </c>
      <c r="L708" t="s">
        <v>1287</v>
      </c>
      <c r="M708" t="s">
        <v>1287</v>
      </c>
      <c r="N708" s="2">
        <v>342</v>
      </c>
      <c r="O708" t="s">
        <v>1386</v>
      </c>
      <c r="P708" t="s">
        <v>9</v>
      </c>
      <c r="Q708" t="s">
        <v>86</v>
      </c>
      <c r="R708" t="e">
        <f>VLOOKUP(Q708,#REF!,2,FALSE)</f>
        <v>#REF!</v>
      </c>
      <c r="S708">
        <v>1004</v>
      </c>
      <c r="T708" t="s">
        <v>2225</v>
      </c>
      <c r="U708" t="s">
        <v>1387</v>
      </c>
      <c r="V708" s="1">
        <v>46053</v>
      </c>
      <c r="W708" s="1">
        <v>46053</v>
      </c>
      <c r="X708" t="s">
        <v>77</v>
      </c>
      <c r="Y708" t="s">
        <v>646</v>
      </c>
      <c r="Z708" t="s">
        <v>6</v>
      </c>
      <c r="AA708" t="s">
        <v>646</v>
      </c>
      <c r="AB708" s="4">
        <f t="shared" si="58"/>
        <v>11400</v>
      </c>
      <c r="AC708" s="6">
        <v>0.04</v>
      </c>
      <c r="AD708" s="4">
        <f t="shared" si="59"/>
        <v>456</v>
      </c>
      <c r="AE708" s="4">
        <f t="shared" si="57"/>
        <v>114</v>
      </c>
    </row>
    <row r="709" spans="1:31" x14ac:dyDescent="0.25">
      <c r="A709" t="s">
        <v>0</v>
      </c>
      <c r="B709" s="3" t="s">
        <v>2219</v>
      </c>
      <c r="C709" t="s">
        <v>1384</v>
      </c>
      <c r="D709" t="s">
        <v>160</v>
      </c>
      <c r="E709" t="s">
        <v>1584</v>
      </c>
      <c r="F709" s="1">
        <v>46060</v>
      </c>
      <c r="G709" s="1">
        <v>46063</v>
      </c>
      <c r="H709" t="s">
        <v>904</v>
      </c>
      <c r="I709" t="s">
        <v>5</v>
      </c>
      <c r="J709" t="s">
        <v>6</v>
      </c>
      <c r="K709" t="s">
        <v>4</v>
      </c>
      <c r="L709" t="s">
        <v>1585</v>
      </c>
      <c r="M709" t="s">
        <v>1585</v>
      </c>
      <c r="N709" s="2">
        <v>22</v>
      </c>
      <c r="O709" t="s">
        <v>1386</v>
      </c>
      <c r="P709" t="s">
        <v>9</v>
      </c>
      <c r="Q709" t="s">
        <v>86</v>
      </c>
      <c r="R709" t="e">
        <f>VLOOKUP(Q709,#REF!,2,FALSE)</f>
        <v>#REF!</v>
      </c>
      <c r="S709">
        <v>1004</v>
      </c>
      <c r="T709" t="s">
        <v>2225</v>
      </c>
      <c r="U709" t="s">
        <v>1387</v>
      </c>
      <c r="V709" s="1">
        <v>46053</v>
      </c>
      <c r="W709" s="1">
        <v>46053</v>
      </c>
      <c r="X709" t="s">
        <v>77</v>
      </c>
      <c r="Y709" t="s">
        <v>646</v>
      </c>
      <c r="Z709" t="s">
        <v>6</v>
      </c>
      <c r="AA709" t="s">
        <v>646</v>
      </c>
      <c r="AB709" s="4">
        <f t="shared" si="58"/>
        <v>733.33333333333337</v>
      </c>
      <c r="AC709" s="6">
        <v>0.04</v>
      </c>
      <c r="AD709" s="4">
        <f t="shared" si="59"/>
        <v>29.333333333333336</v>
      </c>
      <c r="AE709" s="4">
        <f t="shared" si="57"/>
        <v>7.3333333333333357</v>
      </c>
    </row>
    <row r="710" spans="1:31" x14ac:dyDescent="0.25">
      <c r="A710" t="s">
        <v>0</v>
      </c>
      <c r="B710" s="3" t="s">
        <v>2219</v>
      </c>
      <c r="C710" t="s">
        <v>1384</v>
      </c>
      <c r="D710" t="s">
        <v>160</v>
      </c>
      <c r="E710" t="s">
        <v>1586</v>
      </c>
      <c r="F710" s="1">
        <v>46060</v>
      </c>
      <c r="G710" s="1">
        <v>46063</v>
      </c>
      <c r="H710" t="s">
        <v>904</v>
      </c>
      <c r="I710" t="s">
        <v>5</v>
      </c>
      <c r="J710" t="s">
        <v>6</v>
      </c>
      <c r="K710" t="s">
        <v>4</v>
      </c>
      <c r="L710" t="s">
        <v>1587</v>
      </c>
      <c r="M710" t="s">
        <v>1587</v>
      </c>
      <c r="N710" s="2">
        <v>779</v>
      </c>
      <c r="O710" t="s">
        <v>1386</v>
      </c>
      <c r="P710" t="s">
        <v>9</v>
      </c>
      <c r="Q710" t="s">
        <v>86</v>
      </c>
      <c r="R710" t="e">
        <f>VLOOKUP(Q710,#REF!,2,FALSE)</f>
        <v>#REF!</v>
      </c>
      <c r="S710">
        <v>1004</v>
      </c>
      <c r="T710" t="s">
        <v>2225</v>
      </c>
      <c r="U710" t="s">
        <v>1387</v>
      </c>
      <c r="V710" s="1">
        <v>46053</v>
      </c>
      <c r="W710" s="1">
        <v>46053</v>
      </c>
      <c r="X710" t="s">
        <v>77</v>
      </c>
      <c r="Y710" t="s">
        <v>646</v>
      </c>
      <c r="Z710" t="s">
        <v>6</v>
      </c>
      <c r="AA710" t="s">
        <v>646</v>
      </c>
      <c r="AB710" s="4">
        <f t="shared" si="58"/>
        <v>25966.666666666668</v>
      </c>
      <c r="AC710" s="6">
        <v>0.04</v>
      </c>
      <c r="AD710" s="4">
        <f t="shared" si="59"/>
        <v>1038.6666666666667</v>
      </c>
      <c r="AE710" s="4">
        <f t="shared" si="57"/>
        <v>259.66666666666674</v>
      </c>
    </row>
    <row r="711" spans="1:31" x14ac:dyDescent="0.25">
      <c r="A711" t="s">
        <v>0</v>
      </c>
      <c r="B711" s="3" t="s">
        <v>2219</v>
      </c>
      <c r="C711" t="s">
        <v>1384</v>
      </c>
      <c r="D711" t="s">
        <v>160</v>
      </c>
      <c r="E711" t="s">
        <v>1588</v>
      </c>
      <c r="F711" s="1">
        <v>46060</v>
      </c>
      <c r="G711" s="1">
        <v>46063</v>
      </c>
      <c r="H711" t="s">
        <v>904</v>
      </c>
      <c r="I711" t="s">
        <v>5</v>
      </c>
      <c r="J711" t="s">
        <v>6</v>
      </c>
      <c r="K711" t="s">
        <v>4</v>
      </c>
      <c r="L711" t="s">
        <v>1589</v>
      </c>
      <c r="M711" t="s">
        <v>1589</v>
      </c>
      <c r="N711" s="2">
        <v>1831</v>
      </c>
      <c r="O711" t="s">
        <v>1386</v>
      </c>
      <c r="P711" t="s">
        <v>9</v>
      </c>
      <c r="Q711" t="s">
        <v>86</v>
      </c>
      <c r="R711" t="e">
        <f>VLOOKUP(Q711,#REF!,2,FALSE)</f>
        <v>#REF!</v>
      </c>
      <c r="S711">
        <v>1004</v>
      </c>
      <c r="T711" t="s">
        <v>2225</v>
      </c>
      <c r="U711" t="s">
        <v>1387</v>
      </c>
      <c r="V711" s="1">
        <v>46053</v>
      </c>
      <c r="W711" s="1">
        <v>46053</v>
      </c>
      <c r="X711" t="s">
        <v>77</v>
      </c>
      <c r="Y711" t="s">
        <v>646</v>
      </c>
      <c r="Z711" t="s">
        <v>6</v>
      </c>
      <c r="AA711" t="s">
        <v>646</v>
      </c>
      <c r="AB711" s="4">
        <f t="shared" si="58"/>
        <v>61033.333333333336</v>
      </c>
      <c r="AC711" s="6">
        <v>0.04</v>
      </c>
      <c r="AD711" s="4">
        <f t="shared" si="59"/>
        <v>2441.3333333333335</v>
      </c>
      <c r="AE711" s="4">
        <f t="shared" si="57"/>
        <v>610.33333333333348</v>
      </c>
    </row>
    <row r="712" spans="1:31" x14ac:dyDescent="0.25">
      <c r="A712" t="s">
        <v>0</v>
      </c>
      <c r="B712" s="3" t="s">
        <v>2219</v>
      </c>
      <c r="C712" t="s">
        <v>1384</v>
      </c>
      <c r="D712" t="s">
        <v>160</v>
      </c>
      <c r="E712" t="s">
        <v>1590</v>
      </c>
      <c r="F712" s="1">
        <v>46060</v>
      </c>
      <c r="G712" s="1">
        <v>46063</v>
      </c>
      <c r="H712" t="s">
        <v>904</v>
      </c>
      <c r="I712" t="s">
        <v>5</v>
      </c>
      <c r="J712" t="s">
        <v>6</v>
      </c>
      <c r="K712" t="s">
        <v>4</v>
      </c>
      <c r="L712" t="s">
        <v>1591</v>
      </c>
      <c r="M712" t="s">
        <v>1591</v>
      </c>
      <c r="N712" s="2">
        <v>1870</v>
      </c>
      <c r="O712" t="s">
        <v>1386</v>
      </c>
      <c r="P712" t="s">
        <v>9</v>
      </c>
      <c r="Q712" t="s">
        <v>86</v>
      </c>
      <c r="R712" t="e">
        <f>VLOOKUP(Q712,#REF!,2,FALSE)</f>
        <v>#REF!</v>
      </c>
      <c r="S712">
        <v>1004</v>
      </c>
      <c r="T712" t="s">
        <v>2225</v>
      </c>
      <c r="U712" t="s">
        <v>1387</v>
      </c>
      <c r="V712" s="1">
        <v>46053</v>
      </c>
      <c r="W712" s="1">
        <v>46053</v>
      </c>
      <c r="X712" t="s">
        <v>77</v>
      </c>
      <c r="Y712" t="s">
        <v>646</v>
      </c>
      <c r="Z712" t="s">
        <v>6</v>
      </c>
      <c r="AA712" t="s">
        <v>646</v>
      </c>
      <c r="AB712" s="4">
        <f t="shared" si="58"/>
        <v>62333.333333333336</v>
      </c>
      <c r="AC712" s="6">
        <v>0.04</v>
      </c>
      <c r="AD712" s="4">
        <f t="shared" si="59"/>
        <v>2493.3333333333335</v>
      </c>
      <c r="AE712" s="4">
        <f t="shared" si="57"/>
        <v>623.33333333333348</v>
      </c>
    </row>
    <row r="713" spans="1:31" x14ac:dyDescent="0.25">
      <c r="A713" t="s">
        <v>0</v>
      </c>
      <c r="B713" s="3" t="s">
        <v>2219</v>
      </c>
      <c r="C713" t="s">
        <v>1384</v>
      </c>
      <c r="D713" t="s">
        <v>160</v>
      </c>
      <c r="E713" t="s">
        <v>1592</v>
      </c>
      <c r="F713" s="1">
        <v>46060</v>
      </c>
      <c r="G713" s="1">
        <v>46063</v>
      </c>
      <c r="H713" t="s">
        <v>904</v>
      </c>
      <c r="I713" t="s">
        <v>5</v>
      </c>
      <c r="J713" t="s">
        <v>6</v>
      </c>
      <c r="K713" t="s">
        <v>4</v>
      </c>
      <c r="L713" t="s">
        <v>1593</v>
      </c>
      <c r="M713" t="s">
        <v>1593</v>
      </c>
      <c r="N713" s="2">
        <v>252</v>
      </c>
      <c r="O713" t="s">
        <v>1386</v>
      </c>
      <c r="P713" t="s">
        <v>9</v>
      </c>
      <c r="Q713" t="s">
        <v>86</v>
      </c>
      <c r="R713" t="e">
        <f>VLOOKUP(Q713,#REF!,2,FALSE)</f>
        <v>#REF!</v>
      </c>
      <c r="S713">
        <v>1004</v>
      </c>
      <c r="T713" t="s">
        <v>2225</v>
      </c>
      <c r="U713" t="s">
        <v>1387</v>
      </c>
      <c r="V713" s="1">
        <v>46053</v>
      </c>
      <c r="W713" s="1">
        <v>46053</v>
      </c>
      <c r="X713" t="s">
        <v>77</v>
      </c>
      <c r="Y713" t="s">
        <v>646</v>
      </c>
      <c r="Z713" t="s">
        <v>6</v>
      </c>
      <c r="AA713" t="s">
        <v>646</v>
      </c>
      <c r="AB713" s="4">
        <f t="shared" si="58"/>
        <v>8400</v>
      </c>
      <c r="AC713" s="6">
        <v>0.04</v>
      </c>
      <c r="AD713" s="4">
        <f t="shared" si="59"/>
        <v>336</v>
      </c>
      <c r="AE713" s="4">
        <f t="shared" si="57"/>
        <v>84</v>
      </c>
    </row>
    <row r="714" spans="1:31" x14ac:dyDescent="0.25">
      <c r="A714" t="s">
        <v>0</v>
      </c>
      <c r="B714" s="3" t="s">
        <v>2219</v>
      </c>
      <c r="C714" t="s">
        <v>1384</v>
      </c>
      <c r="D714" t="s">
        <v>160</v>
      </c>
      <c r="E714" t="s">
        <v>1594</v>
      </c>
      <c r="F714" s="1">
        <v>46060</v>
      </c>
      <c r="G714" s="1">
        <v>46063</v>
      </c>
      <c r="H714" t="s">
        <v>904</v>
      </c>
      <c r="I714" t="s">
        <v>5</v>
      </c>
      <c r="J714" t="s">
        <v>6</v>
      </c>
      <c r="K714" t="s">
        <v>4</v>
      </c>
      <c r="L714" t="s">
        <v>1595</v>
      </c>
      <c r="M714" t="s">
        <v>1595</v>
      </c>
      <c r="N714" s="2">
        <v>300</v>
      </c>
      <c r="O714" t="s">
        <v>1386</v>
      </c>
      <c r="P714" t="s">
        <v>9</v>
      </c>
      <c r="Q714" t="s">
        <v>86</v>
      </c>
      <c r="R714" t="e">
        <f>VLOOKUP(Q714,#REF!,2,FALSE)</f>
        <v>#REF!</v>
      </c>
      <c r="S714">
        <v>1004</v>
      </c>
      <c r="T714" t="s">
        <v>2225</v>
      </c>
      <c r="U714" t="s">
        <v>1387</v>
      </c>
      <c r="V714" s="1">
        <v>46053</v>
      </c>
      <c r="W714" s="1">
        <v>46053</v>
      </c>
      <c r="X714" t="s">
        <v>77</v>
      </c>
      <c r="Y714" t="s">
        <v>646</v>
      </c>
      <c r="Z714" t="s">
        <v>6</v>
      </c>
      <c r="AA714" t="s">
        <v>646</v>
      </c>
      <c r="AB714" s="4">
        <f t="shared" si="58"/>
        <v>10000</v>
      </c>
      <c r="AC714" s="6">
        <v>0.04</v>
      </c>
      <c r="AD714" s="4">
        <f t="shared" si="59"/>
        <v>400</v>
      </c>
      <c r="AE714" s="4">
        <f t="shared" si="57"/>
        <v>100</v>
      </c>
    </row>
    <row r="715" spans="1:31" x14ac:dyDescent="0.25">
      <c r="A715" t="s">
        <v>0</v>
      </c>
      <c r="B715" s="3" t="s">
        <v>2219</v>
      </c>
      <c r="C715" t="s">
        <v>1384</v>
      </c>
      <c r="D715" t="s">
        <v>160</v>
      </c>
      <c r="E715" t="s">
        <v>1596</v>
      </c>
      <c r="F715" s="1">
        <v>46060</v>
      </c>
      <c r="G715" s="1">
        <v>46063</v>
      </c>
      <c r="H715" t="s">
        <v>904</v>
      </c>
      <c r="I715" t="s">
        <v>5</v>
      </c>
      <c r="J715" t="s">
        <v>6</v>
      </c>
      <c r="K715" t="s">
        <v>4</v>
      </c>
      <c r="L715" t="s">
        <v>1597</v>
      </c>
      <c r="M715" t="s">
        <v>1597</v>
      </c>
      <c r="N715" s="2">
        <v>34064</v>
      </c>
      <c r="O715" t="s">
        <v>1386</v>
      </c>
      <c r="P715" t="s">
        <v>9</v>
      </c>
      <c r="Q715" t="s">
        <v>86</v>
      </c>
      <c r="R715" t="e">
        <f>VLOOKUP(Q715,#REF!,2,FALSE)</f>
        <v>#REF!</v>
      </c>
      <c r="S715">
        <v>1004</v>
      </c>
      <c r="T715" t="s">
        <v>2225</v>
      </c>
      <c r="U715" t="s">
        <v>1387</v>
      </c>
      <c r="V715" s="1">
        <v>46053</v>
      </c>
      <c r="W715" s="1">
        <v>46053</v>
      </c>
      <c r="X715" t="s">
        <v>77</v>
      </c>
      <c r="Y715" t="s">
        <v>646</v>
      </c>
      <c r="Z715" t="s">
        <v>6</v>
      </c>
      <c r="AA715" t="s">
        <v>646</v>
      </c>
      <c r="AB715" s="4">
        <f t="shared" si="58"/>
        <v>1135466.6666666667</v>
      </c>
      <c r="AC715" s="6">
        <v>0.04</v>
      </c>
      <c r="AD715" s="4">
        <f t="shared" si="59"/>
        <v>45418.666666666672</v>
      </c>
      <c r="AE715" s="4">
        <f t="shared" si="57"/>
        <v>11354.666666666672</v>
      </c>
    </row>
    <row r="716" spans="1:31" x14ac:dyDescent="0.25">
      <c r="A716" t="s">
        <v>0</v>
      </c>
      <c r="B716" s="3" t="s">
        <v>2219</v>
      </c>
      <c r="C716" t="s">
        <v>1384</v>
      </c>
      <c r="D716" t="s">
        <v>160</v>
      </c>
      <c r="E716" t="s">
        <v>1598</v>
      </c>
      <c r="F716" s="1">
        <v>46060</v>
      </c>
      <c r="G716" s="1">
        <v>46063</v>
      </c>
      <c r="H716" t="s">
        <v>904</v>
      </c>
      <c r="I716" t="s">
        <v>5</v>
      </c>
      <c r="J716" t="s">
        <v>6</v>
      </c>
      <c r="K716" t="s">
        <v>4</v>
      </c>
      <c r="L716" t="s">
        <v>1599</v>
      </c>
      <c r="M716" t="s">
        <v>1599</v>
      </c>
      <c r="N716" s="2">
        <v>223</v>
      </c>
      <c r="O716" t="s">
        <v>1386</v>
      </c>
      <c r="P716" t="s">
        <v>9</v>
      </c>
      <c r="Q716" t="s">
        <v>86</v>
      </c>
      <c r="R716" t="e">
        <f>VLOOKUP(Q716,#REF!,2,FALSE)</f>
        <v>#REF!</v>
      </c>
      <c r="S716">
        <v>1004</v>
      </c>
      <c r="T716" t="s">
        <v>2225</v>
      </c>
      <c r="U716" t="s">
        <v>1387</v>
      </c>
      <c r="V716" s="1">
        <v>46053</v>
      </c>
      <c r="W716" s="1">
        <v>46053</v>
      </c>
      <c r="X716" t="s">
        <v>77</v>
      </c>
      <c r="Y716" t="s">
        <v>646</v>
      </c>
      <c r="Z716" t="s">
        <v>6</v>
      </c>
      <c r="AA716" t="s">
        <v>646</v>
      </c>
      <c r="AB716" s="4">
        <f t="shared" si="58"/>
        <v>7433.3333333333339</v>
      </c>
      <c r="AC716" s="6">
        <v>0.04</v>
      </c>
      <c r="AD716" s="4">
        <f t="shared" si="59"/>
        <v>297.33333333333337</v>
      </c>
      <c r="AE716" s="4">
        <f t="shared" si="57"/>
        <v>74.333333333333371</v>
      </c>
    </row>
    <row r="717" spans="1:31" x14ac:dyDescent="0.25">
      <c r="A717" t="s">
        <v>0</v>
      </c>
      <c r="B717" s="3" t="s">
        <v>2219</v>
      </c>
      <c r="C717" t="s">
        <v>1384</v>
      </c>
      <c r="D717" t="s">
        <v>160</v>
      </c>
      <c r="E717" t="s">
        <v>1600</v>
      </c>
      <c r="F717" s="1">
        <v>46060</v>
      </c>
      <c r="G717" s="1">
        <v>46063</v>
      </c>
      <c r="H717" t="s">
        <v>904</v>
      </c>
      <c r="I717" t="s">
        <v>5</v>
      </c>
      <c r="J717" t="s">
        <v>6</v>
      </c>
      <c r="K717" t="s">
        <v>4</v>
      </c>
      <c r="L717" t="s">
        <v>1601</v>
      </c>
      <c r="M717" t="s">
        <v>1601</v>
      </c>
      <c r="N717" s="2">
        <v>323</v>
      </c>
      <c r="O717" t="s">
        <v>1386</v>
      </c>
      <c r="P717" t="s">
        <v>9</v>
      </c>
      <c r="Q717" t="s">
        <v>86</v>
      </c>
      <c r="R717" t="e">
        <f>VLOOKUP(Q717,#REF!,2,FALSE)</f>
        <v>#REF!</v>
      </c>
      <c r="S717">
        <v>1004</v>
      </c>
      <c r="T717" t="s">
        <v>2225</v>
      </c>
      <c r="U717" t="s">
        <v>1387</v>
      </c>
      <c r="V717" s="1">
        <v>46053</v>
      </c>
      <c r="W717" s="1">
        <v>46053</v>
      </c>
      <c r="X717" t="s">
        <v>77</v>
      </c>
      <c r="Y717" t="s">
        <v>646</v>
      </c>
      <c r="Z717" t="s">
        <v>6</v>
      </c>
      <c r="AA717" t="s">
        <v>646</v>
      </c>
      <c r="AB717" s="4">
        <f t="shared" si="58"/>
        <v>10766.666666666668</v>
      </c>
      <c r="AC717" s="6">
        <v>0.04</v>
      </c>
      <c r="AD717" s="4">
        <f t="shared" si="59"/>
        <v>430.66666666666674</v>
      </c>
      <c r="AE717" s="4">
        <f t="shared" si="57"/>
        <v>107.66666666666674</v>
      </c>
    </row>
    <row r="718" spans="1:31" x14ac:dyDescent="0.25">
      <c r="A718" t="s">
        <v>0</v>
      </c>
      <c r="B718" s="3" t="s">
        <v>2219</v>
      </c>
      <c r="C718" t="s">
        <v>1384</v>
      </c>
      <c r="D718" t="s">
        <v>160</v>
      </c>
      <c r="E718" t="s">
        <v>1602</v>
      </c>
      <c r="F718" s="1">
        <v>46060</v>
      </c>
      <c r="G718" s="1">
        <v>46063</v>
      </c>
      <c r="H718" t="s">
        <v>904</v>
      </c>
      <c r="I718" t="s">
        <v>5</v>
      </c>
      <c r="J718" t="s">
        <v>6</v>
      </c>
      <c r="K718" t="s">
        <v>4</v>
      </c>
      <c r="L718" t="s">
        <v>1603</v>
      </c>
      <c r="M718" t="s">
        <v>1603</v>
      </c>
      <c r="N718" s="2">
        <v>3570</v>
      </c>
      <c r="O718" t="s">
        <v>1386</v>
      </c>
      <c r="P718" t="s">
        <v>9</v>
      </c>
      <c r="Q718" t="s">
        <v>86</v>
      </c>
      <c r="R718" t="e">
        <f>VLOOKUP(Q718,#REF!,2,FALSE)</f>
        <v>#REF!</v>
      </c>
      <c r="S718">
        <v>1004</v>
      </c>
      <c r="T718" t="s">
        <v>2225</v>
      </c>
      <c r="U718" t="s">
        <v>1387</v>
      </c>
      <c r="V718" s="1">
        <v>46053</v>
      </c>
      <c r="W718" s="1">
        <v>46053</v>
      </c>
      <c r="X718" t="s">
        <v>77</v>
      </c>
      <c r="Y718" t="s">
        <v>646</v>
      </c>
      <c r="Z718" t="s">
        <v>6</v>
      </c>
      <c r="AA718" t="s">
        <v>646</v>
      </c>
      <c r="AB718" s="4">
        <f t="shared" si="58"/>
        <v>119000</v>
      </c>
      <c r="AC718" s="6">
        <v>0.04</v>
      </c>
      <c r="AD718" s="4">
        <f t="shared" si="59"/>
        <v>4760</v>
      </c>
      <c r="AE718" s="4">
        <f t="shared" si="57"/>
        <v>1190</v>
      </c>
    </row>
    <row r="719" spans="1:31" x14ac:dyDescent="0.25">
      <c r="A719" t="s">
        <v>0</v>
      </c>
      <c r="B719" s="3" t="s">
        <v>2219</v>
      </c>
      <c r="C719" t="s">
        <v>1384</v>
      </c>
      <c r="D719" t="s">
        <v>160</v>
      </c>
      <c r="E719" t="s">
        <v>1604</v>
      </c>
      <c r="F719" s="1">
        <v>46060</v>
      </c>
      <c r="G719" s="1">
        <v>46063</v>
      </c>
      <c r="H719" t="s">
        <v>904</v>
      </c>
      <c r="I719" t="s">
        <v>5</v>
      </c>
      <c r="J719" t="s">
        <v>6</v>
      </c>
      <c r="K719" t="s">
        <v>4</v>
      </c>
      <c r="L719" t="s">
        <v>1605</v>
      </c>
      <c r="M719" t="s">
        <v>1605</v>
      </c>
      <c r="N719" s="2">
        <v>7975</v>
      </c>
      <c r="O719" t="s">
        <v>1386</v>
      </c>
      <c r="P719" t="s">
        <v>9</v>
      </c>
      <c r="Q719" t="s">
        <v>86</v>
      </c>
      <c r="R719" t="e">
        <f>VLOOKUP(Q719,#REF!,2,FALSE)</f>
        <v>#REF!</v>
      </c>
      <c r="S719">
        <v>1004</v>
      </c>
      <c r="T719" t="s">
        <v>2225</v>
      </c>
      <c r="U719" t="s">
        <v>1387</v>
      </c>
      <c r="V719" s="1">
        <v>46053</v>
      </c>
      <c r="W719" s="1">
        <v>46053</v>
      </c>
      <c r="X719" t="s">
        <v>77</v>
      </c>
      <c r="Y719" t="s">
        <v>646</v>
      </c>
      <c r="Z719" t="s">
        <v>6</v>
      </c>
      <c r="AA719" t="s">
        <v>646</v>
      </c>
      <c r="AB719" s="4">
        <f t="shared" si="58"/>
        <v>265833.33333333337</v>
      </c>
      <c r="AC719" s="6">
        <v>0.04</v>
      </c>
      <c r="AD719" s="4">
        <f t="shared" si="59"/>
        <v>10633.333333333336</v>
      </c>
      <c r="AE719" s="4">
        <f t="shared" si="57"/>
        <v>2658.3333333333358</v>
      </c>
    </row>
    <row r="720" spans="1:31" x14ac:dyDescent="0.25">
      <c r="A720" t="s">
        <v>0</v>
      </c>
      <c r="B720" s="3" t="s">
        <v>2219</v>
      </c>
      <c r="C720" t="s">
        <v>1384</v>
      </c>
      <c r="D720" t="s">
        <v>160</v>
      </c>
      <c r="E720" t="s">
        <v>1606</v>
      </c>
      <c r="F720" s="1">
        <v>46060</v>
      </c>
      <c r="G720" s="1">
        <v>46063</v>
      </c>
      <c r="H720" t="s">
        <v>904</v>
      </c>
      <c r="I720" t="s">
        <v>5</v>
      </c>
      <c r="J720" t="s">
        <v>6</v>
      </c>
      <c r="K720" t="s">
        <v>4</v>
      </c>
      <c r="L720" t="s">
        <v>1607</v>
      </c>
      <c r="M720" t="s">
        <v>1607</v>
      </c>
      <c r="N720" s="2">
        <v>550</v>
      </c>
      <c r="O720" t="s">
        <v>1386</v>
      </c>
      <c r="P720" t="s">
        <v>9</v>
      </c>
      <c r="Q720" t="s">
        <v>86</v>
      </c>
      <c r="R720" t="e">
        <f>VLOOKUP(Q720,#REF!,2,FALSE)</f>
        <v>#REF!</v>
      </c>
      <c r="S720">
        <v>1004</v>
      </c>
      <c r="T720" t="s">
        <v>2225</v>
      </c>
      <c r="U720" t="s">
        <v>1387</v>
      </c>
      <c r="V720" s="1">
        <v>46053</v>
      </c>
      <c r="W720" s="1">
        <v>46053</v>
      </c>
      <c r="X720" t="s">
        <v>77</v>
      </c>
      <c r="Y720" t="s">
        <v>646</v>
      </c>
      <c r="Z720" t="s">
        <v>6</v>
      </c>
      <c r="AA720" t="s">
        <v>646</v>
      </c>
      <c r="AB720" s="4">
        <f t="shared" si="58"/>
        <v>18333.333333333336</v>
      </c>
      <c r="AC720" s="6">
        <v>0.04</v>
      </c>
      <c r="AD720" s="4">
        <f t="shared" si="59"/>
        <v>733.33333333333348</v>
      </c>
      <c r="AE720" s="4">
        <f t="shared" si="57"/>
        <v>183.33333333333348</v>
      </c>
    </row>
    <row r="721" spans="1:31" x14ac:dyDescent="0.25">
      <c r="A721" t="s">
        <v>0</v>
      </c>
      <c r="B721" s="3" t="s">
        <v>2219</v>
      </c>
      <c r="C721" t="s">
        <v>1384</v>
      </c>
      <c r="D721" t="s">
        <v>160</v>
      </c>
      <c r="E721" t="s">
        <v>1608</v>
      </c>
      <c r="F721" s="1">
        <v>46060</v>
      </c>
      <c r="G721" s="1">
        <v>46063</v>
      </c>
      <c r="H721" t="s">
        <v>904</v>
      </c>
      <c r="I721" t="s">
        <v>5</v>
      </c>
      <c r="J721" t="s">
        <v>6</v>
      </c>
      <c r="K721" t="s">
        <v>4</v>
      </c>
      <c r="L721" t="s">
        <v>1609</v>
      </c>
      <c r="M721" t="s">
        <v>1609</v>
      </c>
      <c r="N721" s="2">
        <v>12892</v>
      </c>
      <c r="O721" t="s">
        <v>1386</v>
      </c>
      <c r="P721" t="s">
        <v>9</v>
      </c>
      <c r="Q721" t="s">
        <v>86</v>
      </c>
      <c r="R721" t="e">
        <f>VLOOKUP(Q721,#REF!,2,FALSE)</f>
        <v>#REF!</v>
      </c>
      <c r="S721">
        <v>1004</v>
      </c>
      <c r="T721" t="s">
        <v>2225</v>
      </c>
      <c r="U721" t="s">
        <v>1387</v>
      </c>
      <c r="V721" s="1">
        <v>46053</v>
      </c>
      <c r="W721" s="1">
        <v>46053</v>
      </c>
      <c r="X721" t="s">
        <v>77</v>
      </c>
      <c r="Y721" t="s">
        <v>646</v>
      </c>
      <c r="Z721" t="s">
        <v>6</v>
      </c>
      <c r="AA721" t="s">
        <v>646</v>
      </c>
      <c r="AB721" s="4">
        <f t="shared" si="58"/>
        <v>429733.33333333337</v>
      </c>
      <c r="AC721" s="6">
        <v>0.04</v>
      </c>
      <c r="AD721" s="4">
        <f t="shared" si="59"/>
        <v>17189.333333333336</v>
      </c>
      <c r="AE721" s="4">
        <f t="shared" si="57"/>
        <v>4297.3333333333358</v>
      </c>
    </row>
    <row r="722" spans="1:31" x14ac:dyDescent="0.25">
      <c r="A722" t="s">
        <v>0</v>
      </c>
      <c r="B722" s="3" t="s">
        <v>2219</v>
      </c>
      <c r="C722" t="s">
        <v>1384</v>
      </c>
      <c r="D722" t="s">
        <v>160</v>
      </c>
      <c r="E722" t="s">
        <v>1610</v>
      </c>
      <c r="F722" s="1">
        <v>46060</v>
      </c>
      <c r="G722" s="1">
        <v>46063</v>
      </c>
      <c r="H722" t="s">
        <v>904</v>
      </c>
      <c r="I722" t="s">
        <v>5</v>
      </c>
      <c r="J722" t="s">
        <v>6</v>
      </c>
      <c r="K722" t="s">
        <v>4</v>
      </c>
      <c r="L722" t="s">
        <v>1611</v>
      </c>
      <c r="M722" t="s">
        <v>1611</v>
      </c>
      <c r="N722" s="2">
        <v>8890</v>
      </c>
      <c r="O722" t="s">
        <v>1386</v>
      </c>
      <c r="P722" t="s">
        <v>9</v>
      </c>
      <c r="Q722" t="s">
        <v>86</v>
      </c>
      <c r="R722" t="e">
        <f>VLOOKUP(Q722,#REF!,2,FALSE)</f>
        <v>#REF!</v>
      </c>
      <c r="S722">
        <v>1004</v>
      </c>
      <c r="T722" t="s">
        <v>2225</v>
      </c>
      <c r="U722" t="s">
        <v>1387</v>
      </c>
      <c r="V722" s="1">
        <v>46053</v>
      </c>
      <c r="W722" s="1">
        <v>46053</v>
      </c>
      <c r="X722" t="s">
        <v>77</v>
      </c>
      <c r="Y722" t="s">
        <v>646</v>
      </c>
      <c r="Z722" t="s">
        <v>6</v>
      </c>
      <c r="AA722" t="s">
        <v>646</v>
      </c>
      <c r="AB722" s="4">
        <f t="shared" si="58"/>
        <v>296333.33333333337</v>
      </c>
      <c r="AC722" s="6">
        <v>0.04</v>
      </c>
      <c r="AD722" s="4">
        <f t="shared" si="59"/>
        <v>11853.333333333336</v>
      </c>
      <c r="AE722" s="4">
        <f t="shared" si="57"/>
        <v>2963.3333333333358</v>
      </c>
    </row>
    <row r="723" spans="1:31" x14ac:dyDescent="0.25">
      <c r="A723" t="s">
        <v>0</v>
      </c>
      <c r="B723" s="3" t="s">
        <v>2219</v>
      </c>
      <c r="C723" t="s">
        <v>1384</v>
      </c>
      <c r="D723" t="s">
        <v>160</v>
      </c>
      <c r="E723" t="s">
        <v>1612</v>
      </c>
      <c r="F723" s="1">
        <v>46060</v>
      </c>
      <c r="G723" s="1">
        <v>46063</v>
      </c>
      <c r="H723" t="s">
        <v>904</v>
      </c>
      <c r="I723" t="s">
        <v>5</v>
      </c>
      <c r="J723" t="s">
        <v>6</v>
      </c>
      <c r="K723" t="s">
        <v>4</v>
      </c>
      <c r="L723" t="s">
        <v>1613</v>
      </c>
      <c r="M723" t="s">
        <v>1613</v>
      </c>
      <c r="N723" s="2">
        <v>1307</v>
      </c>
      <c r="O723" t="s">
        <v>1386</v>
      </c>
      <c r="P723" t="s">
        <v>9</v>
      </c>
      <c r="Q723" t="s">
        <v>86</v>
      </c>
      <c r="R723" t="e">
        <f>VLOOKUP(Q723,#REF!,2,FALSE)</f>
        <v>#REF!</v>
      </c>
      <c r="S723">
        <v>1004</v>
      </c>
      <c r="T723" t="s">
        <v>2225</v>
      </c>
      <c r="U723" t="s">
        <v>1387</v>
      </c>
      <c r="V723" s="1">
        <v>46053</v>
      </c>
      <c r="W723" s="1">
        <v>46053</v>
      </c>
      <c r="X723" t="s">
        <v>77</v>
      </c>
      <c r="Y723" t="s">
        <v>646</v>
      </c>
      <c r="Z723" t="s">
        <v>6</v>
      </c>
      <c r="AA723" t="s">
        <v>646</v>
      </c>
      <c r="AB723" s="4">
        <f t="shared" si="58"/>
        <v>43566.666666666672</v>
      </c>
      <c r="AC723" s="6">
        <v>0.04</v>
      </c>
      <c r="AD723" s="4">
        <f t="shared" si="59"/>
        <v>1742.666666666667</v>
      </c>
      <c r="AE723" s="4">
        <f t="shared" si="57"/>
        <v>435.66666666666697</v>
      </c>
    </row>
    <row r="724" spans="1:31" x14ac:dyDescent="0.25">
      <c r="A724" t="s">
        <v>0</v>
      </c>
      <c r="B724" s="3" t="s">
        <v>2219</v>
      </c>
      <c r="C724" t="s">
        <v>1384</v>
      </c>
      <c r="D724" t="s">
        <v>160</v>
      </c>
      <c r="E724" t="s">
        <v>1614</v>
      </c>
      <c r="F724" s="1">
        <v>46060</v>
      </c>
      <c r="G724" s="1">
        <v>46063</v>
      </c>
      <c r="H724" t="s">
        <v>904</v>
      </c>
      <c r="I724" t="s">
        <v>5</v>
      </c>
      <c r="J724" t="s">
        <v>6</v>
      </c>
      <c r="K724" t="s">
        <v>4</v>
      </c>
      <c r="L724" t="s">
        <v>1615</v>
      </c>
      <c r="M724" t="s">
        <v>1615</v>
      </c>
      <c r="N724" s="2">
        <v>569</v>
      </c>
      <c r="O724" t="s">
        <v>1386</v>
      </c>
      <c r="P724" t="s">
        <v>9</v>
      </c>
      <c r="Q724" t="s">
        <v>86</v>
      </c>
      <c r="R724" t="e">
        <f>VLOOKUP(Q724,#REF!,2,FALSE)</f>
        <v>#REF!</v>
      </c>
      <c r="S724">
        <v>1004</v>
      </c>
      <c r="T724" t="s">
        <v>2225</v>
      </c>
      <c r="U724" t="s">
        <v>1387</v>
      </c>
      <c r="V724" s="1">
        <v>46053</v>
      </c>
      <c r="W724" s="1">
        <v>46053</v>
      </c>
      <c r="X724" t="s">
        <v>77</v>
      </c>
      <c r="Y724" t="s">
        <v>646</v>
      </c>
      <c r="Z724" t="s">
        <v>6</v>
      </c>
      <c r="AA724" t="s">
        <v>646</v>
      </c>
      <c r="AB724" s="4">
        <f t="shared" si="58"/>
        <v>18966.666666666668</v>
      </c>
      <c r="AC724" s="6">
        <v>0.04</v>
      </c>
      <c r="AD724" s="4">
        <f t="shared" si="59"/>
        <v>758.66666666666674</v>
      </c>
      <c r="AE724" s="4">
        <f t="shared" si="57"/>
        <v>189.66666666666674</v>
      </c>
    </row>
    <row r="725" spans="1:31" x14ac:dyDescent="0.25">
      <c r="A725" t="s">
        <v>0</v>
      </c>
      <c r="B725" s="3" t="s">
        <v>2219</v>
      </c>
      <c r="C725" t="s">
        <v>1384</v>
      </c>
      <c r="D725" t="s">
        <v>160</v>
      </c>
      <c r="E725" t="s">
        <v>1616</v>
      </c>
      <c r="F725" s="1">
        <v>46060</v>
      </c>
      <c r="G725" s="1">
        <v>46063</v>
      </c>
      <c r="H725" t="s">
        <v>904</v>
      </c>
      <c r="I725" t="s">
        <v>5</v>
      </c>
      <c r="J725" t="s">
        <v>6</v>
      </c>
      <c r="K725" t="s">
        <v>4</v>
      </c>
      <c r="L725" t="s">
        <v>1617</v>
      </c>
      <c r="M725" t="s">
        <v>1617</v>
      </c>
      <c r="N725" s="2">
        <v>387</v>
      </c>
      <c r="O725" t="s">
        <v>1386</v>
      </c>
      <c r="P725" t="s">
        <v>9</v>
      </c>
      <c r="Q725" t="s">
        <v>86</v>
      </c>
      <c r="R725" t="e">
        <f>VLOOKUP(Q725,#REF!,2,FALSE)</f>
        <v>#REF!</v>
      </c>
      <c r="S725">
        <v>1004</v>
      </c>
      <c r="T725" t="s">
        <v>2225</v>
      </c>
      <c r="U725" t="s">
        <v>1387</v>
      </c>
      <c r="V725" s="1">
        <v>46053</v>
      </c>
      <c r="W725" s="1">
        <v>46053</v>
      </c>
      <c r="X725" t="s">
        <v>77</v>
      </c>
      <c r="Y725" t="s">
        <v>646</v>
      </c>
      <c r="Z725" t="s">
        <v>6</v>
      </c>
      <c r="AA725" t="s">
        <v>646</v>
      </c>
      <c r="AB725" s="4">
        <f t="shared" si="58"/>
        <v>12900</v>
      </c>
      <c r="AC725" s="6">
        <v>0.04</v>
      </c>
      <c r="AD725" s="4">
        <f t="shared" si="59"/>
        <v>516</v>
      </c>
      <c r="AE725" s="4">
        <f t="shared" si="57"/>
        <v>129</v>
      </c>
    </row>
    <row r="726" spans="1:31" x14ac:dyDescent="0.25">
      <c r="A726" t="s">
        <v>0</v>
      </c>
      <c r="B726" s="3" t="s">
        <v>2219</v>
      </c>
      <c r="C726" t="s">
        <v>1384</v>
      </c>
      <c r="D726" t="s">
        <v>160</v>
      </c>
      <c r="E726" t="s">
        <v>1618</v>
      </c>
      <c r="F726" s="1">
        <v>46060</v>
      </c>
      <c r="G726" s="1">
        <v>46063</v>
      </c>
      <c r="H726" t="s">
        <v>904</v>
      </c>
      <c r="I726" t="s">
        <v>5</v>
      </c>
      <c r="J726" t="s">
        <v>6</v>
      </c>
      <c r="K726" t="s">
        <v>4</v>
      </c>
      <c r="L726" t="s">
        <v>1419</v>
      </c>
      <c r="M726" t="s">
        <v>1419</v>
      </c>
      <c r="N726" s="2">
        <v>2818</v>
      </c>
      <c r="O726" t="s">
        <v>1386</v>
      </c>
      <c r="P726" t="s">
        <v>9</v>
      </c>
      <c r="Q726" t="s">
        <v>86</v>
      </c>
      <c r="R726" t="e">
        <f>VLOOKUP(Q726,#REF!,2,FALSE)</f>
        <v>#REF!</v>
      </c>
      <c r="S726">
        <v>1004</v>
      </c>
      <c r="T726" t="s">
        <v>2225</v>
      </c>
      <c r="U726" t="s">
        <v>1387</v>
      </c>
      <c r="V726" s="1">
        <v>46053</v>
      </c>
      <c r="W726" s="1">
        <v>46053</v>
      </c>
      <c r="X726" t="s">
        <v>77</v>
      </c>
      <c r="Y726" t="s">
        <v>646</v>
      </c>
      <c r="Z726" t="s">
        <v>6</v>
      </c>
      <c r="AA726" t="s">
        <v>646</v>
      </c>
      <c r="AB726" s="4">
        <f t="shared" si="58"/>
        <v>93933.333333333343</v>
      </c>
      <c r="AC726" s="6">
        <v>0.04</v>
      </c>
      <c r="AD726" s="4">
        <f t="shared" si="59"/>
        <v>3757.3333333333339</v>
      </c>
      <c r="AE726" s="4">
        <f t="shared" si="57"/>
        <v>939.33333333333394</v>
      </c>
    </row>
    <row r="727" spans="1:31" x14ac:dyDescent="0.25">
      <c r="A727" t="s">
        <v>0</v>
      </c>
      <c r="B727" s="3" t="s">
        <v>2219</v>
      </c>
      <c r="C727" t="s">
        <v>1384</v>
      </c>
      <c r="D727" t="s">
        <v>160</v>
      </c>
      <c r="E727" t="s">
        <v>1619</v>
      </c>
      <c r="F727" s="1">
        <v>46060</v>
      </c>
      <c r="G727" s="1">
        <v>46063</v>
      </c>
      <c r="H727" t="s">
        <v>904</v>
      </c>
      <c r="I727" t="s">
        <v>5</v>
      </c>
      <c r="J727" t="s">
        <v>6</v>
      </c>
      <c r="K727" t="s">
        <v>4</v>
      </c>
      <c r="L727" t="s">
        <v>1620</v>
      </c>
      <c r="M727" t="s">
        <v>1620</v>
      </c>
      <c r="N727" s="2">
        <v>1190</v>
      </c>
      <c r="O727" t="s">
        <v>1386</v>
      </c>
      <c r="P727" t="s">
        <v>9</v>
      </c>
      <c r="Q727" t="s">
        <v>86</v>
      </c>
      <c r="R727" t="e">
        <f>VLOOKUP(Q727,#REF!,2,FALSE)</f>
        <v>#REF!</v>
      </c>
      <c r="S727">
        <v>1004</v>
      </c>
      <c r="T727" t="s">
        <v>2225</v>
      </c>
      <c r="U727" t="s">
        <v>1387</v>
      </c>
      <c r="V727" s="1">
        <v>46053</v>
      </c>
      <c r="W727" s="1">
        <v>46053</v>
      </c>
      <c r="X727" t="s">
        <v>77</v>
      </c>
      <c r="Y727" t="s">
        <v>646</v>
      </c>
      <c r="Z727" t="s">
        <v>6</v>
      </c>
      <c r="AA727" t="s">
        <v>646</v>
      </c>
      <c r="AB727" s="4">
        <f t="shared" si="58"/>
        <v>39666.666666666672</v>
      </c>
      <c r="AC727" s="6">
        <v>0.04</v>
      </c>
      <c r="AD727" s="4">
        <f t="shared" si="59"/>
        <v>1586.666666666667</v>
      </c>
      <c r="AE727" s="4">
        <f t="shared" si="57"/>
        <v>396.66666666666697</v>
      </c>
    </row>
    <row r="728" spans="1:31" x14ac:dyDescent="0.25">
      <c r="A728" t="s">
        <v>0</v>
      </c>
      <c r="B728" s="3" t="s">
        <v>2219</v>
      </c>
      <c r="C728" t="s">
        <v>1384</v>
      </c>
      <c r="D728" t="s">
        <v>160</v>
      </c>
      <c r="E728" t="s">
        <v>1621</v>
      </c>
      <c r="F728" s="1">
        <v>46060</v>
      </c>
      <c r="G728" s="1">
        <v>46063</v>
      </c>
      <c r="H728" t="s">
        <v>904</v>
      </c>
      <c r="I728" t="s">
        <v>5</v>
      </c>
      <c r="J728" t="s">
        <v>6</v>
      </c>
      <c r="K728" t="s">
        <v>4</v>
      </c>
      <c r="L728" t="s">
        <v>1622</v>
      </c>
      <c r="M728" t="s">
        <v>1622</v>
      </c>
      <c r="N728" s="2">
        <v>524</v>
      </c>
      <c r="O728" t="s">
        <v>1386</v>
      </c>
      <c r="P728" t="s">
        <v>9</v>
      </c>
      <c r="Q728" t="s">
        <v>86</v>
      </c>
      <c r="R728" t="e">
        <f>VLOOKUP(Q728,#REF!,2,FALSE)</f>
        <v>#REF!</v>
      </c>
      <c r="S728">
        <v>1004</v>
      </c>
      <c r="T728" t="s">
        <v>2225</v>
      </c>
      <c r="U728" t="s">
        <v>1387</v>
      </c>
      <c r="V728" s="1">
        <v>46053</v>
      </c>
      <c r="W728" s="1">
        <v>46053</v>
      </c>
      <c r="X728" t="s">
        <v>77</v>
      </c>
      <c r="Y728" t="s">
        <v>646</v>
      </c>
      <c r="Z728" t="s">
        <v>6</v>
      </c>
      <c r="AA728" t="s">
        <v>646</v>
      </c>
      <c r="AB728" s="4">
        <f t="shared" si="58"/>
        <v>17466.666666666668</v>
      </c>
      <c r="AC728" s="6">
        <v>0.04</v>
      </c>
      <c r="AD728" s="4">
        <f t="shared" si="59"/>
        <v>698.66666666666674</v>
      </c>
      <c r="AE728" s="4">
        <f t="shared" si="57"/>
        <v>174.66666666666674</v>
      </c>
    </row>
    <row r="729" spans="1:31" x14ac:dyDescent="0.25">
      <c r="A729" t="s">
        <v>0</v>
      </c>
      <c r="B729" s="3" t="s">
        <v>2219</v>
      </c>
      <c r="C729" t="s">
        <v>1384</v>
      </c>
      <c r="D729" t="s">
        <v>160</v>
      </c>
      <c r="E729" t="s">
        <v>1623</v>
      </c>
      <c r="F729" s="1">
        <v>46060</v>
      </c>
      <c r="G729" s="1">
        <v>46063</v>
      </c>
      <c r="H729" t="s">
        <v>904</v>
      </c>
      <c r="I729" t="s">
        <v>5</v>
      </c>
      <c r="J729" t="s">
        <v>6</v>
      </c>
      <c r="K729" t="s">
        <v>4</v>
      </c>
      <c r="L729" t="s">
        <v>1624</v>
      </c>
      <c r="M729" t="s">
        <v>1624</v>
      </c>
      <c r="N729" s="2">
        <v>16130</v>
      </c>
      <c r="O729" t="s">
        <v>1386</v>
      </c>
      <c r="P729" t="s">
        <v>9</v>
      </c>
      <c r="Q729" t="s">
        <v>86</v>
      </c>
      <c r="R729" t="e">
        <f>VLOOKUP(Q729,#REF!,2,FALSE)</f>
        <v>#REF!</v>
      </c>
      <c r="S729">
        <v>1004</v>
      </c>
      <c r="T729" t="s">
        <v>2225</v>
      </c>
      <c r="U729" t="s">
        <v>1387</v>
      </c>
      <c r="V729" s="1">
        <v>46053</v>
      </c>
      <c r="W729" s="1">
        <v>46053</v>
      </c>
      <c r="X729" t="s">
        <v>77</v>
      </c>
      <c r="Y729" t="s">
        <v>646</v>
      </c>
      <c r="Z729" t="s">
        <v>6</v>
      </c>
      <c r="AA729" t="s">
        <v>646</v>
      </c>
      <c r="AB729" s="4">
        <f t="shared" si="58"/>
        <v>537666.66666666674</v>
      </c>
      <c r="AC729" s="6">
        <v>0.04</v>
      </c>
      <c r="AD729" s="4">
        <f t="shared" si="59"/>
        <v>21506.666666666672</v>
      </c>
      <c r="AE729" s="4">
        <f t="shared" si="57"/>
        <v>5376.6666666666715</v>
      </c>
    </row>
    <row r="730" spans="1:31" x14ac:dyDescent="0.25">
      <c r="A730" t="s">
        <v>0</v>
      </c>
      <c r="B730" s="3" t="s">
        <v>2219</v>
      </c>
      <c r="C730" t="s">
        <v>1384</v>
      </c>
      <c r="D730" t="s">
        <v>160</v>
      </c>
      <c r="E730" t="s">
        <v>1625</v>
      </c>
      <c r="F730" s="1">
        <v>46060</v>
      </c>
      <c r="G730" s="1">
        <v>46063</v>
      </c>
      <c r="H730" t="s">
        <v>904</v>
      </c>
      <c r="I730" t="s">
        <v>5</v>
      </c>
      <c r="J730" t="s">
        <v>6</v>
      </c>
      <c r="K730" t="s">
        <v>4</v>
      </c>
      <c r="L730" t="s">
        <v>1626</v>
      </c>
      <c r="M730" t="s">
        <v>1626</v>
      </c>
      <c r="N730" s="2">
        <v>653</v>
      </c>
      <c r="O730" t="s">
        <v>1386</v>
      </c>
      <c r="P730" t="s">
        <v>9</v>
      </c>
      <c r="Q730" t="s">
        <v>86</v>
      </c>
      <c r="R730" t="e">
        <f>VLOOKUP(Q730,#REF!,2,FALSE)</f>
        <v>#REF!</v>
      </c>
      <c r="S730">
        <v>1004</v>
      </c>
      <c r="T730" t="s">
        <v>2225</v>
      </c>
      <c r="U730" t="s">
        <v>1387</v>
      </c>
      <c r="V730" s="1">
        <v>46053</v>
      </c>
      <c r="W730" s="1">
        <v>46053</v>
      </c>
      <c r="X730" t="s">
        <v>77</v>
      </c>
      <c r="Y730" t="s">
        <v>646</v>
      </c>
      <c r="Z730" t="s">
        <v>6</v>
      </c>
      <c r="AA730" t="s">
        <v>646</v>
      </c>
      <c r="AB730" s="4">
        <f t="shared" si="58"/>
        <v>21766.666666666668</v>
      </c>
      <c r="AC730" s="6">
        <v>0.04</v>
      </c>
      <c r="AD730" s="4">
        <f t="shared" si="59"/>
        <v>870.66666666666674</v>
      </c>
      <c r="AE730" s="4">
        <f t="shared" si="57"/>
        <v>217.66666666666674</v>
      </c>
    </row>
    <row r="731" spans="1:31" x14ac:dyDescent="0.25">
      <c r="A731" t="s">
        <v>0</v>
      </c>
      <c r="B731" s="3" t="s">
        <v>2219</v>
      </c>
      <c r="C731" t="s">
        <v>1384</v>
      </c>
      <c r="D731" t="s">
        <v>160</v>
      </c>
      <c r="E731" t="s">
        <v>1627</v>
      </c>
      <c r="F731" s="1">
        <v>46060</v>
      </c>
      <c r="G731" s="1">
        <v>46063</v>
      </c>
      <c r="H731" t="s">
        <v>904</v>
      </c>
      <c r="I731" t="s">
        <v>5</v>
      </c>
      <c r="J731" t="s">
        <v>6</v>
      </c>
      <c r="K731" t="s">
        <v>4</v>
      </c>
      <c r="L731" t="s">
        <v>1628</v>
      </c>
      <c r="M731" t="s">
        <v>1628</v>
      </c>
      <c r="N731" s="2">
        <v>2575</v>
      </c>
      <c r="O731" t="s">
        <v>1386</v>
      </c>
      <c r="P731" t="s">
        <v>9</v>
      </c>
      <c r="Q731" t="s">
        <v>86</v>
      </c>
      <c r="R731" t="e">
        <f>VLOOKUP(Q731,#REF!,2,FALSE)</f>
        <v>#REF!</v>
      </c>
      <c r="S731">
        <v>1004</v>
      </c>
      <c r="T731" t="s">
        <v>2225</v>
      </c>
      <c r="U731" t="s">
        <v>1387</v>
      </c>
      <c r="V731" s="1">
        <v>46053</v>
      </c>
      <c r="W731" s="1">
        <v>46053</v>
      </c>
      <c r="X731" t="s">
        <v>77</v>
      </c>
      <c r="Y731" t="s">
        <v>646</v>
      </c>
      <c r="Z731" t="s">
        <v>6</v>
      </c>
      <c r="AA731" t="s">
        <v>646</v>
      </c>
      <c r="AB731" s="4">
        <f t="shared" si="58"/>
        <v>85833.333333333343</v>
      </c>
      <c r="AC731" s="6">
        <v>0.04</v>
      </c>
      <c r="AD731" s="4">
        <f t="shared" si="59"/>
        <v>3433.3333333333339</v>
      </c>
      <c r="AE731" s="4">
        <f t="shared" si="57"/>
        <v>858.33333333333394</v>
      </c>
    </row>
    <row r="732" spans="1:31" x14ac:dyDescent="0.25">
      <c r="A732" t="s">
        <v>0</v>
      </c>
      <c r="B732" s="3" t="s">
        <v>2219</v>
      </c>
      <c r="C732" t="s">
        <v>1384</v>
      </c>
      <c r="D732" t="s">
        <v>160</v>
      </c>
      <c r="E732" t="s">
        <v>1629</v>
      </c>
      <c r="F732" s="1">
        <v>46060</v>
      </c>
      <c r="G732" s="1">
        <v>46063</v>
      </c>
      <c r="H732" t="s">
        <v>904</v>
      </c>
      <c r="I732" t="s">
        <v>5</v>
      </c>
      <c r="J732" t="s">
        <v>6</v>
      </c>
      <c r="K732" t="s">
        <v>4</v>
      </c>
      <c r="L732" t="s">
        <v>1630</v>
      </c>
      <c r="M732" t="s">
        <v>1630</v>
      </c>
      <c r="N732" s="2">
        <v>2757</v>
      </c>
      <c r="O732" t="s">
        <v>1386</v>
      </c>
      <c r="P732" t="s">
        <v>9</v>
      </c>
      <c r="Q732" t="s">
        <v>86</v>
      </c>
      <c r="R732" t="e">
        <f>VLOOKUP(Q732,#REF!,2,FALSE)</f>
        <v>#REF!</v>
      </c>
      <c r="S732">
        <v>1004</v>
      </c>
      <c r="T732" t="s">
        <v>2225</v>
      </c>
      <c r="U732" t="s">
        <v>1387</v>
      </c>
      <c r="V732" s="1">
        <v>46053</v>
      </c>
      <c r="W732" s="1">
        <v>46053</v>
      </c>
      <c r="X732" t="s">
        <v>77</v>
      </c>
      <c r="Y732" t="s">
        <v>646</v>
      </c>
      <c r="Z732" t="s">
        <v>6</v>
      </c>
      <c r="AA732" t="s">
        <v>646</v>
      </c>
      <c r="AB732" s="4">
        <f t="shared" si="58"/>
        <v>91900</v>
      </c>
      <c r="AC732" s="6">
        <v>0.04</v>
      </c>
      <c r="AD732" s="4">
        <f t="shared" si="59"/>
        <v>3676</v>
      </c>
      <c r="AE732" s="4">
        <f t="shared" si="57"/>
        <v>919</v>
      </c>
    </row>
    <row r="733" spans="1:31" x14ac:dyDescent="0.25">
      <c r="A733" t="s">
        <v>0</v>
      </c>
      <c r="B733" s="3" t="s">
        <v>2219</v>
      </c>
      <c r="C733" t="s">
        <v>1384</v>
      </c>
      <c r="D733" t="s">
        <v>160</v>
      </c>
      <c r="E733" t="s">
        <v>1631</v>
      </c>
      <c r="F733" s="1">
        <v>46060</v>
      </c>
      <c r="G733" s="1">
        <v>46063</v>
      </c>
      <c r="H733" t="s">
        <v>904</v>
      </c>
      <c r="I733" t="s">
        <v>5</v>
      </c>
      <c r="J733" t="s">
        <v>6</v>
      </c>
      <c r="K733" t="s">
        <v>4</v>
      </c>
      <c r="L733" t="s">
        <v>1632</v>
      </c>
      <c r="M733" t="s">
        <v>1632</v>
      </c>
      <c r="N733" s="2">
        <v>2067</v>
      </c>
      <c r="O733" t="s">
        <v>1386</v>
      </c>
      <c r="P733" t="s">
        <v>9</v>
      </c>
      <c r="Q733" t="s">
        <v>86</v>
      </c>
      <c r="R733" t="e">
        <f>VLOOKUP(Q733,#REF!,2,FALSE)</f>
        <v>#REF!</v>
      </c>
      <c r="S733">
        <v>1004</v>
      </c>
      <c r="T733" t="s">
        <v>2225</v>
      </c>
      <c r="U733" t="s">
        <v>1387</v>
      </c>
      <c r="V733" s="1">
        <v>46053</v>
      </c>
      <c r="W733" s="1">
        <v>46053</v>
      </c>
      <c r="X733" t="s">
        <v>77</v>
      </c>
      <c r="Y733" t="s">
        <v>646</v>
      </c>
      <c r="Z733" t="s">
        <v>6</v>
      </c>
      <c r="AA733" t="s">
        <v>646</v>
      </c>
      <c r="AB733" s="4">
        <f t="shared" si="58"/>
        <v>68900</v>
      </c>
      <c r="AC733" s="6">
        <v>0.04</v>
      </c>
      <c r="AD733" s="4">
        <f t="shared" si="59"/>
        <v>2756</v>
      </c>
      <c r="AE733" s="4">
        <f t="shared" si="57"/>
        <v>689</v>
      </c>
    </row>
    <row r="734" spans="1:31" x14ac:dyDescent="0.25">
      <c r="A734" t="s">
        <v>0</v>
      </c>
      <c r="B734" s="3" t="s">
        <v>2219</v>
      </c>
      <c r="C734" t="s">
        <v>1384</v>
      </c>
      <c r="D734" t="s">
        <v>160</v>
      </c>
      <c r="E734" t="s">
        <v>1633</v>
      </c>
      <c r="F734" s="1">
        <v>46060</v>
      </c>
      <c r="G734" s="1">
        <v>46063</v>
      </c>
      <c r="H734" t="s">
        <v>904</v>
      </c>
      <c r="I734" t="s">
        <v>5</v>
      </c>
      <c r="J734" t="s">
        <v>6</v>
      </c>
      <c r="K734" t="s">
        <v>4</v>
      </c>
      <c r="L734" t="s">
        <v>1634</v>
      </c>
      <c r="M734" t="s">
        <v>1634</v>
      </c>
      <c r="N734" s="2">
        <v>1279</v>
      </c>
      <c r="O734" t="s">
        <v>1386</v>
      </c>
      <c r="P734" t="s">
        <v>9</v>
      </c>
      <c r="Q734" t="s">
        <v>86</v>
      </c>
      <c r="R734" t="e">
        <f>VLOOKUP(Q734,#REF!,2,FALSE)</f>
        <v>#REF!</v>
      </c>
      <c r="S734">
        <v>1004</v>
      </c>
      <c r="T734" t="s">
        <v>2225</v>
      </c>
      <c r="U734" t="s">
        <v>1387</v>
      </c>
      <c r="V734" s="1">
        <v>46053</v>
      </c>
      <c r="W734" s="1">
        <v>46053</v>
      </c>
      <c r="X734" t="s">
        <v>77</v>
      </c>
      <c r="Y734" t="s">
        <v>646</v>
      </c>
      <c r="Z734" t="s">
        <v>6</v>
      </c>
      <c r="AA734" t="s">
        <v>646</v>
      </c>
      <c r="AB734" s="4">
        <f t="shared" si="58"/>
        <v>42633.333333333336</v>
      </c>
      <c r="AC734" s="6">
        <v>0.04</v>
      </c>
      <c r="AD734" s="4">
        <f t="shared" si="59"/>
        <v>1705.3333333333335</v>
      </c>
      <c r="AE734" s="4">
        <f t="shared" si="57"/>
        <v>426.33333333333348</v>
      </c>
    </row>
    <row r="735" spans="1:31" x14ac:dyDescent="0.25">
      <c r="A735" t="s">
        <v>0</v>
      </c>
      <c r="B735" s="3" t="s">
        <v>2219</v>
      </c>
      <c r="C735" t="s">
        <v>1384</v>
      </c>
      <c r="D735" t="s">
        <v>160</v>
      </c>
      <c r="E735" t="s">
        <v>1635</v>
      </c>
      <c r="F735" s="1">
        <v>46060</v>
      </c>
      <c r="G735" s="1">
        <v>46063</v>
      </c>
      <c r="H735" t="s">
        <v>904</v>
      </c>
      <c r="I735" t="s">
        <v>5</v>
      </c>
      <c r="J735" t="s">
        <v>6</v>
      </c>
      <c r="K735" t="s">
        <v>4</v>
      </c>
      <c r="L735" t="s">
        <v>1636</v>
      </c>
      <c r="M735" t="s">
        <v>1636</v>
      </c>
      <c r="N735" s="2">
        <v>392</v>
      </c>
      <c r="O735" t="s">
        <v>1386</v>
      </c>
      <c r="P735" t="s">
        <v>9</v>
      </c>
      <c r="Q735" t="s">
        <v>86</v>
      </c>
      <c r="R735" t="e">
        <f>VLOOKUP(Q735,#REF!,2,FALSE)</f>
        <v>#REF!</v>
      </c>
      <c r="S735">
        <v>1004</v>
      </c>
      <c r="T735" t="s">
        <v>2225</v>
      </c>
      <c r="U735" t="s">
        <v>1387</v>
      </c>
      <c r="V735" s="1">
        <v>46053</v>
      </c>
      <c r="W735" s="1">
        <v>46053</v>
      </c>
      <c r="X735" t="s">
        <v>77</v>
      </c>
      <c r="Y735" t="s">
        <v>646</v>
      </c>
      <c r="Z735" t="s">
        <v>6</v>
      </c>
      <c r="AA735" t="s">
        <v>646</v>
      </c>
      <c r="AB735" s="4">
        <f t="shared" si="58"/>
        <v>13066.666666666668</v>
      </c>
      <c r="AC735" s="6">
        <v>0.04</v>
      </c>
      <c r="AD735" s="4">
        <f t="shared" si="59"/>
        <v>522.66666666666674</v>
      </c>
      <c r="AE735" s="4">
        <f t="shared" si="57"/>
        <v>130.66666666666674</v>
      </c>
    </row>
    <row r="736" spans="1:31" x14ac:dyDescent="0.25">
      <c r="A736" t="s">
        <v>0</v>
      </c>
      <c r="B736" s="3" t="s">
        <v>2219</v>
      </c>
      <c r="C736" t="s">
        <v>1384</v>
      </c>
      <c r="D736" t="s">
        <v>160</v>
      </c>
      <c r="E736" t="s">
        <v>1637</v>
      </c>
      <c r="F736" s="1">
        <v>46060</v>
      </c>
      <c r="G736" s="1">
        <v>46063</v>
      </c>
      <c r="H736" t="s">
        <v>904</v>
      </c>
      <c r="I736" t="s">
        <v>5</v>
      </c>
      <c r="J736" t="s">
        <v>6</v>
      </c>
      <c r="K736" t="s">
        <v>4</v>
      </c>
      <c r="L736" t="s">
        <v>1638</v>
      </c>
      <c r="M736" t="s">
        <v>1638</v>
      </c>
      <c r="N736" s="2">
        <v>989</v>
      </c>
      <c r="O736" t="s">
        <v>1386</v>
      </c>
      <c r="P736" t="s">
        <v>9</v>
      </c>
      <c r="Q736" t="s">
        <v>86</v>
      </c>
      <c r="R736" t="e">
        <f>VLOOKUP(Q736,#REF!,2,FALSE)</f>
        <v>#REF!</v>
      </c>
      <c r="S736">
        <v>1004</v>
      </c>
      <c r="T736" t="s">
        <v>2225</v>
      </c>
      <c r="U736" t="s">
        <v>1387</v>
      </c>
      <c r="V736" s="1">
        <v>46053</v>
      </c>
      <c r="W736" s="1">
        <v>46053</v>
      </c>
      <c r="X736" t="s">
        <v>77</v>
      </c>
      <c r="Y736" t="s">
        <v>646</v>
      </c>
      <c r="Z736" t="s">
        <v>6</v>
      </c>
      <c r="AA736" t="s">
        <v>646</v>
      </c>
      <c r="AB736" s="4">
        <f t="shared" si="58"/>
        <v>32966.666666666672</v>
      </c>
      <c r="AC736" s="6">
        <v>0.04</v>
      </c>
      <c r="AD736" s="4">
        <f t="shared" si="59"/>
        <v>1318.666666666667</v>
      </c>
      <c r="AE736" s="4">
        <f t="shared" si="57"/>
        <v>329.66666666666697</v>
      </c>
    </row>
    <row r="737" spans="1:31" x14ac:dyDescent="0.25">
      <c r="A737" t="s">
        <v>0</v>
      </c>
      <c r="B737" s="3" t="s">
        <v>2219</v>
      </c>
      <c r="C737" t="s">
        <v>1384</v>
      </c>
      <c r="D737" t="s">
        <v>160</v>
      </c>
      <c r="E737" t="s">
        <v>1639</v>
      </c>
      <c r="F737" s="1">
        <v>46060</v>
      </c>
      <c r="G737" s="1">
        <v>46063</v>
      </c>
      <c r="H737" t="s">
        <v>904</v>
      </c>
      <c r="I737" t="s">
        <v>5</v>
      </c>
      <c r="J737" t="s">
        <v>6</v>
      </c>
      <c r="K737" t="s">
        <v>4</v>
      </c>
      <c r="L737" t="s">
        <v>1640</v>
      </c>
      <c r="M737" t="s">
        <v>1640</v>
      </c>
      <c r="N737" s="2">
        <v>1864</v>
      </c>
      <c r="O737" t="s">
        <v>1386</v>
      </c>
      <c r="P737" t="s">
        <v>9</v>
      </c>
      <c r="Q737" t="s">
        <v>86</v>
      </c>
      <c r="R737" t="e">
        <f>VLOOKUP(Q737,#REF!,2,FALSE)</f>
        <v>#REF!</v>
      </c>
      <c r="S737">
        <v>1004</v>
      </c>
      <c r="T737" t="s">
        <v>2225</v>
      </c>
      <c r="U737" t="s">
        <v>1387</v>
      </c>
      <c r="V737" s="1">
        <v>46053</v>
      </c>
      <c r="W737" s="1">
        <v>46053</v>
      </c>
      <c r="X737" t="s">
        <v>77</v>
      </c>
      <c r="Y737" t="s">
        <v>646</v>
      </c>
      <c r="Z737" t="s">
        <v>6</v>
      </c>
      <c r="AA737" t="s">
        <v>646</v>
      </c>
      <c r="AB737" s="4">
        <f t="shared" si="58"/>
        <v>62133.333333333336</v>
      </c>
      <c r="AC737" s="6">
        <v>0.04</v>
      </c>
      <c r="AD737" s="4">
        <f t="shared" si="59"/>
        <v>2485.3333333333335</v>
      </c>
      <c r="AE737" s="4">
        <f t="shared" si="57"/>
        <v>621.33333333333348</v>
      </c>
    </row>
    <row r="738" spans="1:31" x14ac:dyDescent="0.25">
      <c r="A738" t="s">
        <v>0</v>
      </c>
      <c r="B738" s="3" t="s">
        <v>2219</v>
      </c>
      <c r="C738" t="s">
        <v>1384</v>
      </c>
      <c r="D738" t="s">
        <v>160</v>
      </c>
      <c r="E738" t="s">
        <v>1641</v>
      </c>
      <c r="F738" s="1">
        <v>46060</v>
      </c>
      <c r="G738" s="1">
        <v>46063</v>
      </c>
      <c r="H738" t="s">
        <v>904</v>
      </c>
      <c r="I738" t="s">
        <v>5</v>
      </c>
      <c r="J738" t="s">
        <v>6</v>
      </c>
      <c r="K738" t="s">
        <v>4</v>
      </c>
      <c r="L738" t="s">
        <v>1642</v>
      </c>
      <c r="M738" t="s">
        <v>1642</v>
      </c>
      <c r="N738" s="2">
        <v>587</v>
      </c>
      <c r="O738" t="s">
        <v>1386</v>
      </c>
      <c r="P738" t="s">
        <v>9</v>
      </c>
      <c r="Q738" t="s">
        <v>86</v>
      </c>
      <c r="R738" t="e">
        <f>VLOOKUP(Q738,#REF!,2,FALSE)</f>
        <v>#REF!</v>
      </c>
      <c r="S738">
        <v>1004</v>
      </c>
      <c r="T738" t="s">
        <v>2225</v>
      </c>
      <c r="U738" t="s">
        <v>1387</v>
      </c>
      <c r="V738" s="1">
        <v>46053</v>
      </c>
      <c r="W738" s="1">
        <v>46053</v>
      </c>
      <c r="X738" t="s">
        <v>77</v>
      </c>
      <c r="Y738" t="s">
        <v>646</v>
      </c>
      <c r="Z738" t="s">
        <v>6</v>
      </c>
      <c r="AA738" t="s">
        <v>646</v>
      </c>
      <c r="AB738" s="4">
        <f t="shared" si="58"/>
        <v>19566.666666666668</v>
      </c>
      <c r="AC738" s="6">
        <v>0.04</v>
      </c>
      <c r="AD738" s="4">
        <f t="shared" si="59"/>
        <v>782.66666666666674</v>
      </c>
      <c r="AE738" s="4">
        <f t="shared" si="57"/>
        <v>195.66666666666674</v>
      </c>
    </row>
    <row r="739" spans="1:31" x14ac:dyDescent="0.25">
      <c r="A739" t="s">
        <v>0</v>
      </c>
      <c r="B739" s="3" t="s">
        <v>2219</v>
      </c>
      <c r="C739" t="s">
        <v>1384</v>
      </c>
      <c r="D739" t="s">
        <v>160</v>
      </c>
      <c r="E739" t="s">
        <v>1643</v>
      </c>
      <c r="F739" s="1">
        <v>46060</v>
      </c>
      <c r="G739" s="1">
        <v>46063</v>
      </c>
      <c r="H739" t="s">
        <v>904</v>
      </c>
      <c r="I739" t="s">
        <v>5</v>
      </c>
      <c r="J739" t="s">
        <v>6</v>
      </c>
      <c r="K739" t="s">
        <v>4</v>
      </c>
      <c r="L739" t="s">
        <v>1644</v>
      </c>
      <c r="M739" t="s">
        <v>1644</v>
      </c>
      <c r="N739" s="2">
        <v>559</v>
      </c>
      <c r="O739" t="s">
        <v>1386</v>
      </c>
      <c r="P739" t="s">
        <v>9</v>
      </c>
      <c r="Q739" t="s">
        <v>86</v>
      </c>
      <c r="R739" t="e">
        <f>VLOOKUP(Q739,#REF!,2,FALSE)</f>
        <v>#REF!</v>
      </c>
      <c r="S739">
        <v>1004</v>
      </c>
      <c r="T739" t="s">
        <v>2225</v>
      </c>
      <c r="U739" t="s">
        <v>1387</v>
      </c>
      <c r="V739" s="1">
        <v>46053</v>
      </c>
      <c r="W739" s="1">
        <v>46053</v>
      </c>
      <c r="X739" t="s">
        <v>77</v>
      </c>
      <c r="Y739" t="s">
        <v>646</v>
      </c>
      <c r="Z739" t="s">
        <v>6</v>
      </c>
      <c r="AA739" t="s">
        <v>646</v>
      </c>
      <c r="AB739" s="4">
        <f t="shared" si="58"/>
        <v>18633.333333333336</v>
      </c>
      <c r="AC739" s="6">
        <v>0.04</v>
      </c>
      <c r="AD739" s="4">
        <f t="shared" si="59"/>
        <v>745.33333333333348</v>
      </c>
      <c r="AE739" s="4">
        <f t="shared" si="57"/>
        <v>186.33333333333348</v>
      </c>
    </row>
    <row r="740" spans="1:31" x14ac:dyDescent="0.25">
      <c r="A740" t="s">
        <v>0</v>
      </c>
      <c r="B740" s="3" t="s">
        <v>2219</v>
      </c>
      <c r="C740" t="s">
        <v>1384</v>
      </c>
      <c r="D740" t="s">
        <v>160</v>
      </c>
      <c r="E740" t="s">
        <v>1645</v>
      </c>
      <c r="F740" s="1">
        <v>46060</v>
      </c>
      <c r="G740" s="1">
        <v>46063</v>
      </c>
      <c r="H740" t="s">
        <v>904</v>
      </c>
      <c r="I740" t="s">
        <v>5</v>
      </c>
      <c r="J740" t="s">
        <v>6</v>
      </c>
      <c r="K740" t="s">
        <v>4</v>
      </c>
      <c r="L740" t="s">
        <v>1646</v>
      </c>
      <c r="M740" t="s">
        <v>1646</v>
      </c>
      <c r="N740" s="2">
        <v>9152</v>
      </c>
      <c r="O740" t="s">
        <v>1386</v>
      </c>
      <c r="P740" t="s">
        <v>9</v>
      </c>
      <c r="Q740" t="s">
        <v>86</v>
      </c>
      <c r="R740" t="e">
        <f>VLOOKUP(Q740,#REF!,2,FALSE)</f>
        <v>#REF!</v>
      </c>
      <c r="S740">
        <v>1004</v>
      </c>
      <c r="T740" t="s">
        <v>2225</v>
      </c>
      <c r="U740" t="s">
        <v>1387</v>
      </c>
      <c r="V740" s="1">
        <v>46053</v>
      </c>
      <c r="W740" s="1">
        <v>46053</v>
      </c>
      <c r="X740" t="s">
        <v>77</v>
      </c>
      <c r="Y740" t="s">
        <v>646</v>
      </c>
      <c r="Z740" t="s">
        <v>6</v>
      </c>
      <c r="AA740" t="s">
        <v>646</v>
      </c>
      <c r="AB740" s="4">
        <f t="shared" si="58"/>
        <v>305066.66666666669</v>
      </c>
      <c r="AC740" s="6">
        <v>0.04</v>
      </c>
      <c r="AD740" s="4">
        <f t="shared" si="59"/>
        <v>12202.666666666668</v>
      </c>
      <c r="AE740" s="4">
        <f t="shared" si="57"/>
        <v>3050.6666666666679</v>
      </c>
    </row>
    <row r="741" spans="1:31" x14ac:dyDescent="0.25">
      <c r="A741" t="s">
        <v>0</v>
      </c>
      <c r="B741" s="3" t="s">
        <v>2219</v>
      </c>
      <c r="C741" t="s">
        <v>1384</v>
      </c>
      <c r="D741" t="s">
        <v>160</v>
      </c>
      <c r="E741" t="s">
        <v>1647</v>
      </c>
      <c r="F741" s="1">
        <v>46060</v>
      </c>
      <c r="G741" s="1">
        <v>46063</v>
      </c>
      <c r="H741" t="s">
        <v>904</v>
      </c>
      <c r="I741" t="s">
        <v>5</v>
      </c>
      <c r="J741" t="s">
        <v>6</v>
      </c>
      <c r="K741" t="s">
        <v>4</v>
      </c>
      <c r="L741" t="s">
        <v>1648</v>
      </c>
      <c r="M741" t="s">
        <v>1648</v>
      </c>
      <c r="N741" s="2">
        <v>3304</v>
      </c>
      <c r="O741" t="s">
        <v>1386</v>
      </c>
      <c r="P741" t="s">
        <v>9</v>
      </c>
      <c r="Q741" t="s">
        <v>86</v>
      </c>
      <c r="R741" t="e">
        <f>VLOOKUP(Q741,#REF!,2,FALSE)</f>
        <v>#REF!</v>
      </c>
      <c r="S741">
        <v>1004</v>
      </c>
      <c r="T741" t="s">
        <v>2225</v>
      </c>
      <c r="U741" t="s">
        <v>1387</v>
      </c>
      <c r="V741" s="1">
        <v>46053</v>
      </c>
      <c r="W741" s="1">
        <v>46053</v>
      </c>
      <c r="X741" t="s">
        <v>77</v>
      </c>
      <c r="Y741" t="s">
        <v>646</v>
      </c>
      <c r="Z741" t="s">
        <v>6</v>
      </c>
      <c r="AA741" t="s">
        <v>646</v>
      </c>
      <c r="AB741" s="4">
        <f t="shared" si="58"/>
        <v>110133.33333333334</v>
      </c>
      <c r="AC741" s="6">
        <v>0.04</v>
      </c>
      <c r="AD741" s="4">
        <f t="shared" si="59"/>
        <v>4405.3333333333339</v>
      </c>
      <c r="AE741" s="4">
        <f t="shared" si="57"/>
        <v>1101.3333333333339</v>
      </c>
    </row>
    <row r="742" spans="1:31" x14ac:dyDescent="0.25">
      <c r="A742" t="s">
        <v>0</v>
      </c>
      <c r="B742" s="3" t="s">
        <v>2219</v>
      </c>
      <c r="C742" t="s">
        <v>1384</v>
      </c>
      <c r="D742" t="s">
        <v>160</v>
      </c>
      <c r="E742" t="s">
        <v>1649</v>
      </c>
      <c r="F742" s="1">
        <v>46060</v>
      </c>
      <c r="G742" s="1">
        <v>46063</v>
      </c>
      <c r="H742" t="s">
        <v>904</v>
      </c>
      <c r="I742" t="s">
        <v>5</v>
      </c>
      <c r="J742" t="s">
        <v>6</v>
      </c>
      <c r="K742" t="s">
        <v>4</v>
      </c>
      <c r="L742" t="s">
        <v>1650</v>
      </c>
      <c r="M742" t="s">
        <v>1650</v>
      </c>
      <c r="N742" s="2">
        <v>8464</v>
      </c>
      <c r="O742" t="s">
        <v>1386</v>
      </c>
      <c r="P742" t="s">
        <v>9</v>
      </c>
      <c r="Q742" t="s">
        <v>86</v>
      </c>
      <c r="R742" t="e">
        <f>VLOOKUP(Q742,#REF!,2,FALSE)</f>
        <v>#REF!</v>
      </c>
      <c r="S742">
        <v>1004</v>
      </c>
      <c r="T742" t="s">
        <v>2225</v>
      </c>
      <c r="U742" t="s">
        <v>1387</v>
      </c>
      <c r="V742" s="1">
        <v>46053</v>
      </c>
      <c r="W742" s="1">
        <v>46053</v>
      </c>
      <c r="X742" t="s">
        <v>77</v>
      </c>
      <c r="Y742" t="s">
        <v>646</v>
      </c>
      <c r="Z742" t="s">
        <v>6</v>
      </c>
      <c r="AA742" t="s">
        <v>646</v>
      </c>
      <c r="AB742" s="4">
        <f t="shared" si="58"/>
        <v>282133.33333333337</v>
      </c>
      <c r="AC742" s="6">
        <v>0.04</v>
      </c>
      <c r="AD742" s="4">
        <f t="shared" si="59"/>
        <v>11285.333333333336</v>
      </c>
      <c r="AE742" s="4">
        <f t="shared" si="57"/>
        <v>2821.3333333333358</v>
      </c>
    </row>
    <row r="743" spans="1:31" x14ac:dyDescent="0.25">
      <c r="A743" t="s">
        <v>0</v>
      </c>
      <c r="B743" s="3" t="s">
        <v>2219</v>
      </c>
      <c r="C743" t="s">
        <v>1651</v>
      </c>
      <c r="D743" t="s">
        <v>160</v>
      </c>
      <c r="E743" t="s">
        <v>1223</v>
      </c>
      <c r="F743" s="1">
        <v>46060</v>
      </c>
      <c r="G743" s="1">
        <v>46063</v>
      </c>
      <c r="H743" t="s">
        <v>882</v>
      </c>
      <c r="I743" t="s">
        <v>5</v>
      </c>
      <c r="J743" t="s">
        <v>6</v>
      </c>
      <c r="K743" t="s">
        <v>4</v>
      </c>
      <c r="L743" t="s">
        <v>1652</v>
      </c>
      <c r="M743" t="s">
        <v>1652</v>
      </c>
      <c r="N743" s="2">
        <v>30932</v>
      </c>
      <c r="O743" t="s">
        <v>1653</v>
      </c>
      <c r="P743" t="s">
        <v>9</v>
      </c>
      <c r="Q743" t="s">
        <v>75</v>
      </c>
      <c r="R743" t="e">
        <f>VLOOKUP(Q743,#REF!,2,FALSE)</f>
        <v>#REF!</v>
      </c>
      <c r="S743">
        <v>1511</v>
      </c>
      <c r="T743" t="s">
        <v>2224</v>
      </c>
      <c r="U743" t="s">
        <v>1654</v>
      </c>
      <c r="V743" s="1">
        <v>46053</v>
      </c>
      <c r="W743" s="1">
        <v>46053</v>
      </c>
      <c r="X743" t="s">
        <v>77</v>
      </c>
      <c r="Y743" t="s">
        <v>646</v>
      </c>
      <c r="Z743" t="s">
        <v>6</v>
      </c>
      <c r="AA743" t="s">
        <v>646</v>
      </c>
      <c r="AB743" s="4">
        <f t="shared" ref="AB743:AB771" si="60">L743/0.1</f>
        <v>309320</v>
      </c>
      <c r="AC743" s="5" t="s">
        <v>2215</v>
      </c>
      <c r="AD743" s="4">
        <f t="shared" ref="AD743:AD771" si="61">AB743/12</f>
        <v>25776.666666666668</v>
      </c>
      <c r="AE743" s="4">
        <f t="shared" si="57"/>
        <v>-5155.3333333333321</v>
      </c>
    </row>
    <row r="744" spans="1:31" x14ac:dyDescent="0.25">
      <c r="A744" t="s">
        <v>0</v>
      </c>
      <c r="B744" s="3" t="s">
        <v>2219</v>
      </c>
      <c r="C744" t="s">
        <v>1651</v>
      </c>
      <c r="D744" t="s">
        <v>160</v>
      </c>
      <c r="E744" t="s">
        <v>1225</v>
      </c>
      <c r="F744" s="1">
        <v>46060</v>
      </c>
      <c r="G744" s="1">
        <v>46063</v>
      </c>
      <c r="H744" t="s">
        <v>882</v>
      </c>
      <c r="I744" t="s">
        <v>5</v>
      </c>
      <c r="J744" t="s">
        <v>6</v>
      </c>
      <c r="K744" t="s">
        <v>4</v>
      </c>
      <c r="L744" t="s">
        <v>1655</v>
      </c>
      <c r="M744" t="s">
        <v>1655</v>
      </c>
      <c r="N744" s="2">
        <v>307984</v>
      </c>
      <c r="O744" t="s">
        <v>1653</v>
      </c>
      <c r="P744" t="s">
        <v>9</v>
      </c>
      <c r="Q744" t="s">
        <v>75</v>
      </c>
      <c r="R744" t="e">
        <f>VLOOKUP(Q744,#REF!,2,FALSE)</f>
        <v>#REF!</v>
      </c>
      <c r="S744">
        <v>1511</v>
      </c>
      <c r="T744" t="s">
        <v>2224</v>
      </c>
      <c r="U744" t="s">
        <v>1654</v>
      </c>
      <c r="V744" s="1">
        <v>46053</v>
      </c>
      <c r="W744" s="1">
        <v>46053</v>
      </c>
      <c r="X744" t="s">
        <v>77</v>
      </c>
      <c r="Y744" t="s">
        <v>646</v>
      </c>
      <c r="Z744" t="s">
        <v>6</v>
      </c>
      <c r="AA744" t="s">
        <v>646</v>
      </c>
      <c r="AB744" s="4">
        <f t="shared" si="60"/>
        <v>3079840</v>
      </c>
      <c r="AC744" s="5" t="s">
        <v>2215</v>
      </c>
      <c r="AD744" s="4">
        <f t="shared" si="61"/>
        <v>256653.33333333334</v>
      </c>
      <c r="AE744" s="4">
        <f t="shared" si="57"/>
        <v>-51330.666666666657</v>
      </c>
    </row>
    <row r="745" spans="1:31" x14ac:dyDescent="0.25">
      <c r="A745" t="s">
        <v>0</v>
      </c>
      <c r="B745" s="3" t="s">
        <v>2219</v>
      </c>
      <c r="C745" t="s">
        <v>1651</v>
      </c>
      <c r="D745" t="s">
        <v>160</v>
      </c>
      <c r="E745" t="s">
        <v>1227</v>
      </c>
      <c r="F745" s="1">
        <v>46060</v>
      </c>
      <c r="G745" s="1">
        <v>46063</v>
      </c>
      <c r="H745" t="s">
        <v>882</v>
      </c>
      <c r="I745" t="s">
        <v>5</v>
      </c>
      <c r="J745" t="s">
        <v>6</v>
      </c>
      <c r="K745" t="s">
        <v>4</v>
      </c>
      <c r="L745" t="s">
        <v>1656</v>
      </c>
      <c r="M745" t="s">
        <v>1656</v>
      </c>
      <c r="N745" s="2">
        <v>117558</v>
      </c>
      <c r="O745" t="s">
        <v>1653</v>
      </c>
      <c r="P745" t="s">
        <v>9</v>
      </c>
      <c r="Q745" t="s">
        <v>75</v>
      </c>
      <c r="R745" t="e">
        <f>VLOOKUP(Q745,#REF!,2,FALSE)</f>
        <v>#REF!</v>
      </c>
      <c r="S745">
        <v>1511</v>
      </c>
      <c r="T745" t="s">
        <v>2224</v>
      </c>
      <c r="U745" t="s">
        <v>1654</v>
      </c>
      <c r="V745" s="1">
        <v>46053</v>
      </c>
      <c r="W745" s="1">
        <v>46053</v>
      </c>
      <c r="X745" t="s">
        <v>77</v>
      </c>
      <c r="Y745" t="s">
        <v>646</v>
      </c>
      <c r="Z745" t="s">
        <v>6</v>
      </c>
      <c r="AA745" t="s">
        <v>646</v>
      </c>
      <c r="AB745" s="4">
        <f t="shared" si="60"/>
        <v>1175580</v>
      </c>
      <c r="AC745" s="5" t="s">
        <v>2215</v>
      </c>
      <c r="AD745" s="4">
        <f t="shared" si="61"/>
        <v>97965</v>
      </c>
      <c r="AE745" s="4">
        <f t="shared" si="57"/>
        <v>-19593</v>
      </c>
    </row>
    <row r="746" spans="1:31" x14ac:dyDescent="0.25">
      <c r="A746" t="s">
        <v>0</v>
      </c>
      <c r="B746" s="3" t="s">
        <v>2219</v>
      </c>
      <c r="C746" t="s">
        <v>1651</v>
      </c>
      <c r="D746" t="s">
        <v>160</v>
      </c>
      <c r="E746" t="s">
        <v>1229</v>
      </c>
      <c r="F746" s="1">
        <v>46060</v>
      </c>
      <c r="G746" s="1">
        <v>46063</v>
      </c>
      <c r="H746" t="s">
        <v>882</v>
      </c>
      <c r="I746" t="s">
        <v>5</v>
      </c>
      <c r="J746" t="s">
        <v>6</v>
      </c>
      <c r="K746" t="s">
        <v>4</v>
      </c>
      <c r="L746" t="s">
        <v>1657</v>
      </c>
      <c r="M746" t="s">
        <v>1657</v>
      </c>
      <c r="N746" s="2">
        <v>13237</v>
      </c>
      <c r="O746" t="s">
        <v>1653</v>
      </c>
      <c r="P746" t="s">
        <v>9</v>
      </c>
      <c r="Q746" t="s">
        <v>75</v>
      </c>
      <c r="R746" t="e">
        <f>VLOOKUP(Q746,#REF!,2,FALSE)</f>
        <v>#REF!</v>
      </c>
      <c r="S746">
        <v>1511</v>
      </c>
      <c r="T746" t="s">
        <v>2224</v>
      </c>
      <c r="U746" t="s">
        <v>1654</v>
      </c>
      <c r="V746" s="1">
        <v>46053</v>
      </c>
      <c r="W746" s="1">
        <v>46053</v>
      </c>
      <c r="X746" t="s">
        <v>77</v>
      </c>
      <c r="Y746" t="s">
        <v>646</v>
      </c>
      <c r="Z746" t="s">
        <v>6</v>
      </c>
      <c r="AA746" t="s">
        <v>646</v>
      </c>
      <c r="AB746" s="4">
        <f t="shared" si="60"/>
        <v>132370</v>
      </c>
      <c r="AC746" s="5" t="s">
        <v>2215</v>
      </c>
      <c r="AD746" s="4">
        <f t="shared" si="61"/>
        <v>11030.833333333334</v>
      </c>
      <c r="AE746" s="4">
        <f t="shared" si="57"/>
        <v>-2206.1666666666661</v>
      </c>
    </row>
    <row r="747" spans="1:31" x14ac:dyDescent="0.25">
      <c r="A747" t="s">
        <v>0</v>
      </c>
      <c r="B747" s="3" t="s">
        <v>2219</v>
      </c>
      <c r="C747" t="s">
        <v>1651</v>
      </c>
      <c r="D747" t="s">
        <v>160</v>
      </c>
      <c r="E747" t="s">
        <v>1231</v>
      </c>
      <c r="F747" s="1">
        <v>46060</v>
      </c>
      <c r="G747" s="1">
        <v>46063</v>
      </c>
      <c r="H747" t="s">
        <v>882</v>
      </c>
      <c r="I747" t="s">
        <v>5</v>
      </c>
      <c r="J747" t="s">
        <v>6</v>
      </c>
      <c r="K747" t="s">
        <v>4</v>
      </c>
      <c r="L747" t="s">
        <v>1658</v>
      </c>
      <c r="M747" t="s">
        <v>1658</v>
      </c>
      <c r="N747" s="2">
        <v>89862</v>
      </c>
      <c r="O747" t="s">
        <v>1653</v>
      </c>
      <c r="P747" t="s">
        <v>9</v>
      </c>
      <c r="Q747" t="s">
        <v>75</v>
      </c>
      <c r="R747" t="e">
        <f>VLOOKUP(Q747,#REF!,2,FALSE)</f>
        <v>#REF!</v>
      </c>
      <c r="S747">
        <v>1511</v>
      </c>
      <c r="T747" t="s">
        <v>2224</v>
      </c>
      <c r="U747" t="s">
        <v>1654</v>
      </c>
      <c r="V747" s="1">
        <v>46053</v>
      </c>
      <c r="W747" s="1">
        <v>46053</v>
      </c>
      <c r="X747" t="s">
        <v>77</v>
      </c>
      <c r="Y747" t="s">
        <v>646</v>
      </c>
      <c r="Z747" t="s">
        <v>6</v>
      </c>
      <c r="AA747" t="s">
        <v>646</v>
      </c>
      <c r="AB747" s="4">
        <f t="shared" si="60"/>
        <v>898620</v>
      </c>
      <c r="AC747" s="5" t="s">
        <v>2215</v>
      </c>
      <c r="AD747" s="4">
        <f t="shared" si="61"/>
        <v>74885</v>
      </c>
      <c r="AE747" s="4">
        <f t="shared" si="57"/>
        <v>-14977</v>
      </c>
    </row>
    <row r="748" spans="1:31" x14ac:dyDescent="0.25">
      <c r="A748" t="s">
        <v>0</v>
      </c>
      <c r="B748" s="3" t="s">
        <v>2219</v>
      </c>
      <c r="C748" t="s">
        <v>1651</v>
      </c>
      <c r="D748" t="s">
        <v>160</v>
      </c>
      <c r="E748" t="s">
        <v>1233</v>
      </c>
      <c r="F748" s="1">
        <v>46060</v>
      </c>
      <c r="G748" s="1">
        <v>46063</v>
      </c>
      <c r="H748" t="s">
        <v>882</v>
      </c>
      <c r="I748" t="s">
        <v>5</v>
      </c>
      <c r="J748" t="s">
        <v>6</v>
      </c>
      <c r="K748" t="s">
        <v>4</v>
      </c>
      <c r="L748" t="s">
        <v>1659</v>
      </c>
      <c r="M748" t="s">
        <v>1659</v>
      </c>
      <c r="N748" s="2">
        <v>31337</v>
      </c>
      <c r="O748" t="s">
        <v>1653</v>
      </c>
      <c r="P748" t="s">
        <v>9</v>
      </c>
      <c r="Q748" t="s">
        <v>75</v>
      </c>
      <c r="R748" t="e">
        <f>VLOOKUP(Q748,#REF!,2,FALSE)</f>
        <v>#REF!</v>
      </c>
      <c r="S748">
        <v>1511</v>
      </c>
      <c r="T748" t="s">
        <v>2224</v>
      </c>
      <c r="U748" t="s">
        <v>1654</v>
      </c>
      <c r="V748" s="1">
        <v>46053</v>
      </c>
      <c r="W748" s="1">
        <v>46053</v>
      </c>
      <c r="X748" t="s">
        <v>77</v>
      </c>
      <c r="Y748" t="s">
        <v>646</v>
      </c>
      <c r="Z748" t="s">
        <v>6</v>
      </c>
      <c r="AA748" t="s">
        <v>646</v>
      </c>
      <c r="AB748" s="4">
        <f t="shared" si="60"/>
        <v>313370</v>
      </c>
      <c r="AC748" s="5" t="s">
        <v>2215</v>
      </c>
      <c r="AD748" s="4">
        <f t="shared" si="61"/>
        <v>26114.166666666668</v>
      </c>
      <c r="AE748" s="4">
        <f t="shared" si="57"/>
        <v>-5222.8333333333321</v>
      </c>
    </row>
    <row r="749" spans="1:31" x14ac:dyDescent="0.25">
      <c r="A749" t="s">
        <v>0</v>
      </c>
      <c r="B749" s="3" t="s">
        <v>2219</v>
      </c>
      <c r="C749" t="s">
        <v>1651</v>
      </c>
      <c r="D749" t="s">
        <v>160</v>
      </c>
      <c r="E749" t="s">
        <v>1235</v>
      </c>
      <c r="F749" s="1">
        <v>46060</v>
      </c>
      <c r="G749" s="1">
        <v>46063</v>
      </c>
      <c r="H749" t="s">
        <v>882</v>
      </c>
      <c r="I749" t="s">
        <v>5</v>
      </c>
      <c r="J749" t="s">
        <v>6</v>
      </c>
      <c r="K749" t="s">
        <v>4</v>
      </c>
      <c r="L749" t="s">
        <v>1660</v>
      </c>
      <c r="M749" t="s">
        <v>1660</v>
      </c>
      <c r="N749" s="2">
        <v>16123</v>
      </c>
      <c r="O749" t="s">
        <v>1653</v>
      </c>
      <c r="P749" t="s">
        <v>9</v>
      </c>
      <c r="Q749" t="s">
        <v>75</v>
      </c>
      <c r="R749" t="e">
        <f>VLOOKUP(Q749,#REF!,2,FALSE)</f>
        <v>#REF!</v>
      </c>
      <c r="S749">
        <v>1511</v>
      </c>
      <c r="T749" t="s">
        <v>2224</v>
      </c>
      <c r="U749" t="s">
        <v>1654</v>
      </c>
      <c r="V749" s="1">
        <v>46053</v>
      </c>
      <c r="W749" s="1">
        <v>46053</v>
      </c>
      <c r="X749" t="s">
        <v>77</v>
      </c>
      <c r="Y749" t="s">
        <v>646</v>
      </c>
      <c r="Z749" t="s">
        <v>6</v>
      </c>
      <c r="AA749" t="s">
        <v>646</v>
      </c>
      <c r="AB749" s="4">
        <f t="shared" si="60"/>
        <v>161230</v>
      </c>
      <c r="AC749" s="5" t="s">
        <v>2215</v>
      </c>
      <c r="AD749" s="4">
        <f t="shared" si="61"/>
        <v>13435.833333333334</v>
      </c>
      <c r="AE749" s="4">
        <f t="shared" si="57"/>
        <v>-2687.1666666666661</v>
      </c>
    </row>
    <row r="750" spans="1:31" x14ac:dyDescent="0.25">
      <c r="A750" t="s">
        <v>0</v>
      </c>
      <c r="B750" s="3" t="s">
        <v>2219</v>
      </c>
      <c r="C750" t="s">
        <v>1651</v>
      </c>
      <c r="D750" t="s">
        <v>160</v>
      </c>
      <c r="E750" t="s">
        <v>1237</v>
      </c>
      <c r="F750" s="1">
        <v>46060</v>
      </c>
      <c r="G750" s="1">
        <v>46063</v>
      </c>
      <c r="H750" t="s">
        <v>882</v>
      </c>
      <c r="I750" t="s">
        <v>5</v>
      </c>
      <c r="J750" t="s">
        <v>6</v>
      </c>
      <c r="K750" t="s">
        <v>4</v>
      </c>
      <c r="L750" t="s">
        <v>1661</v>
      </c>
      <c r="M750" t="s">
        <v>1661</v>
      </c>
      <c r="N750" s="2">
        <v>43577</v>
      </c>
      <c r="O750" t="s">
        <v>1653</v>
      </c>
      <c r="P750" t="s">
        <v>9</v>
      </c>
      <c r="Q750" t="s">
        <v>75</v>
      </c>
      <c r="R750" t="e">
        <f>VLOOKUP(Q750,#REF!,2,FALSE)</f>
        <v>#REF!</v>
      </c>
      <c r="S750">
        <v>1511</v>
      </c>
      <c r="T750" t="s">
        <v>2224</v>
      </c>
      <c r="U750" t="s">
        <v>1654</v>
      </c>
      <c r="V750" s="1">
        <v>46053</v>
      </c>
      <c r="W750" s="1">
        <v>46053</v>
      </c>
      <c r="X750" t="s">
        <v>77</v>
      </c>
      <c r="Y750" t="s">
        <v>646</v>
      </c>
      <c r="Z750" t="s">
        <v>6</v>
      </c>
      <c r="AA750" t="s">
        <v>646</v>
      </c>
      <c r="AB750" s="4">
        <f t="shared" si="60"/>
        <v>435770</v>
      </c>
      <c r="AC750" s="5" t="s">
        <v>2215</v>
      </c>
      <c r="AD750" s="4">
        <f t="shared" si="61"/>
        <v>36314.166666666664</v>
      </c>
      <c r="AE750" s="4">
        <f t="shared" si="57"/>
        <v>-7262.8333333333358</v>
      </c>
    </row>
    <row r="751" spans="1:31" x14ac:dyDescent="0.25">
      <c r="A751" t="s">
        <v>0</v>
      </c>
      <c r="B751" s="3" t="s">
        <v>2219</v>
      </c>
      <c r="C751" t="s">
        <v>1651</v>
      </c>
      <c r="D751" t="s">
        <v>160</v>
      </c>
      <c r="E751" t="s">
        <v>1239</v>
      </c>
      <c r="F751" s="1">
        <v>46060</v>
      </c>
      <c r="G751" s="1">
        <v>46063</v>
      </c>
      <c r="H751" t="s">
        <v>882</v>
      </c>
      <c r="I751" t="s">
        <v>5</v>
      </c>
      <c r="J751" t="s">
        <v>6</v>
      </c>
      <c r="K751" t="s">
        <v>4</v>
      </c>
      <c r="L751" t="s">
        <v>1662</v>
      </c>
      <c r="M751" t="s">
        <v>1662</v>
      </c>
      <c r="N751" s="2">
        <v>96656</v>
      </c>
      <c r="O751" t="s">
        <v>1653</v>
      </c>
      <c r="P751" t="s">
        <v>9</v>
      </c>
      <c r="Q751" t="s">
        <v>75</v>
      </c>
      <c r="R751" t="e">
        <f>VLOOKUP(Q751,#REF!,2,FALSE)</f>
        <v>#REF!</v>
      </c>
      <c r="S751">
        <v>1511</v>
      </c>
      <c r="T751" t="s">
        <v>2224</v>
      </c>
      <c r="U751" t="s">
        <v>1654</v>
      </c>
      <c r="V751" s="1">
        <v>46053</v>
      </c>
      <c r="W751" s="1">
        <v>46053</v>
      </c>
      <c r="X751" t="s">
        <v>77</v>
      </c>
      <c r="Y751" t="s">
        <v>646</v>
      </c>
      <c r="Z751" t="s">
        <v>6</v>
      </c>
      <c r="AA751" t="s">
        <v>646</v>
      </c>
      <c r="AB751" s="4">
        <f t="shared" si="60"/>
        <v>966560</v>
      </c>
      <c r="AC751" s="5" t="s">
        <v>2215</v>
      </c>
      <c r="AD751" s="4">
        <f t="shared" si="61"/>
        <v>80546.666666666672</v>
      </c>
      <c r="AE751" s="4">
        <f t="shared" si="57"/>
        <v>-16109.333333333328</v>
      </c>
    </row>
    <row r="752" spans="1:31" x14ac:dyDescent="0.25">
      <c r="A752" t="s">
        <v>0</v>
      </c>
      <c r="B752" s="3" t="s">
        <v>2219</v>
      </c>
      <c r="C752" t="s">
        <v>1651</v>
      </c>
      <c r="D752" t="s">
        <v>160</v>
      </c>
      <c r="E752" t="s">
        <v>1241</v>
      </c>
      <c r="F752" s="1">
        <v>46060</v>
      </c>
      <c r="G752" s="1">
        <v>46063</v>
      </c>
      <c r="H752" t="s">
        <v>882</v>
      </c>
      <c r="I752" t="s">
        <v>5</v>
      </c>
      <c r="J752" t="s">
        <v>6</v>
      </c>
      <c r="K752" t="s">
        <v>4</v>
      </c>
      <c r="L752" t="s">
        <v>1663</v>
      </c>
      <c r="M752" t="s">
        <v>1663</v>
      </c>
      <c r="N752" s="2">
        <v>108274</v>
      </c>
      <c r="O752" t="s">
        <v>1653</v>
      </c>
      <c r="P752" t="s">
        <v>9</v>
      </c>
      <c r="Q752" t="s">
        <v>75</v>
      </c>
      <c r="R752" t="e">
        <f>VLOOKUP(Q752,#REF!,2,FALSE)</f>
        <v>#REF!</v>
      </c>
      <c r="S752">
        <v>1511</v>
      </c>
      <c r="T752" t="s">
        <v>2224</v>
      </c>
      <c r="U752" t="s">
        <v>1654</v>
      </c>
      <c r="V752" s="1">
        <v>46053</v>
      </c>
      <c r="W752" s="1">
        <v>46053</v>
      </c>
      <c r="X752" t="s">
        <v>77</v>
      </c>
      <c r="Y752" t="s">
        <v>646</v>
      </c>
      <c r="Z752" t="s">
        <v>6</v>
      </c>
      <c r="AA752" t="s">
        <v>646</v>
      </c>
      <c r="AB752" s="4">
        <f t="shared" si="60"/>
        <v>1082740</v>
      </c>
      <c r="AC752" s="5" t="s">
        <v>2215</v>
      </c>
      <c r="AD752" s="4">
        <f t="shared" si="61"/>
        <v>90228.333333333328</v>
      </c>
      <c r="AE752" s="4">
        <f t="shared" si="57"/>
        <v>-18045.666666666672</v>
      </c>
    </row>
    <row r="753" spans="1:31" x14ac:dyDescent="0.25">
      <c r="A753" t="s">
        <v>0</v>
      </c>
      <c r="B753" s="3" t="s">
        <v>2219</v>
      </c>
      <c r="C753" t="s">
        <v>1651</v>
      </c>
      <c r="D753" t="s">
        <v>160</v>
      </c>
      <c r="E753" t="s">
        <v>1243</v>
      </c>
      <c r="F753" s="1">
        <v>46060</v>
      </c>
      <c r="G753" s="1">
        <v>46063</v>
      </c>
      <c r="H753" t="s">
        <v>882</v>
      </c>
      <c r="I753" t="s">
        <v>5</v>
      </c>
      <c r="J753" t="s">
        <v>6</v>
      </c>
      <c r="K753" t="s">
        <v>4</v>
      </c>
      <c r="L753" t="s">
        <v>1664</v>
      </c>
      <c r="M753" t="s">
        <v>1664</v>
      </c>
      <c r="N753" s="2">
        <v>91421</v>
      </c>
      <c r="O753" t="s">
        <v>1653</v>
      </c>
      <c r="P753" t="s">
        <v>9</v>
      </c>
      <c r="Q753" t="s">
        <v>75</v>
      </c>
      <c r="R753" t="e">
        <f>VLOOKUP(Q753,#REF!,2,FALSE)</f>
        <v>#REF!</v>
      </c>
      <c r="S753">
        <v>1511</v>
      </c>
      <c r="T753" t="s">
        <v>2224</v>
      </c>
      <c r="U753" t="s">
        <v>1654</v>
      </c>
      <c r="V753" s="1">
        <v>46053</v>
      </c>
      <c r="W753" s="1">
        <v>46053</v>
      </c>
      <c r="X753" t="s">
        <v>77</v>
      </c>
      <c r="Y753" t="s">
        <v>646</v>
      </c>
      <c r="Z753" t="s">
        <v>6</v>
      </c>
      <c r="AA753" t="s">
        <v>646</v>
      </c>
      <c r="AB753" s="4">
        <f t="shared" si="60"/>
        <v>914210</v>
      </c>
      <c r="AC753" s="5" t="s">
        <v>2215</v>
      </c>
      <c r="AD753" s="4">
        <f t="shared" si="61"/>
        <v>76184.166666666672</v>
      </c>
      <c r="AE753" s="4">
        <f t="shared" si="57"/>
        <v>-15236.833333333328</v>
      </c>
    </row>
    <row r="754" spans="1:31" x14ac:dyDescent="0.25">
      <c r="A754" t="s">
        <v>0</v>
      </c>
      <c r="B754" s="3" t="s">
        <v>2219</v>
      </c>
      <c r="C754" t="s">
        <v>1651</v>
      </c>
      <c r="D754" t="s">
        <v>160</v>
      </c>
      <c r="E754" t="s">
        <v>1245</v>
      </c>
      <c r="F754" s="1">
        <v>46060</v>
      </c>
      <c r="G754" s="1">
        <v>46063</v>
      </c>
      <c r="H754" t="s">
        <v>882</v>
      </c>
      <c r="I754" t="s">
        <v>5</v>
      </c>
      <c r="J754" t="s">
        <v>6</v>
      </c>
      <c r="K754" t="s">
        <v>4</v>
      </c>
      <c r="L754" t="s">
        <v>1665</v>
      </c>
      <c r="M754" t="s">
        <v>1665</v>
      </c>
      <c r="N754" s="2">
        <v>41434</v>
      </c>
      <c r="O754" t="s">
        <v>1653</v>
      </c>
      <c r="P754" t="s">
        <v>9</v>
      </c>
      <c r="Q754" t="s">
        <v>75</v>
      </c>
      <c r="R754" t="e">
        <f>VLOOKUP(Q754,#REF!,2,FALSE)</f>
        <v>#REF!</v>
      </c>
      <c r="S754">
        <v>1511</v>
      </c>
      <c r="T754" t="s">
        <v>2224</v>
      </c>
      <c r="U754" t="s">
        <v>1654</v>
      </c>
      <c r="V754" s="1">
        <v>46053</v>
      </c>
      <c r="W754" s="1">
        <v>46053</v>
      </c>
      <c r="X754" t="s">
        <v>77</v>
      </c>
      <c r="Y754" t="s">
        <v>646</v>
      </c>
      <c r="Z754" t="s">
        <v>6</v>
      </c>
      <c r="AA754" t="s">
        <v>646</v>
      </c>
      <c r="AB754" s="4">
        <f t="shared" si="60"/>
        <v>414340</v>
      </c>
      <c r="AC754" s="5" t="s">
        <v>2215</v>
      </c>
      <c r="AD754" s="4">
        <f t="shared" si="61"/>
        <v>34528.333333333336</v>
      </c>
      <c r="AE754" s="4">
        <f t="shared" si="57"/>
        <v>-6905.6666666666642</v>
      </c>
    </row>
    <row r="755" spans="1:31" x14ac:dyDescent="0.25">
      <c r="A755" t="s">
        <v>0</v>
      </c>
      <c r="B755" s="3" t="s">
        <v>2219</v>
      </c>
      <c r="C755" t="s">
        <v>1651</v>
      </c>
      <c r="D755" t="s">
        <v>160</v>
      </c>
      <c r="E755" t="s">
        <v>1247</v>
      </c>
      <c r="F755" s="1">
        <v>46060</v>
      </c>
      <c r="G755" s="1">
        <v>46063</v>
      </c>
      <c r="H755" t="s">
        <v>882</v>
      </c>
      <c r="I755" t="s">
        <v>5</v>
      </c>
      <c r="J755" t="s">
        <v>6</v>
      </c>
      <c r="K755" t="s">
        <v>4</v>
      </c>
      <c r="L755" t="s">
        <v>1666</v>
      </c>
      <c r="M755" t="s">
        <v>1666</v>
      </c>
      <c r="N755" s="2">
        <v>108930</v>
      </c>
      <c r="O755" t="s">
        <v>1653</v>
      </c>
      <c r="P755" t="s">
        <v>9</v>
      </c>
      <c r="Q755" t="s">
        <v>75</v>
      </c>
      <c r="R755" t="e">
        <f>VLOOKUP(Q755,#REF!,2,FALSE)</f>
        <v>#REF!</v>
      </c>
      <c r="S755">
        <v>1511</v>
      </c>
      <c r="T755" t="s">
        <v>2224</v>
      </c>
      <c r="U755" t="s">
        <v>1654</v>
      </c>
      <c r="V755" s="1">
        <v>46053</v>
      </c>
      <c r="W755" s="1">
        <v>46053</v>
      </c>
      <c r="X755" t="s">
        <v>77</v>
      </c>
      <c r="Y755" t="s">
        <v>646</v>
      </c>
      <c r="Z755" t="s">
        <v>6</v>
      </c>
      <c r="AA755" t="s">
        <v>646</v>
      </c>
      <c r="AB755" s="4">
        <f t="shared" si="60"/>
        <v>1089300</v>
      </c>
      <c r="AC755" s="5" t="s">
        <v>2215</v>
      </c>
      <c r="AD755" s="4">
        <f t="shared" si="61"/>
        <v>90775</v>
      </c>
      <c r="AE755" s="4">
        <f t="shared" si="57"/>
        <v>-18155</v>
      </c>
    </row>
    <row r="756" spans="1:31" x14ac:dyDescent="0.25">
      <c r="A756" t="s">
        <v>0</v>
      </c>
      <c r="B756" s="3" t="s">
        <v>2219</v>
      </c>
      <c r="C756" t="s">
        <v>1651</v>
      </c>
      <c r="D756" t="s">
        <v>160</v>
      </c>
      <c r="E756" t="s">
        <v>1249</v>
      </c>
      <c r="F756" s="1">
        <v>46060</v>
      </c>
      <c r="G756" s="1">
        <v>46063</v>
      </c>
      <c r="H756" t="s">
        <v>882</v>
      </c>
      <c r="I756" t="s">
        <v>5</v>
      </c>
      <c r="J756" t="s">
        <v>6</v>
      </c>
      <c r="K756" t="s">
        <v>4</v>
      </c>
      <c r="L756" t="s">
        <v>1667</v>
      </c>
      <c r="M756" t="s">
        <v>1667</v>
      </c>
      <c r="N756" s="2">
        <v>11183</v>
      </c>
      <c r="O756" t="s">
        <v>1653</v>
      </c>
      <c r="P756" t="s">
        <v>9</v>
      </c>
      <c r="Q756" t="s">
        <v>75</v>
      </c>
      <c r="R756" t="e">
        <f>VLOOKUP(Q756,#REF!,2,FALSE)</f>
        <v>#REF!</v>
      </c>
      <c r="S756">
        <v>1511</v>
      </c>
      <c r="T756" t="s">
        <v>2224</v>
      </c>
      <c r="U756" t="s">
        <v>1654</v>
      </c>
      <c r="V756" s="1">
        <v>46053</v>
      </c>
      <c r="W756" s="1">
        <v>46053</v>
      </c>
      <c r="X756" t="s">
        <v>77</v>
      </c>
      <c r="Y756" t="s">
        <v>646</v>
      </c>
      <c r="Z756" t="s">
        <v>6</v>
      </c>
      <c r="AA756" t="s">
        <v>646</v>
      </c>
      <c r="AB756" s="4">
        <f t="shared" si="60"/>
        <v>111830</v>
      </c>
      <c r="AC756" s="5" t="s">
        <v>2215</v>
      </c>
      <c r="AD756" s="4">
        <f t="shared" si="61"/>
        <v>9319.1666666666661</v>
      </c>
      <c r="AE756" s="4">
        <f t="shared" si="57"/>
        <v>-1863.8333333333339</v>
      </c>
    </row>
    <row r="757" spans="1:31" x14ac:dyDescent="0.25">
      <c r="A757" t="s">
        <v>0</v>
      </c>
      <c r="B757" s="3" t="s">
        <v>2219</v>
      </c>
      <c r="C757" t="s">
        <v>1651</v>
      </c>
      <c r="D757" t="s">
        <v>160</v>
      </c>
      <c r="E757" t="s">
        <v>1251</v>
      </c>
      <c r="F757" s="1">
        <v>46060</v>
      </c>
      <c r="G757" s="1">
        <v>46063</v>
      </c>
      <c r="H757" t="s">
        <v>882</v>
      </c>
      <c r="I757" t="s">
        <v>5</v>
      </c>
      <c r="J757" t="s">
        <v>6</v>
      </c>
      <c r="K757" t="s">
        <v>4</v>
      </c>
      <c r="L757" t="s">
        <v>1668</v>
      </c>
      <c r="M757" t="s">
        <v>1668</v>
      </c>
      <c r="N757" s="2">
        <v>11218</v>
      </c>
      <c r="O757" t="s">
        <v>1653</v>
      </c>
      <c r="P757" t="s">
        <v>9</v>
      </c>
      <c r="Q757" t="s">
        <v>75</v>
      </c>
      <c r="R757" t="e">
        <f>VLOOKUP(Q757,#REF!,2,FALSE)</f>
        <v>#REF!</v>
      </c>
      <c r="S757">
        <v>1511</v>
      </c>
      <c r="T757" t="s">
        <v>2224</v>
      </c>
      <c r="U757" t="s">
        <v>1654</v>
      </c>
      <c r="V757" s="1">
        <v>46053</v>
      </c>
      <c r="W757" s="1">
        <v>46053</v>
      </c>
      <c r="X757" t="s">
        <v>77</v>
      </c>
      <c r="Y757" t="s">
        <v>646</v>
      </c>
      <c r="Z757" t="s">
        <v>6</v>
      </c>
      <c r="AA757" t="s">
        <v>646</v>
      </c>
      <c r="AB757" s="4">
        <f t="shared" si="60"/>
        <v>112180</v>
      </c>
      <c r="AC757" s="5" t="s">
        <v>2215</v>
      </c>
      <c r="AD757" s="4">
        <f t="shared" si="61"/>
        <v>9348.3333333333339</v>
      </c>
      <c r="AE757" s="4">
        <f t="shared" si="57"/>
        <v>-1869.6666666666661</v>
      </c>
    </row>
    <row r="758" spans="1:31" x14ac:dyDescent="0.25">
      <c r="A758" t="s">
        <v>0</v>
      </c>
      <c r="B758" s="3" t="s">
        <v>2219</v>
      </c>
      <c r="C758" t="s">
        <v>1651</v>
      </c>
      <c r="D758" t="s">
        <v>160</v>
      </c>
      <c r="E758" t="s">
        <v>1253</v>
      </c>
      <c r="F758" s="1">
        <v>46060</v>
      </c>
      <c r="G758" s="1">
        <v>46063</v>
      </c>
      <c r="H758" t="s">
        <v>882</v>
      </c>
      <c r="I758" t="s">
        <v>5</v>
      </c>
      <c r="J758" t="s">
        <v>6</v>
      </c>
      <c r="K758" t="s">
        <v>4</v>
      </c>
      <c r="L758" t="s">
        <v>1669</v>
      </c>
      <c r="M758" t="s">
        <v>1669</v>
      </c>
      <c r="N758" s="2">
        <v>38193</v>
      </c>
      <c r="O758" t="s">
        <v>1653</v>
      </c>
      <c r="P758" t="s">
        <v>9</v>
      </c>
      <c r="Q758" t="s">
        <v>75</v>
      </c>
      <c r="R758" t="e">
        <f>VLOOKUP(Q758,#REF!,2,FALSE)</f>
        <v>#REF!</v>
      </c>
      <c r="S758">
        <v>1511</v>
      </c>
      <c r="T758" t="s">
        <v>2224</v>
      </c>
      <c r="U758" t="s">
        <v>1654</v>
      </c>
      <c r="V758" s="1">
        <v>46053</v>
      </c>
      <c r="W758" s="1">
        <v>46053</v>
      </c>
      <c r="X758" t="s">
        <v>77</v>
      </c>
      <c r="Y758" t="s">
        <v>646</v>
      </c>
      <c r="Z758" t="s">
        <v>6</v>
      </c>
      <c r="AA758" t="s">
        <v>646</v>
      </c>
      <c r="AB758" s="4">
        <f t="shared" si="60"/>
        <v>381930</v>
      </c>
      <c r="AC758" s="5" t="s">
        <v>2215</v>
      </c>
      <c r="AD758" s="4">
        <f t="shared" si="61"/>
        <v>31827.5</v>
      </c>
      <c r="AE758" s="4">
        <f t="shared" si="57"/>
        <v>-6365.5</v>
      </c>
    </row>
    <row r="759" spans="1:31" x14ac:dyDescent="0.25">
      <c r="A759" t="s">
        <v>0</v>
      </c>
      <c r="B759" s="3" t="s">
        <v>2219</v>
      </c>
      <c r="C759" t="s">
        <v>1651</v>
      </c>
      <c r="D759" t="s">
        <v>160</v>
      </c>
      <c r="E759" t="s">
        <v>1255</v>
      </c>
      <c r="F759" s="1">
        <v>46060</v>
      </c>
      <c r="G759" s="1">
        <v>46063</v>
      </c>
      <c r="H759" t="s">
        <v>882</v>
      </c>
      <c r="I759" t="s">
        <v>5</v>
      </c>
      <c r="J759" t="s">
        <v>6</v>
      </c>
      <c r="K759" t="s">
        <v>4</v>
      </c>
      <c r="L759" t="s">
        <v>1670</v>
      </c>
      <c r="M759" t="s">
        <v>1670</v>
      </c>
      <c r="N759" s="2">
        <v>9041</v>
      </c>
      <c r="O759" t="s">
        <v>1653</v>
      </c>
      <c r="P759" t="s">
        <v>9</v>
      </c>
      <c r="Q759" t="s">
        <v>75</v>
      </c>
      <c r="R759" t="e">
        <f>VLOOKUP(Q759,#REF!,2,FALSE)</f>
        <v>#REF!</v>
      </c>
      <c r="S759">
        <v>1511</v>
      </c>
      <c r="T759" t="s">
        <v>2224</v>
      </c>
      <c r="U759" t="s">
        <v>1654</v>
      </c>
      <c r="V759" s="1">
        <v>46053</v>
      </c>
      <c r="W759" s="1">
        <v>46053</v>
      </c>
      <c r="X759" t="s">
        <v>77</v>
      </c>
      <c r="Y759" t="s">
        <v>646</v>
      </c>
      <c r="Z759" t="s">
        <v>6</v>
      </c>
      <c r="AA759" t="s">
        <v>646</v>
      </c>
      <c r="AB759" s="4">
        <f t="shared" si="60"/>
        <v>90410</v>
      </c>
      <c r="AC759" s="5" t="s">
        <v>2215</v>
      </c>
      <c r="AD759" s="4">
        <f t="shared" si="61"/>
        <v>7534.166666666667</v>
      </c>
      <c r="AE759" s="4">
        <f t="shared" si="57"/>
        <v>-1506.833333333333</v>
      </c>
    </row>
    <row r="760" spans="1:31" x14ac:dyDescent="0.25">
      <c r="A760" t="s">
        <v>0</v>
      </c>
      <c r="B760" s="3" t="s">
        <v>2219</v>
      </c>
      <c r="C760" t="s">
        <v>1651</v>
      </c>
      <c r="D760" t="s">
        <v>160</v>
      </c>
      <c r="E760" t="s">
        <v>1671</v>
      </c>
      <c r="F760" s="1">
        <v>46060</v>
      </c>
      <c r="G760" s="1">
        <v>46063</v>
      </c>
      <c r="H760" t="s">
        <v>882</v>
      </c>
      <c r="I760" t="s">
        <v>5</v>
      </c>
      <c r="J760" t="s">
        <v>6</v>
      </c>
      <c r="K760" t="s">
        <v>4</v>
      </c>
      <c r="L760" t="s">
        <v>1672</v>
      </c>
      <c r="M760" t="s">
        <v>1672</v>
      </c>
      <c r="N760" s="2">
        <v>31071</v>
      </c>
      <c r="O760" t="s">
        <v>1653</v>
      </c>
      <c r="P760" t="s">
        <v>9</v>
      </c>
      <c r="Q760" t="s">
        <v>75</v>
      </c>
      <c r="R760" t="e">
        <f>VLOOKUP(Q760,#REF!,2,FALSE)</f>
        <v>#REF!</v>
      </c>
      <c r="S760">
        <v>1511</v>
      </c>
      <c r="T760" t="s">
        <v>2224</v>
      </c>
      <c r="U760" t="s">
        <v>1654</v>
      </c>
      <c r="V760" s="1">
        <v>46053</v>
      </c>
      <c r="W760" s="1">
        <v>46053</v>
      </c>
      <c r="X760" t="s">
        <v>77</v>
      </c>
      <c r="Y760" t="s">
        <v>646</v>
      </c>
      <c r="Z760" t="s">
        <v>6</v>
      </c>
      <c r="AA760" t="s">
        <v>646</v>
      </c>
      <c r="AB760" s="4">
        <f t="shared" si="60"/>
        <v>310710</v>
      </c>
      <c r="AC760" s="5" t="s">
        <v>2215</v>
      </c>
      <c r="AD760" s="4">
        <f t="shared" si="61"/>
        <v>25892.5</v>
      </c>
      <c r="AE760" s="4">
        <f t="shared" si="57"/>
        <v>-5178.5</v>
      </c>
    </row>
    <row r="761" spans="1:31" x14ac:dyDescent="0.25">
      <c r="A761" t="s">
        <v>0</v>
      </c>
      <c r="B761" s="3" t="s">
        <v>2219</v>
      </c>
      <c r="C761" t="s">
        <v>1651</v>
      </c>
      <c r="D761" t="s">
        <v>160</v>
      </c>
      <c r="E761" t="s">
        <v>878</v>
      </c>
      <c r="F761" s="1">
        <v>46060</v>
      </c>
      <c r="G761" s="1">
        <v>46063</v>
      </c>
      <c r="H761" t="s">
        <v>882</v>
      </c>
      <c r="I761" t="s">
        <v>5</v>
      </c>
      <c r="J761" t="s">
        <v>6</v>
      </c>
      <c r="K761" t="s">
        <v>4</v>
      </c>
      <c r="L761" t="s">
        <v>1673</v>
      </c>
      <c r="M761" t="s">
        <v>1673</v>
      </c>
      <c r="N761" s="2">
        <v>82564</v>
      </c>
      <c r="O761" t="s">
        <v>1653</v>
      </c>
      <c r="P761" t="s">
        <v>9</v>
      </c>
      <c r="Q761" t="s">
        <v>75</v>
      </c>
      <c r="R761" t="e">
        <f>VLOOKUP(Q761,#REF!,2,FALSE)</f>
        <v>#REF!</v>
      </c>
      <c r="S761">
        <v>1511</v>
      </c>
      <c r="T761" t="s">
        <v>2224</v>
      </c>
      <c r="U761" t="s">
        <v>1654</v>
      </c>
      <c r="V761" s="1">
        <v>46053</v>
      </c>
      <c r="W761" s="1">
        <v>46053</v>
      </c>
      <c r="X761" t="s">
        <v>77</v>
      </c>
      <c r="Y761" t="s">
        <v>646</v>
      </c>
      <c r="Z761" t="s">
        <v>6</v>
      </c>
      <c r="AA761" t="s">
        <v>646</v>
      </c>
      <c r="AB761" s="4">
        <f t="shared" si="60"/>
        <v>825640</v>
      </c>
      <c r="AC761" s="5" t="s">
        <v>2215</v>
      </c>
      <c r="AD761" s="4">
        <f t="shared" si="61"/>
        <v>68803.333333333328</v>
      </c>
      <c r="AE761" s="4">
        <f t="shared" si="57"/>
        <v>-13760.666666666672</v>
      </c>
    </row>
    <row r="762" spans="1:31" x14ac:dyDescent="0.25">
      <c r="A762" t="s">
        <v>0</v>
      </c>
      <c r="B762" s="3" t="s">
        <v>2219</v>
      </c>
      <c r="C762" t="s">
        <v>1651</v>
      </c>
      <c r="D762" t="s">
        <v>160</v>
      </c>
      <c r="E762" t="s">
        <v>879</v>
      </c>
      <c r="F762" s="1">
        <v>46060</v>
      </c>
      <c r="G762" s="1">
        <v>46063</v>
      </c>
      <c r="H762" t="s">
        <v>882</v>
      </c>
      <c r="I762" t="s">
        <v>5</v>
      </c>
      <c r="J762" t="s">
        <v>6</v>
      </c>
      <c r="K762" t="s">
        <v>4</v>
      </c>
      <c r="L762" t="s">
        <v>1674</v>
      </c>
      <c r="M762" t="s">
        <v>1674</v>
      </c>
      <c r="N762" s="2">
        <v>62027</v>
      </c>
      <c r="O762" t="s">
        <v>1653</v>
      </c>
      <c r="P762" t="s">
        <v>9</v>
      </c>
      <c r="Q762" t="s">
        <v>75</v>
      </c>
      <c r="R762" t="e">
        <f>VLOOKUP(Q762,#REF!,2,FALSE)</f>
        <v>#REF!</v>
      </c>
      <c r="S762">
        <v>1511</v>
      </c>
      <c r="T762" t="s">
        <v>2224</v>
      </c>
      <c r="U762" t="s">
        <v>1654</v>
      </c>
      <c r="V762" s="1">
        <v>46053</v>
      </c>
      <c r="W762" s="1">
        <v>46053</v>
      </c>
      <c r="X762" t="s">
        <v>77</v>
      </c>
      <c r="Y762" t="s">
        <v>646</v>
      </c>
      <c r="Z762" t="s">
        <v>6</v>
      </c>
      <c r="AA762" t="s">
        <v>646</v>
      </c>
      <c r="AB762" s="4">
        <f t="shared" si="60"/>
        <v>620270</v>
      </c>
      <c r="AC762" s="5" t="s">
        <v>2215</v>
      </c>
      <c r="AD762" s="4">
        <f t="shared" si="61"/>
        <v>51689.166666666664</v>
      </c>
      <c r="AE762" s="4">
        <f t="shared" si="57"/>
        <v>-10337.833333333336</v>
      </c>
    </row>
    <row r="763" spans="1:31" x14ac:dyDescent="0.25">
      <c r="A763" t="s">
        <v>0</v>
      </c>
      <c r="B763" s="3" t="s">
        <v>2219</v>
      </c>
      <c r="C763" t="s">
        <v>1651</v>
      </c>
      <c r="D763" t="s">
        <v>160</v>
      </c>
      <c r="E763" t="s">
        <v>1675</v>
      </c>
      <c r="F763" s="1">
        <v>46060</v>
      </c>
      <c r="G763" s="1">
        <v>46063</v>
      </c>
      <c r="H763" t="s">
        <v>882</v>
      </c>
      <c r="I763" t="s">
        <v>5</v>
      </c>
      <c r="J763" t="s">
        <v>6</v>
      </c>
      <c r="K763" t="s">
        <v>4</v>
      </c>
      <c r="L763" t="s">
        <v>1676</v>
      </c>
      <c r="M763" t="s">
        <v>1676</v>
      </c>
      <c r="N763" s="2">
        <v>4082</v>
      </c>
      <c r="O763" t="s">
        <v>1653</v>
      </c>
      <c r="P763" t="s">
        <v>9</v>
      </c>
      <c r="Q763" t="s">
        <v>75</v>
      </c>
      <c r="R763" t="e">
        <f>VLOOKUP(Q763,#REF!,2,FALSE)</f>
        <v>#REF!</v>
      </c>
      <c r="S763">
        <v>1511</v>
      </c>
      <c r="T763" t="s">
        <v>2224</v>
      </c>
      <c r="U763" t="s">
        <v>1654</v>
      </c>
      <c r="V763" s="1">
        <v>46053</v>
      </c>
      <c r="W763" s="1">
        <v>46053</v>
      </c>
      <c r="X763" t="s">
        <v>77</v>
      </c>
      <c r="Y763" t="s">
        <v>646</v>
      </c>
      <c r="Z763" t="s">
        <v>6</v>
      </c>
      <c r="AA763" t="s">
        <v>646</v>
      </c>
      <c r="AB763" s="4">
        <f t="shared" si="60"/>
        <v>40820</v>
      </c>
      <c r="AC763" s="5" t="s">
        <v>2215</v>
      </c>
      <c r="AD763" s="4">
        <f t="shared" si="61"/>
        <v>3401.6666666666665</v>
      </c>
      <c r="AE763" s="4">
        <f t="shared" si="57"/>
        <v>-680.33333333333348</v>
      </c>
    </row>
    <row r="764" spans="1:31" x14ac:dyDescent="0.25">
      <c r="A764" t="s">
        <v>0</v>
      </c>
      <c r="B764" s="3" t="s">
        <v>2219</v>
      </c>
      <c r="C764" t="s">
        <v>1651</v>
      </c>
      <c r="D764" t="s">
        <v>160</v>
      </c>
      <c r="E764" t="s">
        <v>1677</v>
      </c>
      <c r="F764" s="1">
        <v>46060</v>
      </c>
      <c r="G764" s="1">
        <v>46063</v>
      </c>
      <c r="H764" t="s">
        <v>882</v>
      </c>
      <c r="I764" t="s">
        <v>5</v>
      </c>
      <c r="J764" t="s">
        <v>6</v>
      </c>
      <c r="K764" t="s">
        <v>4</v>
      </c>
      <c r="L764" t="s">
        <v>1678</v>
      </c>
      <c r="M764" t="s">
        <v>1678</v>
      </c>
      <c r="N764" s="2">
        <v>90937</v>
      </c>
      <c r="O764" t="s">
        <v>1653</v>
      </c>
      <c r="P764" t="s">
        <v>9</v>
      </c>
      <c r="Q764" t="s">
        <v>75</v>
      </c>
      <c r="R764" t="e">
        <f>VLOOKUP(Q764,#REF!,2,FALSE)</f>
        <v>#REF!</v>
      </c>
      <c r="S764">
        <v>1511</v>
      </c>
      <c r="T764" t="s">
        <v>2224</v>
      </c>
      <c r="U764" t="s">
        <v>1654</v>
      </c>
      <c r="V764" s="1">
        <v>46053</v>
      </c>
      <c r="W764" s="1">
        <v>46053</v>
      </c>
      <c r="X764" t="s">
        <v>77</v>
      </c>
      <c r="Y764" t="s">
        <v>646</v>
      </c>
      <c r="Z764" t="s">
        <v>6</v>
      </c>
      <c r="AA764" t="s">
        <v>646</v>
      </c>
      <c r="AB764" s="4">
        <f t="shared" si="60"/>
        <v>909370</v>
      </c>
      <c r="AC764" s="5" t="s">
        <v>2215</v>
      </c>
      <c r="AD764" s="4">
        <f t="shared" si="61"/>
        <v>75780.833333333328</v>
      </c>
      <c r="AE764" s="4">
        <f t="shared" si="57"/>
        <v>-15156.166666666672</v>
      </c>
    </row>
    <row r="765" spans="1:31" x14ac:dyDescent="0.25">
      <c r="A765" t="s">
        <v>0</v>
      </c>
      <c r="B765" s="3" t="s">
        <v>2219</v>
      </c>
      <c r="C765" t="s">
        <v>1651</v>
      </c>
      <c r="D765" t="s">
        <v>160</v>
      </c>
      <c r="E765" t="s">
        <v>1679</v>
      </c>
      <c r="F765" s="1">
        <v>46060</v>
      </c>
      <c r="G765" s="1">
        <v>46063</v>
      </c>
      <c r="H765" t="s">
        <v>882</v>
      </c>
      <c r="I765" t="s">
        <v>5</v>
      </c>
      <c r="J765" t="s">
        <v>6</v>
      </c>
      <c r="K765" t="s">
        <v>4</v>
      </c>
      <c r="L765" t="s">
        <v>1680</v>
      </c>
      <c r="M765" t="s">
        <v>1680</v>
      </c>
      <c r="N765" s="2">
        <v>16033</v>
      </c>
      <c r="O765" t="s">
        <v>1653</v>
      </c>
      <c r="P765" t="s">
        <v>9</v>
      </c>
      <c r="Q765" t="s">
        <v>75</v>
      </c>
      <c r="R765" t="e">
        <f>VLOOKUP(Q765,#REF!,2,FALSE)</f>
        <v>#REF!</v>
      </c>
      <c r="S765">
        <v>1511</v>
      </c>
      <c r="T765" t="s">
        <v>2224</v>
      </c>
      <c r="U765" t="s">
        <v>1654</v>
      </c>
      <c r="V765" s="1">
        <v>46053</v>
      </c>
      <c r="W765" s="1">
        <v>46053</v>
      </c>
      <c r="X765" t="s">
        <v>77</v>
      </c>
      <c r="Y765" t="s">
        <v>646</v>
      </c>
      <c r="Z765" t="s">
        <v>6</v>
      </c>
      <c r="AA765" t="s">
        <v>646</v>
      </c>
      <c r="AB765" s="4">
        <f t="shared" si="60"/>
        <v>160330</v>
      </c>
      <c r="AC765" s="5" t="s">
        <v>2215</v>
      </c>
      <c r="AD765" s="4">
        <f t="shared" si="61"/>
        <v>13360.833333333334</v>
      </c>
      <c r="AE765" s="4">
        <f t="shared" si="57"/>
        <v>-2672.1666666666661</v>
      </c>
    </row>
    <row r="766" spans="1:31" x14ac:dyDescent="0.25">
      <c r="A766" t="s">
        <v>0</v>
      </c>
      <c r="B766" s="3" t="s">
        <v>2219</v>
      </c>
      <c r="C766" t="s">
        <v>1651</v>
      </c>
      <c r="D766" t="s">
        <v>160</v>
      </c>
      <c r="E766" t="s">
        <v>1681</v>
      </c>
      <c r="F766" s="1">
        <v>46060</v>
      </c>
      <c r="G766" s="1">
        <v>46063</v>
      </c>
      <c r="H766" t="s">
        <v>882</v>
      </c>
      <c r="I766" t="s">
        <v>5</v>
      </c>
      <c r="J766" t="s">
        <v>6</v>
      </c>
      <c r="K766" t="s">
        <v>4</v>
      </c>
      <c r="L766" t="s">
        <v>1682</v>
      </c>
      <c r="M766" t="s">
        <v>1682</v>
      </c>
      <c r="N766" s="2">
        <v>20403</v>
      </c>
      <c r="O766" t="s">
        <v>1653</v>
      </c>
      <c r="P766" t="s">
        <v>9</v>
      </c>
      <c r="Q766" t="s">
        <v>75</v>
      </c>
      <c r="R766" t="e">
        <f>VLOOKUP(Q766,#REF!,2,FALSE)</f>
        <v>#REF!</v>
      </c>
      <c r="S766">
        <v>1511</v>
      </c>
      <c r="T766" t="s">
        <v>2224</v>
      </c>
      <c r="U766" t="s">
        <v>1654</v>
      </c>
      <c r="V766" s="1">
        <v>46053</v>
      </c>
      <c r="W766" s="1">
        <v>46053</v>
      </c>
      <c r="X766" t="s">
        <v>77</v>
      </c>
      <c r="Y766" t="s">
        <v>646</v>
      </c>
      <c r="Z766" t="s">
        <v>6</v>
      </c>
      <c r="AA766" t="s">
        <v>646</v>
      </c>
      <c r="AB766" s="4">
        <f t="shared" si="60"/>
        <v>204030</v>
      </c>
      <c r="AC766" s="5" t="s">
        <v>2215</v>
      </c>
      <c r="AD766" s="4">
        <f t="shared" si="61"/>
        <v>17002.5</v>
      </c>
      <c r="AE766" s="4">
        <f t="shared" si="57"/>
        <v>-3400.5</v>
      </c>
    </row>
    <row r="767" spans="1:31" x14ac:dyDescent="0.25">
      <c r="A767" t="s">
        <v>0</v>
      </c>
      <c r="B767" s="3" t="s">
        <v>2219</v>
      </c>
      <c r="C767" t="s">
        <v>1651</v>
      </c>
      <c r="D767" t="s">
        <v>160</v>
      </c>
      <c r="E767" t="s">
        <v>728</v>
      </c>
      <c r="F767" s="1">
        <v>46060</v>
      </c>
      <c r="G767" s="1">
        <v>46063</v>
      </c>
      <c r="H767" t="s">
        <v>882</v>
      </c>
      <c r="I767" t="s">
        <v>5</v>
      </c>
      <c r="J767" t="s">
        <v>6</v>
      </c>
      <c r="K767" t="s">
        <v>4</v>
      </c>
      <c r="L767" t="s">
        <v>1683</v>
      </c>
      <c r="M767" t="s">
        <v>1683</v>
      </c>
      <c r="N767" s="2">
        <v>8237</v>
      </c>
      <c r="O767" t="s">
        <v>1653</v>
      </c>
      <c r="P767" t="s">
        <v>9</v>
      </c>
      <c r="Q767" t="s">
        <v>75</v>
      </c>
      <c r="R767" t="e">
        <f>VLOOKUP(Q767,#REF!,2,FALSE)</f>
        <v>#REF!</v>
      </c>
      <c r="S767">
        <v>1511</v>
      </c>
      <c r="T767" t="s">
        <v>2224</v>
      </c>
      <c r="U767" t="s">
        <v>1654</v>
      </c>
      <c r="V767" s="1">
        <v>46053</v>
      </c>
      <c r="W767" s="1">
        <v>46053</v>
      </c>
      <c r="X767" t="s">
        <v>77</v>
      </c>
      <c r="Y767" t="s">
        <v>646</v>
      </c>
      <c r="Z767" t="s">
        <v>6</v>
      </c>
      <c r="AA767" t="s">
        <v>646</v>
      </c>
      <c r="AB767" s="4">
        <f t="shared" si="60"/>
        <v>82370</v>
      </c>
      <c r="AC767" s="5" t="s">
        <v>2215</v>
      </c>
      <c r="AD767" s="4">
        <f t="shared" si="61"/>
        <v>6864.166666666667</v>
      </c>
      <c r="AE767" s="4">
        <f t="shared" si="57"/>
        <v>-1372.833333333333</v>
      </c>
    </row>
    <row r="768" spans="1:31" x14ac:dyDescent="0.25">
      <c r="A768" t="s">
        <v>0</v>
      </c>
      <c r="B768" s="3" t="s">
        <v>2219</v>
      </c>
      <c r="C768" t="s">
        <v>1651</v>
      </c>
      <c r="D768" t="s">
        <v>160</v>
      </c>
      <c r="E768" t="s">
        <v>732</v>
      </c>
      <c r="F768" s="1">
        <v>46060</v>
      </c>
      <c r="G768" s="1">
        <v>46063</v>
      </c>
      <c r="H768" t="s">
        <v>882</v>
      </c>
      <c r="I768" t="s">
        <v>5</v>
      </c>
      <c r="J768" t="s">
        <v>6</v>
      </c>
      <c r="K768" t="s">
        <v>4</v>
      </c>
      <c r="L768" t="s">
        <v>1684</v>
      </c>
      <c r="M768" t="s">
        <v>1684</v>
      </c>
      <c r="N768" s="2">
        <v>11232</v>
      </c>
      <c r="O768" t="s">
        <v>1653</v>
      </c>
      <c r="P768" t="s">
        <v>9</v>
      </c>
      <c r="Q768" t="s">
        <v>75</v>
      </c>
      <c r="R768" t="e">
        <f>VLOOKUP(Q768,#REF!,2,FALSE)</f>
        <v>#REF!</v>
      </c>
      <c r="S768">
        <v>1511</v>
      </c>
      <c r="T768" t="s">
        <v>2224</v>
      </c>
      <c r="U768" t="s">
        <v>1654</v>
      </c>
      <c r="V768" s="1">
        <v>46053</v>
      </c>
      <c r="W768" s="1">
        <v>46053</v>
      </c>
      <c r="X768" t="s">
        <v>77</v>
      </c>
      <c r="Y768" t="s">
        <v>646</v>
      </c>
      <c r="Z768" t="s">
        <v>6</v>
      </c>
      <c r="AA768" t="s">
        <v>646</v>
      </c>
      <c r="AB768" s="4">
        <f t="shared" si="60"/>
        <v>112320</v>
      </c>
      <c r="AC768" s="5" t="s">
        <v>2215</v>
      </c>
      <c r="AD768" s="4">
        <f t="shared" si="61"/>
        <v>9360</v>
      </c>
      <c r="AE768" s="4">
        <f t="shared" si="57"/>
        <v>-1872</v>
      </c>
    </row>
    <row r="769" spans="1:31" x14ac:dyDescent="0.25">
      <c r="A769" t="s">
        <v>0</v>
      </c>
      <c r="B769" s="3" t="s">
        <v>2219</v>
      </c>
      <c r="C769" t="s">
        <v>1651</v>
      </c>
      <c r="D769" t="s">
        <v>160</v>
      </c>
      <c r="E769" t="s">
        <v>384</v>
      </c>
      <c r="F769" s="1">
        <v>46060</v>
      </c>
      <c r="G769" s="1">
        <v>46063</v>
      </c>
      <c r="H769" t="s">
        <v>882</v>
      </c>
      <c r="I769" t="s">
        <v>5</v>
      </c>
      <c r="J769" t="s">
        <v>6</v>
      </c>
      <c r="K769" t="s">
        <v>4</v>
      </c>
      <c r="L769" t="s">
        <v>1685</v>
      </c>
      <c r="M769" t="s">
        <v>1685</v>
      </c>
      <c r="N769" s="2">
        <v>15304</v>
      </c>
      <c r="O769" t="s">
        <v>1653</v>
      </c>
      <c r="P769" t="s">
        <v>9</v>
      </c>
      <c r="Q769" t="s">
        <v>75</v>
      </c>
      <c r="R769" t="e">
        <f>VLOOKUP(Q769,#REF!,2,FALSE)</f>
        <v>#REF!</v>
      </c>
      <c r="S769">
        <v>1511</v>
      </c>
      <c r="T769" t="s">
        <v>2224</v>
      </c>
      <c r="U769" t="s">
        <v>1654</v>
      </c>
      <c r="V769" s="1">
        <v>46053</v>
      </c>
      <c r="W769" s="1">
        <v>46053</v>
      </c>
      <c r="X769" t="s">
        <v>77</v>
      </c>
      <c r="Y769" t="s">
        <v>646</v>
      </c>
      <c r="Z769" t="s">
        <v>6</v>
      </c>
      <c r="AA769" t="s">
        <v>646</v>
      </c>
      <c r="AB769" s="4">
        <f t="shared" si="60"/>
        <v>153040</v>
      </c>
      <c r="AC769" s="5" t="s">
        <v>2215</v>
      </c>
      <c r="AD769" s="4">
        <f t="shared" si="61"/>
        <v>12753.333333333334</v>
      </c>
      <c r="AE769" s="4">
        <f t="shared" si="57"/>
        <v>-2550.6666666666661</v>
      </c>
    </row>
    <row r="770" spans="1:31" x14ac:dyDescent="0.25">
      <c r="A770" t="s">
        <v>0</v>
      </c>
      <c r="B770" s="3" t="s">
        <v>2219</v>
      </c>
      <c r="C770" t="s">
        <v>1651</v>
      </c>
      <c r="D770" t="s">
        <v>160</v>
      </c>
      <c r="E770" t="s">
        <v>390</v>
      </c>
      <c r="F770" s="1">
        <v>46060</v>
      </c>
      <c r="G770" s="1">
        <v>46063</v>
      </c>
      <c r="H770" t="s">
        <v>882</v>
      </c>
      <c r="I770" t="s">
        <v>5</v>
      </c>
      <c r="J770" t="s">
        <v>6</v>
      </c>
      <c r="K770" t="s">
        <v>4</v>
      </c>
      <c r="L770" t="s">
        <v>1686</v>
      </c>
      <c r="M770" t="s">
        <v>1686</v>
      </c>
      <c r="N770" s="2">
        <v>105260</v>
      </c>
      <c r="O770" t="s">
        <v>1653</v>
      </c>
      <c r="P770" t="s">
        <v>9</v>
      </c>
      <c r="Q770" t="s">
        <v>75</v>
      </c>
      <c r="R770" t="e">
        <f>VLOOKUP(Q770,#REF!,2,FALSE)</f>
        <v>#REF!</v>
      </c>
      <c r="S770">
        <v>1511</v>
      </c>
      <c r="T770" t="s">
        <v>2224</v>
      </c>
      <c r="U770" t="s">
        <v>1654</v>
      </c>
      <c r="V770" s="1">
        <v>46053</v>
      </c>
      <c r="W770" s="1">
        <v>46053</v>
      </c>
      <c r="X770" t="s">
        <v>77</v>
      </c>
      <c r="Y770" t="s">
        <v>646</v>
      </c>
      <c r="Z770" t="s">
        <v>6</v>
      </c>
      <c r="AA770" t="s">
        <v>646</v>
      </c>
      <c r="AB770" s="4">
        <f t="shared" si="60"/>
        <v>1052600</v>
      </c>
      <c r="AC770" s="5" t="s">
        <v>2215</v>
      </c>
      <c r="AD770" s="4">
        <f t="shared" si="61"/>
        <v>87716.666666666672</v>
      </c>
      <c r="AE770" s="4">
        <f t="shared" ref="AE770:AE833" si="62">AD770-L770</f>
        <v>-17543.333333333328</v>
      </c>
    </row>
    <row r="771" spans="1:31" x14ac:dyDescent="0.25">
      <c r="A771" t="s">
        <v>0</v>
      </c>
      <c r="B771" s="3" t="s">
        <v>2219</v>
      </c>
      <c r="C771" t="s">
        <v>1651</v>
      </c>
      <c r="D771" t="s">
        <v>160</v>
      </c>
      <c r="E771" t="s">
        <v>1687</v>
      </c>
      <c r="F771" s="1">
        <v>46060</v>
      </c>
      <c r="G771" s="1">
        <v>46063</v>
      </c>
      <c r="H771" t="s">
        <v>882</v>
      </c>
      <c r="I771" t="s">
        <v>5</v>
      </c>
      <c r="J771" t="s">
        <v>6</v>
      </c>
      <c r="K771" t="s">
        <v>4</v>
      </c>
      <c r="L771" t="s">
        <v>1688</v>
      </c>
      <c r="M771" t="s">
        <v>1688</v>
      </c>
      <c r="N771" s="2">
        <v>27501</v>
      </c>
      <c r="O771" t="s">
        <v>1653</v>
      </c>
      <c r="P771" t="s">
        <v>9</v>
      </c>
      <c r="Q771" t="s">
        <v>75</v>
      </c>
      <c r="R771" t="e">
        <f>VLOOKUP(Q771,#REF!,2,FALSE)</f>
        <v>#REF!</v>
      </c>
      <c r="S771">
        <v>1511</v>
      </c>
      <c r="T771" t="s">
        <v>2224</v>
      </c>
      <c r="U771" t="s">
        <v>1654</v>
      </c>
      <c r="V771" s="1">
        <v>46053</v>
      </c>
      <c r="W771" s="1">
        <v>46053</v>
      </c>
      <c r="X771" t="s">
        <v>77</v>
      </c>
      <c r="Y771" t="s">
        <v>646</v>
      </c>
      <c r="Z771" t="s">
        <v>6</v>
      </c>
      <c r="AA771" t="s">
        <v>646</v>
      </c>
      <c r="AB771" s="4">
        <f t="shared" si="60"/>
        <v>275010</v>
      </c>
      <c r="AC771" s="5" t="s">
        <v>2215</v>
      </c>
      <c r="AD771" s="4">
        <f t="shared" si="61"/>
        <v>22917.5</v>
      </c>
      <c r="AE771" s="4">
        <f t="shared" si="62"/>
        <v>-4583.5</v>
      </c>
    </row>
    <row r="772" spans="1:31" x14ac:dyDescent="0.25">
      <c r="A772" t="s">
        <v>0</v>
      </c>
      <c r="B772" s="3" t="s">
        <v>2219</v>
      </c>
      <c r="C772" t="s">
        <v>1651</v>
      </c>
      <c r="D772" t="s">
        <v>160</v>
      </c>
      <c r="E772" t="s">
        <v>1404</v>
      </c>
      <c r="F772" s="1">
        <v>46060</v>
      </c>
      <c r="G772" s="1">
        <v>46063</v>
      </c>
      <c r="H772" t="s">
        <v>901</v>
      </c>
      <c r="I772" t="s">
        <v>5</v>
      </c>
      <c r="J772" t="s">
        <v>6</v>
      </c>
      <c r="K772" t="s">
        <v>4</v>
      </c>
      <c r="L772" t="s">
        <v>1689</v>
      </c>
      <c r="M772" t="s">
        <v>1689</v>
      </c>
      <c r="N772" s="2">
        <v>26416</v>
      </c>
      <c r="O772" t="s">
        <v>1653</v>
      </c>
      <c r="P772" t="s">
        <v>9</v>
      </c>
      <c r="Q772" t="s">
        <v>82</v>
      </c>
      <c r="R772" t="e">
        <f>VLOOKUP(Q772,#REF!,2,FALSE)</f>
        <v>#REF!</v>
      </c>
      <c r="S772">
        <v>1511</v>
      </c>
      <c r="T772" t="s">
        <v>2224</v>
      </c>
      <c r="U772" t="s">
        <v>1654</v>
      </c>
      <c r="V772" s="1">
        <v>46053</v>
      </c>
      <c r="W772" s="1">
        <v>46053</v>
      </c>
      <c r="X772" t="s">
        <v>77</v>
      </c>
      <c r="Y772" t="s">
        <v>646</v>
      </c>
      <c r="Z772" t="s">
        <v>6</v>
      </c>
      <c r="AA772" t="s">
        <v>646</v>
      </c>
      <c r="AB772" s="4">
        <f>L772/0.08</f>
        <v>330200</v>
      </c>
      <c r="AC772" s="6">
        <v>0.1</v>
      </c>
      <c r="AD772" s="4">
        <f t="shared" ref="AD772:AD773" si="63">AB772*AC772</f>
        <v>33020</v>
      </c>
      <c r="AE772" s="4">
        <f t="shared" si="62"/>
        <v>6604</v>
      </c>
    </row>
    <row r="773" spans="1:31" x14ac:dyDescent="0.25">
      <c r="A773" t="s">
        <v>0</v>
      </c>
      <c r="B773" s="3" t="s">
        <v>2219</v>
      </c>
      <c r="C773" t="s">
        <v>1651</v>
      </c>
      <c r="D773" t="s">
        <v>160</v>
      </c>
      <c r="E773" t="s">
        <v>1406</v>
      </c>
      <c r="F773" s="1">
        <v>46060</v>
      </c>
      <c r="G773" s="1">
        <v>46063</v>
      </c>
      <c r="H773" t="s">
        <v>901</v>
      </c>
      <c r="I773" t="s">
        <v>5</v>
      </c>
      <c r="J773" t="s">
        <v>6</v>
      </c>
      <c r="K773" t="s">
        <v>4</v>
      </c>
      <c r="L773" t="s">
        <v>1690</v>
      </c>
      <c r="M773" t="s">
        <v>1690</v>
      </c>
      <c r="N773" s="2">
        <v>15616</v>
      </c>
      <c r="O773" t="s">
        <v>1653</v>
      </c>
      <c r="P773" t="s">
        <v>9</v>
      </c>
      <c r="Q773" t="s">
        <v>82</v>
      </c>
      <c r="R773" t="e">
        <f>VLOOKUP(Q773,#REF!,2,FALSE)</f>
        <v>#REF!</v>
      </c>
      <c r="S773">
        <v>1511</v>
      </c>
      <c r="T773" t="s">
        <v>2224</v>
      </c>
      <c r="U773" t="s">
        <v>1654</v>
      </c>
      <c r="V773" s="1">
        <v>46053</v>
      </c>
      <c r="W773" s="1">
        <v>46053</v>
      </c>
      <c r="X773" t="s">
        <v>77</v>
      </c>
      <c r="Y773" t="s">
        <v>646</v>
      </c>
      <c r="Z773" t="s">
        <v>6</v>
      </c>
      <c r="AA773" t="s">
        <v>646</v>
      </c>
      <c r="AB773" s="4">
        <f>L773/0.08</f>
        <v>195200</v>
      </c>
      <c r="AC773" s="6">
        <v>0.1</v>
      </c>
      <c r="AD773" s="4">
        <f t="shared" si="63"/>
        <v>19520</v>
      </c>
      <c r="AE773" s="4">
        <f t="shared" si="62"/>
        <v>3904</v>
      </c>
    </row>
    <row r="774" spans="1:31" x14ac:dyDescent="0.25">
      <c r="A774" t="s">
        <v>0</v>
      </c>
      <c r="B774" s="3" t="s">
        <v>2219</v>
      </c>
      <c r="C774" t="s">
        <v>1651</v>
      </c>
      <c r="D774" t="s">
        <v>160</v>
      </c>
      <c r="E774" t="s">
        <v>1408</v>
      </c>
      <c r="F774" s="1">
        <v>46060</v>
      </c>
      <c r="G774" s="1">
        <v>46063</v>
      </c>
      <c r="H774" t="s">
        <v>904</v>
      </c>
      <c r="I774" t="s">
        <v>5</v>
      </c>
      <c r="J774" t="s">
        <v>6</v>
      </c>
      <c r="K774" t="s">
        <v>4</v>
      </c>
      <c r="L774" t="s">
        <v>1691</v>
      </c>
      <c r="M774" t="s">
        <v>1691</v>
      </c>
      <c r="N774" s="2">
        <v>1237</v>
      </c>
      <c r="O774" t="s">
        <v>1653</v>
      </c>
      <c r="P774" t="s">
        <v>9</v>
      </c>
      <c r="Q774" t="s">
        <v>86</v>
      </c>
      <c r="R774" t="e">
        <f>VLOOKUP(Q774,#REF!,2,FALSE)</f>
        <v>#REF!</v>
      </c>
      <c r="S774">
        <v>1511</v>
      </c>
      <c r="T774" t="s">
        <v>2224</v>
      </c>
      <c r="U774" t="s">
        <v>1654</v>
      </c>
      <c r="V774" s="1">
        <v>46053</v>
      </c>
      <c r="W774" s="1">
        <v>46053</v>
      </c>
      <c r="X774" t="s">
        <v>77</v>
      </c>
      <c r="Y774" t="s">
        <v>646</v>
      </c>
      <c r="Z774" t="s">
        <v>6</v>
      </c>
      <c r="AA774" t="s">
        <v>646</v>
      </c>
      <c r="AB774" s="4">
        <f t="shared" ref="AB774:AB802" si="64">L774/0.03</f>
        <v>41233.333333333336</v>
      </c>
      <c r="AC774" s="6">
        <v>0.04</v>
      </c>
      <c r="AD774" s="4">
        <f t="shared" ref="AD774:AD802" si="65">AB774*AC774</f>
        <v>1649.3333333333335</v>
      </c>
      <c r="AE774" s="4">
        <f t="shared" si="62"/>
        <v>412.33333333333348</v>
      </c>
    </row>
    <row r="775" spans="1:31" x14ac:dyDescent="0.25">
      <c r="A775" t="s">
        <v>0</v>
      </c>
      <c r="B775" s="3" t="s">
        <v>2219</v>
      </c>
      <c r="C775" t="s">
        <v>1651</v>
      </c>
      <c r="D775" t="s">
        <v>160</v>
      </c>
      <c r="E775" t="s">
        <v>1410</v>
      </c>
      <c r="F775" s="1">
        <v>46060</v>
      </c>
      <c r="G775" s="1">
        <v>46063</v>
      </c>
      <c r="H775" t="s">
        <v>904</v>
      </c>
      <c r="I775" t="s">
        <v>5</v>
      </c>
      <c r="J775" t="s">
        <v>6</v>
      </c>
      <c r="K775" t="s">
        <v>4</v>
      </c>
      <c r="L775" t="s">
        <v>1692</v>
      </c>
      <c r="M775" t="s">
        <v>1692</v>
      </c>
      <c r="N775" s="2">
        <v>12320</v>
      </c>
      <c r="O775" t="s">
        <v>1653</v>
      </c>
      <c r="P775" t="s">
        <v>9</v>
      </c>
      <c r="Q775" t="s">
        <v>86</v>
      </c>
      <c r="R775" t="e">
        <f>VLOOKUP(Q775,#REF!,2,FALSE)</f>
        <v>#REF!</v>
      </c>
      <c r="S775">
        <v>1511</v>
      </c>
      <c r="T775" t="s">
        <v>2224</v>
      </c>
      <c r="U775" t="s">
        <v>1654</v>
      </c>
      <c r="V775" s="1">
        <v>46053</v>
      </c>
      <c r="W775" s="1">
        <v>46053</v>
      </c>
      <c r="X775" t="s">
        <v>77</v>
      </c>
      <c r="Y775" t="s">
        <v>646</v>
      </c>
      <c r="Z775" t="s">
        <v>6</v>
      </c>
      <c r="AA775" t="s">
        <v>646</v>
      </c>
      <c r="AB775" s="4">
        <f t="shared" si="64"/>
        <v>410666.66666666669</v>
      </c>
      <c r="AC775" s="6">
        <v>0.04</v>
      </c>
      <c r="AD775" s="4">
        <f t="shared" si="65"/>
        <v>16426.666666666668</v>
      </c>
      <c r="AE775" s="4">
        <f t="shared" si="62"/>
        <v>4106.6666666666679</v>
      </c>
    </row>
    <row r="776" spans="1:31" x14ac:dyDescent="0.25">
      <c r="A776" t="s">
        <v>0</v>
      </c>
      <c r="B776" s="3" t="s">
        <v>2219</v>
      </c>
      <c r="C776" t="s">
        <v>1651</v>
      </c>
      <c r="D776" t="s">
        <v>160</v>
      </c>
      <c r="E776" t="s">
        <v>1412</v>
      </c>
      <c r="F776" s="1">
        <v>46060</v>
      </c>
      <c r="G776" s="1">
        <v>46063</v>
      </c>
      <c r="H776" t="s">
        <v>904</v>
      </c>
      <c r="I776" t="s">
        <v>5</v>
      </c>
      <c r="J776" t="s">
        <v>6</v>
      </c>
      <c r="K776" t="s">
        <v>4</v>
      </c>
      <c r="L776" t="s">
        <v>1693</v>
      </c>
      <c r="M776" t="s">
        <v>1693</v>
      </c>
      <c r="N776" s="2">
        <v>4702</v>
      </c>
      <c r="O776" t="s">
        <v>1653</v>
      </c>
      <c r="P776" t="s">
        <v>9</v>
      </c>
      <c r="Q776" t="s">
        <v>86</v>
      </c>
      <c r="R776" t="e">
        <f>VLOOKUP(Q776,#REF!,2,FALSE)</f>
        <v>#REF!</v>
      </c>
      <c r="S776">
        <v>1511</v>
      </c>
      <c r="T776" t="s">
        <v>2224</v>
      </c>
      <c r="U776" t="s">
        <v>1654</v>
      </c>
      <c r="V776" s="1">
        <v>46053</v>
      </c>
      <c r="W776" s="1">
        <v>46053</v>
      </c>
      <c r="X776" t="s">
        <v>77</v>
      </c>
      <c r="Y776" t="s">
        <v>646</v>
      </c>
      <c r="Z776" t="s">
        <v>6</v>
      </c>
      <c r="AA776" t="s">
        <v>646</v>
      </c>
      <c r="AB776" s="4">
        <f t="shared" si="64"/>
        <v>156733.33333333334</v>
      </c>
      <c r="AC776" s="6">
        <v>0.04</v>
      </c>
      <c r="AD776" s="4">
        <f t="shared" si="65"/>
        <v>6269.3333333333339</v>
      </c>
      <c r="AE776" s="4">
        <f t="shared" si="62"/>
        <v>1567.3333333333339</v>
      </c>
    </row>
    <row r="777" spans="1:31" x14ac:dyDescent="0.25">
      <c r="A777" t="s">
        <v>0</v>
      </c>
      <c r="B777" s="3" t="s">
        <v>2219</v>
      </c>
      <c r="C777" t="s">
        <v>1651</v>
      </c>
      <c r="D777" t="s">
        <v>160</v>
      </c>
      <c r="E777" t="s">
        <v>1414</v>
      </c>
      <c r="F777" s="1">
        <v>46060</v>
      </c>
      <c r="G777" s="1">
        <v>46063</v>
      </c>
      <c r="H777" t="s">
        <v>904</v>
      </c>
      <c r="I777" t="s">
        <v>5</v>
      </c>
      <c r="J777" t="s">
        <v>6</v>
      </c>
      <c r="K777" t="s">
        <v>4</v>
      </c>
      <c r="L777" t="s">
        <v>1694</v>
      </c>
      <c r="M777" t="s">
        <v>1694</v>
      </c>
      <c r="N777" s="2">
        <v>530</v>
      </c>
      <c r="O777" t="s">
        <v>1653</v>
      </c>
      <c r="P777" t="s">
        <v>9</v>
      </c>
      <c r="Q777" t="s">
        <v>86</v>
      </c>
      <c r="R777" t="e">
        <f>VLOOKUP(Q777,#REF!,2,FALSE)</f>
        <v>#REF!</v>
      </c>
      <c r="S777">
        <v>1511</v>
      </c>
      <c r="T777" t="s">
        <v>2224</v>
      </c>
      <c r="U777" t="s">
        <v>1654</v>
      </c>
      <c r="V777" s="1">
        <v>46053</v>
      </c>
      <c r="W777" s="1">
        <v>46053</v>
      </c>
      <c r="X777" t="s">
        <v>77</v>
      </c>
      <c r="Y777" t="s">
        <v>646</v>
      </c>
      <c r="Z777" t="s">
        <v>6</v>
      </c>
      <c r="AA777" t="s">
        <v>646</v>
      </c>
      <c r="AB777" s="4">
        <f t="shared" si="64"/>
        <v>17666.666666666668</v>
      </c>
      <c r="AC777" s="6">
        <v>0.04</v>
      </c>
      <c r="AD777" s="4">
        <f t="shared" si="65"/>
        <v>706.66666666666674</v>
      </c>
      <c r="AE777" s="4">
        <f t="shared" si="62"/>
        <v>176.66666666666674</v>
      </c>
    </row>
    <row r="778" spans="1:31" x14ac:dyDescent="0.25">
      <c r="A778" t="s">
        <v>0</v>
      </c>
      <c r="B778" s="3" t="s">
        <v>2219</v>
      </c>
      <c r="C778" t="s">
        <v>1651</v>
      </c>
      <c r="D778" t="s">
        <v>160</v>
      </c>
      <c r="E778" t="s">
        <v>1416</v>
      </c>
      <c r="F778" s="1">
        <v>46060</v>
      </c>
      <c r="G778" s="1">
        <v>46063</v>
      </c>
      <c r="H778" t="s">
        <v>904</v>
      </c>
      <c r="I778" t="s">
        <v>5</v>
      </c>
      <c r="J778" t="s">
        <v>6</v>
      </c>
      <c r="K778" t="s">
        <v>4</v>
      </c>
      <c r="L778" t="s">
        <v>1695</v>
      </c>
      <c r="M778" t="s">
        <v>1695</v>
      </c>
      <c r="N778" s="2">
        <v>4651</v>
      </c>
      <c r="O778" t="s">
        <v>1653</v>
      </c>
      <c r="P778" t="s">
        <v>9</v>
      </c>
      <c r="Q778" t="s">
        <v>86</v>
      </c>
      <c r="R778" t="e">
        <f>VLOOKUP(Q778,#REF!,2,FALSE)</f>
        <v>#REF!</v>
      </c>
      <c r="S778">
        <v>1511</v>
      </c>
      <c r="T778" t="s">
        <v>2224</v>
      </c>
      <c r="U778" t="s">
        <v>1654</v>
      </c>
      <c r="V778" s="1">
        <v>46053</v>
      </c>
      <c r="W778" s="1">
        <v>46053</v>
      </c>
      <c r="X778" t="s">
        <v>77</v>
      </c>
      <c r="Y778" t="s">
        <v>646</v>
      </c>
      <c r="Z778" t="s">
        <v>6</v>
      </c>
      <c r="AA778" t="s">
        <v>646</v>
      </c>
      <c r="AB778" s="4">
        <f t="shared" si="64"/>
        <v>155033.33333333334</v>
      </c>
      <c r="AC778" s="6">
        <v>0.04</v>
      </c>
      <c r="AD778" s="4">
        <f t="shared" si="65"/>
        <v>6201.3333333333339</v>
      </c>
      <c r="AE778" s="4">
        <f t="shared" si="62"/>
        <v>1550.3333333333339</v>
      </c>
    </row>
    <row r="779" spans="1:31" x14ac:dyDescent="0.25">
      <c r="A779" t="s">
        <v>0</v>
      </c>
      <c r="B779" s="3" t="s">
        <v>2219</v>
      </c>
      <c r="C779" t="s">
        <v>1651</v>
      </c>
      <c r="D779" t="s">
        <v>160</v>
      </c>
      <c r="E779" t="s">
        <v>1418</v>
      </c>
      <c r="F779" s="1">
        <v>46060</v>
      </c>
      <c r="G779" s="1">
        <v>46063</v>
      </c>
      <c r="H779" t="s">
        <v>904</v>
      </c>
      <c r="I779" t="s">
        <v>5</v>
      </c>
      <c r="J779" t="s">
        <v>6</v>
      </c>
      <c r="K779" t="s">
        <v>4</v>
      </c>
      <c r="L779" t="s">
        <v>1696</v>
      </c>
      <c r="M779" t="s">
        <v>1696</v>
      </c>
      <c r="N779" s="2">
        <v>1254</v>
      </c>
      <c r="O779" t="s">
        <v>1653</v>
      </c>
      <c r="P779" t="s">
        <v>9</v>
      </c>
      <c r="Q779" t="s">
        <v>86</v>
      </c>
      <c r="R779" t="e">
        <f>VLOOKUP(Q779,#REF!,2,FALSE)</f>
        <v>#REF!</v>
      </c>
      <c r="S779">
        <v>1511</v>
      </c>
      <c r="T779" t="s">
        <v>2224</v>
      </c>
      <c r="U779" t="s">
        <v>1654</v>
      </c>
      <c r="V779" s="1">
        <v>46053</v>
      </c>
      <c r="W779" s="1">
        <v>46053</v>
      </c>
      <c r="X779" t="s">
        <v>77</v>
      </c>
      <c r="Y779" t="s">
        <v>646</v>
      </c>
      <c r="Z779" t="s">
        <v>6</v>
      </c>
      <c r="AA779" t="s">
        <v>646</v>
      </c>
      <c r="AB779" s="4">
        <f t="shared" si="64"/>
        <v>41800</v>
      </c>
      <c r="AC779" s="6">
        <v>0.04</v>
      </c>
      <c r="AD779" s="4">
        <f t="shared" si="65"/>
        <v>1672</v>
      </c>
      <c r="AE779" s="4">
        <f t="shared" si="62"/>
        <v>418</v>
      </c>
    </row>
    <row r="780" spans="1:31" x14ac:dyDescent="0.25">
      <c r="A780" t="s">
        <v>0</v>
      </c>
      <c r="B780" s="3" t="s">
        <v>2219</v>
      </c>
      <c r="C780" t="s">
        <v>1651</v>
      </c>
      <c r="D780" t="s">
        <v>160</v>
      </c>
      <c r="E780" t="s">
        <v>1420</v>
      </c>
      <c r="F780" s="1">
        <v>46060</v>
      </c>
      <c r="G780" s="1">
        <v>46063</v>
      </c>
      <c r="H780" t="s">
        <v>904</v>
      </c>
      <c r="I780" t="s">
        <v>5</v>
      </c>
      <c r="J780" t="s">
        <v>6</v>
      </c>
      <c r="K780" t="s">
        <v>4</v>
      </c>
      <c r="L780" t="s">
        <v>1697</v>
      </c>
      <c r="M780" t="s">
        <v>1697</v>
      </c>
      <c r="N780" s="2">
        <v>645</v>
      </c>
      <c r="O780" t="s">
        <v>1653</v>
      </c>
      <c r="P780" t="s">
        <v>9</v>
      </c>
      <c r="Q780" t="s">
        <v>86</v>
      </c>
      <c r="R780" t="e">
        <f>VLOOKUP(Q780,#REF!,2,FALSE)</f>
        <v>#REF!</v>
      </c>
      <c r="S780">
        <v>1511</v>
      </c>
      <c r="T780" t="s">
        <v>2224</v>
      </c>
      <c r="U780" t="s">
        <v>1654</v>
      </c>
      <c r="V780" s="1">
        <v>46053</v>
      </c>
      <c r="W780" s="1">
        <v>46053</v>
      </c>
      <c r="X780" t="s">
        <v>77</v>
      </c>
      <c r="Y780" t="s">
        <v>646</v>
      </c>
      <c r="Z780" t="s">
        <v>6</v>
      </c>
      <c r="AA780" t="s">
        <v>646</v>
      </c>
      <c r="AB780" s="4">
        <f t="shared" si="64"/>
        <v>21500</v>
      </c>
      <c r="AC780" s="6">
        <v>0.04</v>
      </c>
      <c r="AD780" s="4">
        <f t="shared" si="65"/>
        <v>860</v>
      </c>
      <c r="AE780" s="4">
        <f t="shared" si="62"/>
        <v>215</v>
      </c>
    </row>
    <row r="781" spans="1:31" x14ac:dyDescent="0.25">
      <c r="A781" t="s">
        <v>0</v>
      </c>
      <c r="B781" s="3" t="s">
        <v>2219</v>
      </c>
      <c r="C781" t="s">
        <v>1651</v>
      </c>
      <c r="D781" t="s">
        <v>160</v>
      </c>
      <c r="E781" t="s">
        <v>1422</v>
      </c>
      <c r="F781" s="1">
        <v>46060</v>
      </c>
      <c r="G781" s="1">
        <v>46063</v>
      </c>
      <c r="H781" t="s">
        <v>904</v>
      </c>
      <c r="I781" t="s">
        <v>5</v>
      </c>
      <c r="J781" t="s">
        <v>6</v>
      </c>
      <c r="K781" t="s">
        <v>4</v>
      </c>
      <c r="L781" t="s">
        <v>1698</v>
      </c>
      <c r="M781" t="s">
        <v>1698</v>
      </c>
      <c r="N781" s="2">
        <v>1743</v>
      </c>
      <c r="O781" t="s">
        <v>1653</v>
      </c>
      <c r="P781" t="s">
        <v>9</v>
      </c>
      <c r="Q781" t="s">
        <v>86</v>
      </c>
      <c r="R781" t="e">
        <f>VLOOKUP(Q781,#REF!,2,FALSE)</f>
        <v>#REF!</v>
      </c>
      <c r="S781">
        <v>1511</v>
      </c>
      <c r="T781" t="s">
        <v>2224</v>
      </c>
      <c r="U781" t="s">
        <v>1654</v>
      </c>
      <c r="V781" s="1">
        <v>46053</v>
      </c>
      <c r="W781" s="1">
        <v>46053</v>
      </c>
      <c r="X781" t="s">
        <v>77</v>
      </c>
      <c r="Y781" t="s">
        <v>646</v>
      </c>
      <c r="Z781" t="s">
        <v>6</v>
      </c>
      <c r="AA781" t="s">
        <v>646</v>
      </c>
      <c r="AB781" s="4">
        <f t="shared" si="64"/>
        <v>58100</v>
      </c>
      <c r="AC781" s="6">
        <v>0.04</v>
      </c>
      <c r="AD781" s="4">
        <f t="shared" si="65"/>
        <v>2324</v>
      </c>
      <c r="AE781" s="4">
        <f t="shared" si="62"/>
        <v>581</v>
      </c>
    </row>
    <row r="782" spans="1:31" x14ac:dyDescent="0.25">
      <c r="A782" t="s">
        <v>0</v>
      </c>
      <c r="B782" s="3" t="s">
        <v>2219</v>
      </c>
      <c r="C782" t="s">
        <v>1651</v>
      </c>
      <c r="D782" t="s">
        <v>160</v>
      </c>
      <c r="E782" t="s">
        <v>1424</v>
      </c>
      <c r="F782" s="1">
        <v>46060</v>
      </c>
      <c r="G782" s="1">
        <v>46063</v>
      </c>
      <c r="H782" t="s">
        <v>904</v>
      </c>
      <c r="I782" t="s">
        <v>5</v>
      </c>
      <c r="J782" t="s">
        <v>6</v>
      </c>
      <c r="K782" t="s">
        <v>4</v>
      </c>
      <c r="L782" t="s">
        <v>1699</v>
      </c>
      <c r="M782" t="s">
        <v>1699</v>
      </c>
      <c r="N782" s="2">
        <v>3866</v>
      </c>
      <c r="O782" t="s">
        <v>1653</v>
      </c>
      <c r="P782" t="s">
        <v>9</v>
      </c>
      <c r="Q782" t="s">
        <v>86</v>
      </c>
      <c r="R782" t="e">
        <f>VLOOKUP(Q782,#REF!,2,FALSE)</f>
        <v>#REF!</v>
      </c>
      <c r="S782">
        <v>1511</v>
      </c>
      <c r="T782" t="s">
        <v>2224</v>
      </c>
      <c r="U782" t="s">
        <v>1654</v>
      </c>
      <c r="V782" s="1">
        <v>46053</v>
      </c>
      <c r="W782" s="1">
        <v>46053</v>
      </c>
      <c r="X782" t="s">
        <v>77</v>
      </c>
      <c r="Y782" t="s">
        <v>646</v>
      </c>
      <c r="Z782" t="s">
        <v>6</v>
      </c>
      <c r="AA782" t="s">
        <v>646</v>
      </c>
      <c r="AB782" s="4">
        <f t="shared" si="64"/>
        <v>128866.66666666667</v>
      </c>
      <c r="AC782" s="6">
        <v>0.04</v>
      </c>
      <c r="AD782" s="4">
        <f t="shared" si="65"/>
        <v>5154.666666666667</v>
      </c>
      <c r="AE782" s="4">
        <f t="shared" si="62"/>
        <v>1288.666666666667</v>
      </c>
    </row>
    <row r="783" spans="1:31" x14ac:dyDescent="0.25">
      <c r="A783" t="s">
        <v>0</v>
      </c>
      <c r="B783" s="3" t="s">
        <v>2219</v>
      </c>
      <c r="C783" t="s">
        <v>1651</v>
      </c>
      <c r="D783" t="s">
        <v>160</v>
      </c>
      <c r="E783" t="s">
        <v>1426</v>
      </c>
      <c r="F783" s="1">
        <v>46060</v>
      </c>
      <c r="G783" s="1">
        <v>46063</v>
      </c>
      <c r="H783" t="s">
        <v>904</v>
      </c>
      <c r="I783" t="s">
        <v>5</v>
      </c>
      <c r="J783" t="s">
        <v>6</v>
      </c>
      <c r="K783" t="s">
        <v>4</v>
      </c>
      <c r="L783" t="s">
        <v>1700</v>
      </c>
      <c r="M783" t="s">
        <v>1700</v>
      </c>
      <c r="N783" s="2">
        <v>4331</v>
      </c>
      <c r="O783" t="s">
        <v>1653</v>
      </c>
      <c r="P783" t="s">
        <v>9</v>
      </c>
      <c r="Q783" t="s">
        <v>86</v>
      </c>
      <c r="R783" t="e">
        <f>VLOOKUP(Q783,#REF!,2,FALSE)</f>
        <v>#REF!</v>
      </c>
      <c r="S783">
        <v>1511</v>
      </c>
      <c r="T783" t="s">
        <v>2224</v>
      </c>
      <c r="U783" t="s">
        <v>1654</v>
      </c>
      <c r="V783" s="1">
        <v>46053</v>
      </c>
      <c r="W783" s="1">
        <v>46053</v>
      </c>
      <c r="X783" t="s">
        <v>77</v>
      </c>
      <c r="Y783" t="s">
        <v>646</v>
      </c>
      <c r="Z783" t="s">
        <v>6</v>
      </c>
      <c r="AA783" t="s">
        <v>646</v>
      </c>
      <c r="AB783" s="4">
        <f t="shared" si="64"/>
        <v>144366.66666666669</v>
      </c>
      <c r="AC783" s="6">
        <v>0.04</v>
      </c>
      <c r="AD783" s="4">
        <f t="shared" si="65"/>
        <v>5774.6666666666679</v>
      </c>
      <c r="AE783" s="4">
        <f t="shared" si="62"/>
        <v>1443.6666666666679</v>
      </c>
    </row>
    <row r="784" spans="1:31" x14ac:dyDescent="0.25">
      <c r="A784" t="s">
        <v>0</v>
      </c>
      <c r="B784" s="3" t="s">
        <v>2219</v>
      </c>
      <c r="C784" t="s">
        <v>1651</v>
      </c>
      <c r="D784" t="s">
        <v>160</v>
      </c>
      <c r="E784" t="s">
        <v>1428</v>
      </c>
      <c r="F784" s="1">
        <v>46060</v>
      </c>
      <c r="G784" s="1">
        <v>46063</v>
      </c>
      <c r="H784" t="s">
        <v>904</v>
      </c>
      <c r="I784" t="s">
        <v>5</v>
      </c>
      <c r="J784" t="s">
        <v>6</v>
      </c>
      <c r="K784" t="s">
        <v>4</v>
      </c>
      <c r="L784" t="s">
        <v>1701</v>
      </c>
      <c r="M784" t="s">
        <v>1701</v>
      </c>
      <c r="N784" s="2">
        <v>3657</v>
      </c>
      <c r="O784" t="s">
        <v>1653</v>
      </c>
      <c r="P784" t="s">
        <v>9</v>
      </c>
      <c r="Q784" t="s">
        <v>86</v>
      </c>
      <c r="R784" t="e">
        <f>VLOOKUP(Q784,#REF!,2,FALSE)</f>
        <v>#REF!</v>
      </c>
      <c r="S784">
        <v>1511</v>
      </c>
      <c r="T784" t="s">
        <v>2224</v>
      </c>
      <c r="U784" t="s">
        <v>1654</v>
      </c>
      <c r="V784" s="1">
        <v>46053</v>
      </c>
      <c r="W784" s="1">
        <v>46053</v>
      </c>
      <c r="X784" t="s">
        <v>77</v>
      </c>
      <c r="Y784" t="s">
        <v>646</v>
      </c>
      <c r="Z784" t="s">
        <v>6</v>
      </c>
      <c r="AA784" t="s">
        <v>646</v>
      </c>
      <c r="AB784" s="4">
        <f t="shared" si="64"/>
        <v>121900</v>
      </c>
      <c r="AC784" s="6">
        <v>0.04</v>
      </c>
      <c r="AD784" s="4">
        <f t="shared" si="65"/>
        <v>4876</v>
      </c>
      <c r="AE784" s="4">
        <f t="shared" si="62"/>
        <v>1219</v>
      </c>
    </row>
    <row r="785" spans="1:31" x14ac:dyDescent="0.25">
      <c r="A785" t="s">
        <v>0</v>
      </c>
      <c r="B785" s="3" t="s">
        <v>2219</v>
      </c>
      <c r="C785" t="s">
        <v>1651</v>
      </c>
      <c r="D785" t="s">
        <v>160</v>
      </c>
      <c r="E785" t="s">
        <v>1430</v>
      </c>
      <c r="F785" s="1">
        <v>46060</v>
      </c>
      <c r="G785" s="1">
        <v>46063</v>
      </c>
      <c r="H785" t="s">
        <v>904</v>
      </c>
      <c r="I785" t="s">
        <v>5</v>
      </c>
      <c r="J785" t="s">
        <v>6</v>
      </c>
      <c r="K785" t="s">
        <v>4</v>
      </c>
      <c r="L785" t="s">
        <v>1702</v>
      </c>
      <c r="M785" t="s">
        <v>1702</v>
      </c>
      <c r="N785" s="2">
        <v>1657</v>
      </c>
      <c r="O785" t="s">
        <v>1653</v>
      </c>
      <c r="P785" t="s">
        <v>9</v>
      </c>
      <c r="Q785" t="s">
        <v>86</v>
      </c>
      <c r="R785" t="e">
        <f>VLOOKUP(Q785,#REF!,2,FALSE)</f>
        <v>#REF!</v>
      </c>
      <c r="S785">
        <v>1511</v>
      </c>
      <c r="T785" t="s">
        <v>2224</v>
      </c>
      <c r="U785" t="s">
        <v>1654</v>
      </c>
      <c r="V785" s="1">
        <v>46053</v>
      </c>
      <c r="W785" s="1">
        <v>46053</v>
      </c>
      <c r="X785" t="s">
        <v>77</v>
      </c>
      <c r="Y785" t="s">
        <v>646</v>
      </c>
      <c r="Z785" t="s">
        <v>6</v>
      </c>
      <c r="AA785" t="s">
        <v>646</v>
      </c>
      <c r="AB785" s="4">
        <f t="shared" si="64"/>
        <v>55233.333333333336</v>
      </c>
      <c r="AC785" s="6">
        <v>0.04</v>
      </c>
      <c r="AD785" s="4">
        <f t="shared" si="65"/>
        <v>2209.3333333333335</v>
      </c>
      <c r="AE785" s="4">
        <f t="shared" si="62"/>
        <v>552.33333333333348</v>
      </c>
    </row>
    <row r="786" spans="1:31" x14ac:dyDescent="0.25">
      <c r="A786" t="s">
        <v>0</v>
      </c>
      <c r="B786" s="3" t="s">
        <v>2219</v>
      </c>
      <c r="C786" t="s">
        <v>1651</v>
      </c>
      <c r="D786" t="s">
        <v>160</v>
      </c>
      <c r="E786" t="s">
        <v>1432</v>
      </c>
      <c r="F786" s="1">
        <v>46060</v>
      </c>
      <c r="G786" s="1">
        <v>46063</v>
      </c>
      <c r="H786" t="s">
        <v>904</v>
      </c>
      <c r="I786" t="s">
        <v>5</v>
      </c>
      <c r="J786" t="s">
        <v>6</v>
      </c>
      <c r="K786" t="s">
        <v>4</v>
      </c>
      <c r="L786" t="s">
        <v>1703</v>
      </c>
      <c r="M786" t="s">
        <v>1703</v>
      </c>
      <c r="N786" s="2">
        <v>4357</v>
      </c>
      <c r="O786" t="s">
        <v>1653</v>
      </c>
      <c r="P786" t="s">
        <v>9</v>
      </c>
      <c r="Q786" t="s">
        <v>86</v>
      </c>
      <c r="R786" t="e">
        <f>VLOOKUP(Q786,#REF!,2,FALSE)</f>
        <v>#REF!</v>
      </c>
      <c r="S786">
        <v>1511</v>
      </c>
      <c r="T786" t="s">
        <v>2224</v>
      </c>
      <c r="U786" t="s">
        <v>1654</v>
      </c>
      <c r="V786" s="1">
        <v>46053</v>
      </c>
      <c r="W786" s="1">
        <v>46053</v>
      </c>
      <c r="X786" t="s">
        <v>77</v>
      </c>
      <c r="Y786" t="s">
        <v>646</v>
      </c>
      <c r="Z786" t="s">
        <v>6</v>
      </c>
      <c r="AA786" t="s">
        <v>646</v>
      </c>
      <c r="AB786" s="4">
        <f t="shared" si="64"/>
        <v>145233.33333333334</v>
      </c>
      <c r="AC786" s="6">
        <v>0.04</v>
      </c>
      <c r="AD786" s="4">
        <f t="shared" si="65"/>
        <v>5809.3333333333339</v>
      </c>
      <c r="AE786" s="4">
        <f t="shared" si="62"/>
        <v>1452.3333333333339</v>
      </c>
    </row>
    <row r="787" spans="1:31" x14ac:dyDescent="0.25">
      <c r="A787" t="s">
        <v>0</v>
      </c>
      <c r="B787" s="3" t="s">
        <v>2219</v>
      </c>
      <c r="C787" t="s">
        <v>1651</v>
      </c>
      <c r="D787" t="s">
        <v>160</v>
      </c>
      <c r="E787" t="s">
        <v>1434</v>
      </c>
      <c r="F787" s="1">
        <v>46060</v>
      </c>
      <c r="G787" s="1">
        <v>46063</v>
      </c>
      <c r="H787" t="s">
        <v>904</v>
      </c>
      <c r="I787" t="s">
        <v>5</v>
      </c>
      <c r="J787" t="s">
        <v>6</v>
      </c>
      <c r="K787" t="s">
        <v>4</v>
      </c>
      <c r="L787" t="s">
        <v>1704</v>
      </c>
      <c r="M787" t="s">
        <v>1704</v>
      </c>
      <c r="N787" s="2">
        <v>447</v>
      </c>
      <c r="O787" t="s">
        <v>1653</v>
      </c>
      <c r="P787" t="s">
        <v>9</v>
      </c>
      <c r="Q787" t="s">
        <v>86</v>
      </c>
      <c r="R787" t="e">
        <f>VLOOKUP(Q787,#REF!,2,FALSE)</f>
        <v>#REF!</v>
      </c>
      <c r="S787">
        <v>1511</v>
      </c>
      <c r="T787" t="s">
        <v>2224</v>
      </c>
      <c r="U787" t="s">
        <v>1654</v>
      </c>
      <c r="V787" s="1">
        <v>46053</v>
      </c>
      <c r="W787" s="1">
        <v>46053</v>
      </c>
      <c r="X787" t="s">
        <v>77</v>
      </c>
      <c r="Y787" t="s">
        <v>646</v>
      </c>
      <c r="Z787" t="s">
        <v>6</v>
      </c>
      <c r="AA787" t="s">
        <v>646</v>
      </c>
      <c r="AB787" s="4">
        <f t="shared" si="64"/>
        <v>14900</v>
      </c>
      <c r="AC787" s="6">
        <v>0.04</v>
      </c>
      <c r="AD787" s="4">
        <f t="shared" si="65"/>
        <v>596</v>
      </c>
      <c r="AE787" s="4">
        <f t="shared" si="62"/>
        <v>149</v>
      </c>
    </row>
    <row r="788" spans="1:31" x14ac:dyDescent="0.25">
      <c r="A788" t="s">
        <v>0</v>
      </c>
      <c r="B788" s="3" t="s">
        <v>2219</v>
      </c>
      <c r="C788" t="s">
        <v>1651</v>
      </c>
      <c r="D788" t="s">
        <v>160</v>
      </c>
      <c r="E788" t="s">
        <v>1436</v>
      </c>
      <c r="F788" s="1">
        <v>46060</v>
      </c>
      <c r="G788" s="1">
        <v>46063</v>
      </c>
      <c r="H788" t="s">
        <v>904</v>
      </c>
      <c r="I788" t="s">
        <v>5</v>
      </c>
      <c r="J788" t="s">
        <v>6</v>
      </c>
      <c r="K788" t="s">
        <v>4</v>
      </c>
      <c r="L788" t="s">
        <v>1705</v>
      </c>
      <c r="M788" t="s">
        <v>1705</v>
      </c>
      <c r="N788" s="2">
        <v>449</v>
      </c>
      <c r="O788" t="s">
        <v>1653</v>
      </c>
      <c r="P788" t="s">
        <v>9</v>
      </c>
      <c r="Q788" t="s">
        <v>86</v>
      </c>
      <c r="R788" t="e">
        <f>VLOOKUP(Q788,#REF!,2,FALSE)</f>
        <v>#REF!</v>
      </c>
      <c r="S788">
        <v>1511</v>
      </c>
      <c r="T788" t="s">
        <v>2224</v>
      </c>
      <c r="U788" t="s">
        <v>1654</v>
      </c>
      <c r="V788" s="1">
        <v>46053</v>
      </c>
      <c r="W788" s="1">
        <v>46053</v>
      </c>
      <c r="X788" t="s">
        <v>77</v>
      </c>
      <c r="Y788" t="s">
        <v>646</v>
      </c>
      <c r="Z788" t="s">
        <v>6</v>
      </c>
      <c r="AA788" t="s">
        <v>646</v>
      </c>
      <c r="AB788" s="4">
        <f t="shared" si="64"/>
        <v>14966.666666666668</v>
      </c>
      <c r="AC788" s="6">
        <v>0.04</v>
      </c>
      <c r="AD788" s="4">
        <f t="shared" si="65"/>
        <v>598.66666666666674</v>
      </c>
      <c r="AE788" s="4">
        <f t="shared" si="62"/>
        <v>149.66666666666674</v>
      </c>
    </row>
    <row r="789" spans="1:31" x14ac:dyDescent="0.25">
      <c r="A789" t="s">
        <v>0</v>
      </c>
      <c r="B789" s="3" t="s">
        <v>2219</v>
      </c>
      <c r="C789" t="s">
        <v>1651</v>
      </c>
      <c r="D789" t="s">
        <v>160</v>
      </c>
      <c r="E789" t="s">
        <v>1438</v>
      </c>
      <c r="F789" s="1">
        <v>46060</v>
      </c>
      <c r="G789" s="1">
        <v>46063</v>
      </c>
      <c r="H789" t="s">
        <v>904</v>
      </c>
      <c r="I789" t="s">
        <v>5</v>
      </c>
      <c r="J789" t="s">
        <v>6</v>
      </c>
      <c r="K789" t="s">
        <v>4</v>
      </c>
      <c r="L789" t="s">
        <v>1706</v>
      </c>
      <c r="M789" t="s">
        <v>1706</v>
      </c>
      <c r="N789" s="2">
        <v>1528</v>
      </c>
      <c r="O789" t="s">
        <v>1653</v>
      </c>
      <c r="P789" t="s">
        <v>9</v>
      </c>
      <c r="Q789" t="s">
        <v>86</v>
      </c>
      <c r="R789" t="e">
        <f>VLOOKUP(Q789,#REF!,2,FALSE)</f>
        <v>#REF!</v>
      </c>
      <c r="S789">
        <v>1511</v>
      </c>
      <c r="T789" t="s">
        <v>2224</v>
      </c>
      <c r="U789" t="s">
        <v>1654</v>
      </c>
      <c r="V789" s="1">
        <v>46053</v>
      </c>
      <c r="W789" s="1">
        <v>46053</v>
      </c>
      <c r="X789" t="s">
        <v>77</v>
      </c>
      <c r="Y789" t="s">
        <v>646</v>
      </c>
      <c r="Z789" t="s">
        <v>6</v>
      </c>
      <c r="AA789" t="s">
        <v>646</v>
      </c>
      <c r="AB789" s="4">
        <f t="shared" si="64"/>
        <v>50933.333333333336</v>
      </c>
      <c r="AC789" s="6">
        <v>0.04</v>
      </c>
      <c r="AD789" s="4">
        <f t="shared" si="65"/>
        <v>2037.3333333333335</v>
      </c>
      <c r="AE789" s="4">
        <f t="shared" si="62"/>
        <v>509.33333333333348</v>
      </c>
    </row>
    <row r="790" spans="1:31" x14ac:dyDescent="0.25">
      <c r="A790" t="s">
        <v>0</v>
      </c>
      <c r="B790" s="3" t="s">
        <v>2219</v>
      </c>
      <c r="C790" t="s">
        <v>1651</v>
      </c>
      <c r="D790" t="s">
        <v>160</v>
      </c>
      <c r="E790" t="s">
        <v>1440</v>
      </c>
      <c r="F790" s="1">
        <v>46060</v>
      </c>
      <c r="G790" s="1">
        <v>46063</v>
      </c>
      <c r="H790" t="s">
        <v>904</v>
      </c>
      <c r="I790" t="s">
        <v>5</v>
      </c>
      <c r="J790" t="s">
        <v>6</v>
      </c>
      <c r="K790" t="s">
        <v>4</v>
      </c>
      <c r="L790" t="s">
        <v>1383</v>
      </c>
      <c r="M790" t="s">
        <v>1383</v>
      </c>
      <c r="N790" s="2">
        <v>362</v>
      </c>
      <c r="O790" t="s">
        <v>1653</v>
      </c>
      <c r="P790" t="s">
        <v>9</v>
      </c>
      <c r="Q790" t="s">
        <v>86</v>
      </c>
      <c r="R790" t="e">
        <f>VLOOKUP(Q790,#REF!,2,FALSE)</f>
        <v>#REF!</v>
      </c>
      <c r="S790">
        <v>1511</v>
      </c>
      <c r="T790" t="s">
        <v>2224</v>
      </c>
      <c r="U790" t="s">
        <v>1654</v>
      </c>
      <c r="V790" s="1">
        <v>46053</v>
      </c>
      <c r="W790" s="1">
        <v>46053</v>
      </c>
      <c r="X790" t="s">
        <v>77</v>
      </c>
      <c r="Y790" t="s">
        <v>646</v>
      </c>
      <c r="Z790" t="s">
        <v>6</v>
      </c>
      <c r="AA790" t="s">
        <v>646</v>
      </c>
      <c r="AB790" s="4">
        <f t="shared" si="64"/>
        <v>12066.666666666668</v>
      </c>
      <c r="AC790" s="6">
        <v>0.04</v>
      </c>
      <c r="AD790" s="4">
        <f t="shared" si="65"/>
        <v>482.66666666666674</v>
      </c>
      <c r="AE790" s="4">
        <f t="shared" si="62"/>
        <v>120.66666666666674</v>
      </c>
    </row>
    <row r="791" spans="1:31" x14ac:dyDescent="0.25">
      <c r="A791" t="s">
        <v>0</v>
      </c>
      <c r="B791" s="3" t="s">
        <v>2219</v>
      </c>
      <c r="C791" t="s">
        <v>1651</v>
      </c>
      <c r="D791" t="s">
        <v>160</v>
      </c>
      <c r="E791" t="s">
        <v>1258</v>
      </c>
      <c r="F791" s="1">
        <v>46060</v>
      </c>
      <c r="G791" s="1">
        <v>46063</v>
      </c>
      <c r="H791" t="s">
        <v>904</v>
      </c>
      <c r="I791" t="s">
        <v>5</v>
      </c>
      <c r="J791" t="s">
        <v>6</v>
      </c>
      <c r="K791" t="s">
        <v>4</v>
      </c>
      <c r="L791" t="s">
        <v>1707</v>
      </c>
      <c r="M791" t="s">
        <v>1707</v>
      </c>
      <c r="N791" s="2">
        <v>1243</v>
      </c>
      <c r="O791" t="s">
        <v>1653</v>
      </c>
      <c r="P791" t="s">
        <v>9</v>
      </c>
      <c r="Q791" t="s">
        <v>86</v>
      </c>
      <c r="R791" t="e">
        <f>VLOOKUP(Q791,#REF!,2,FALSE)</f>
        <v>#REF!</v>
      </c>
      <c r="S791">
        <v>1511</v>
      </c>
      <c r="T791" t="s">
        <v>2224</v>
      </c>
      <c r="U791" t="s">
        <v>1654</v>
      </c>
      <c r="V791" s="1">
        <v>46053</v>
      </c>
      <c r="W791" s="1">
        <v>46053</v>
      </c>
      <c r="X791" t="s">
        <v>77</v>
      </c>
      <c r="Y791" t="s">
        <v>646</v>
      </c>
      <c r="Z791" t="s">
        <v>6</v>
      </c>
      <c r="AA791" t="s">
        <v>646</v>
      </c>
      <c r="AB791" s="4">
        <f t="shared" si="64"/>
        <v>41433.333333333336</v>
      </c>
      <c r="AC791" s="6">
        <v>0.04</v>
      </c>
      <c r="AD791" s="4">
        <f t="shared" si="65"/>
        <v>1657.3333333333335</v>
      </c>
      <c r="AE791" s="4">
        <f t="shared" si="62"/>
        <v>414.33333333333348</v>
      </c>
    </row>
    <row r="792" spans="1:31" x14ac:dyDescent="0.25">
      <c r="A792" t="s">
        <v>0</v>
      </c>
      <c r="B792" s="3" t="s">
        <v>2219</v>
      </c>
      <c r="C792" t="s">
        <v>1651</v>
      </c>
      <c r="D792" t="s">
        <v>160</v>
      </c>
      <c r="E792" t="s">
        <v>1262</v>
      </c>
      <c r="F792" s="1">
        <v>46060</v>
      </c>
      <c r="G792" s="1">
        <v>46063</v>
      </c>
      <c r="H792" t="s">
        <v>904</v>
      </c>
      <c r="I792" t="s">
        <v>5</v>
      </c>
      <c r="J792" t="s">
        <v>6</v>
      </c>
      <c r="K792" t="s">
        <v>4</v>
      </c>
      <c r="L792" t="s">
        <v>1708</v>
      </c>
      <c r="M792" t="s">
        <v>1708</v>
      </c>
      <c r="N792" s="2">
        <v>3303</v>
      </c>
      <c r="O792" t="s">
        <v>1653</v>
      </c>
      <c r="P792" t="s">
        <v>9</v>
      </c>
      <c r="Q792" t="s">
        <v>86</v>
      </c>
      <c r="R792" t="e">
        <f>VLOOKUP(Q792,#REF!,2,FALSE)</f>
        <v>#REF!</v>
      </c>
      <c r="S792">
        <v>1511</v>
      </c>
      <c r="T792" t="s">
        <v>2224</v>
      </c>
      <c r="U792" t="s">
        <v>1654</v>
      </c>
      <c r="V792" s="1">
        <v>46053</v>
      </c>
      <c r="W792" s="1">
        <v>46053</v>
      </c>
      <c r="X792" t="s">
        <v>77</v>
      </c>
      <c r="Y792" t="s">
        <v>646</v>
      </c>
      <c r="Z792" t="s">
        <v>6</v>
      </c>
      <c r="AA792" t="s">
        <v>646</v>
      </c>
      <c r="AB792" s="4">
        <f t="shared" si="64"/>
        <v>110100</v>
      </c>
      <c r="AC792" s="6">
        <v>0.04</v>
      </c>
      <c r="AD792" s="4">
        <f t="shared" si="65"/>
        <v>4404</v>
      </c>
      <c r="AE792" s="4">
        <f t="shared" si="62"/>
        <v>1101</v>
      </c>
    </row>
    <row r="793" spans="1:31" x14ac:dyDescent="0.25">
      <c r="A793" t="s">
        <v>0</v>
      </c>
      <c r="B793" s="3" t="s">
        <v>2219</v>
      </c>
      <c r="C793" t="s">
        <v>1651</v>
      </c>
      <c r="D793" t="s">
        <v>160</v>
      </c>
      <c r="E793" t="s">
        <v>1264</v>
      </c>
      <c r="F793" s="1">
        <v>46060</v>
      </c>
      <c r="G793" s="1">
        <v>46063</v>
      </c>
      <c r="H793" t="s">
        <v>904</v>
      </c>
      <c r="I793" t="s">
        <v>5</v>
      </c>
      <c r="J793" t="s">
        <v>6</v>
      </c>
      <c r="K793" t="s">
        <v>4</v>
      </c>
      <c r="L793" t="s">
        <v>1709</v>
      </c>
      <c r="M793" t="s">
        <v>1709</v>
      </c>
      <c r="N793" s="2">
        <v>2481</v>
      </c>
      <c r="O793" t="s">
        <v>1653</v>
      </c>
      <c r="P793" t="s">
        <v>9</v>
      </c>
      <c r="Q793" t="s">
        <v>86</v>
      </c>
      <c r="R793" t="e">
        <f>VLOOKUP(Q793,#REF!,2,FALSE)</f>
        <v>#REF!</v>
      </c>
      <c r="S793">
        <v>1511</v>
      </c>
      <c r="T793" t="s">
        <v>2224</v>
      </c>
      <c r="U793" t="s">
        <v>1654</v>
      </c>
      <c r="V793" s="1">
        <v>46053</v>
      </c>
      <c r="W793" s="1">
        <v>46053</v>
      </c>
      <c r="X793" t="s">
        <v>77</v>
      </c>
      <c r="Y793" t="s">
        <v>646</v>
      </c>
      <c r="Z793" t="s">
        <v>6</v>
      </c>
      <c r="AA793" t="s">
        <v>646</v>
      </c>
      <c r="AB793" s="4">
        <f t="shared" si="64"/>
        <v>82700</v>
      </c>
      <c r="AC793" s="6">
        <v>0.04</v>
      </c>
      <c r="AD793" s="4">
        <f t="shared" si="65"/>
        <v>3308</v>
      </c>
      <c r="AE793" s="4">
        <f t="shared" si="62"/>
        <v>827</v>
      </c>
    </row>
    <row r="794" spans="1:31" x14ac:dyDescent="0.25">
      <c r="A794" t="s">
        <v>0</v>
      </c>
      <c r="B794" s="3" t="s">
        <v>2219</v>
      </c>
      <c r="C794" t="s">
        <v>1651</v>
      </c>
      <c r="D794" t="s">
        <v>160</v>
      </c>
      <c r="E794" t="s">
        <v>1266</v>
      </c>
      <c r="F794" s="1">
        <v>46060</v>
      </c>
      <c r="G794" s="1">
        <v>46063</v>
      </c>
      <c r="H794" t="s">
        <v>904</v>
      </c>
      <c r="I794" t="s">
        <v>5</v>
      </c>
      <c r="J794" t="s">
        <v>6</v>
      </c>
      <c r="K794" t="s">
        <v>4</v>
      </c>
      <c r="L794" t="s">
        <v>1710</v>
      </c>
      <c r="M794" t="s">
        <v>1710</v>
      </c>
      <c r="N794" s="2">
        <v>163</v>
      </c>
      <c r="O794" t="s">
        <v>1653</v>
      </c>
      <c r="P794" t="s">
        <v>9</v>
      </c>
      <c r="Q794" t="s">
        <v>86</v>
      </c>
      <c r="R794" t="e">
        <f>VLOOKUP(Q794,#REF!,2,FALSE)</f>
        <v>#REF!</v>
      </c>
      <c r="S794">
        <v>1511</v>
      </c>
      <c r="T794" t="s">
        <v>2224</v>
      </c>
      <c r="U794" t="s">
        <v>1654</v>
      </c>
      <c r="V794" s="1">
        <v>46053</v>
      </c>
      <c r="W794" s="1">
        <v>46053</v>
      </c>
      <c r="X794" t="s">
        <v>77</v>
      </c>
      <c r="Y794" t="s">
        <v>646</v>
      </c>
      <c r="Z794" t="s">
        <v>6</v>
      </c>
      <c r="AA794" t="s">
        <v>646</v>
      </c>
      <c r="AB794" s="4">
        <f t="shared" si="64"/>
        <v>5433.3333333333339</v>
      </c>
      <c r="AC794" s="6">
        <v>0.04</v>
      </c>
      <c r="AD794" s="4">
        <f t="shared" si="65"/>
        <v>217.33333333333337</v>
      </c>
      <c r="AE794" s="4">
        <f t="shared" si="62"/>
        <v>54.333333333333371</v>
      </c>
    </row>
    <row r="795" spans="1:31" x14ac:dyDescent="0.25">
      <c r="A795" t="s">
        <v>0</v>
      </c>
      <c r="B795" s="3" t="s">
        <v>2219</v>
      </c>
      <c r="C795" t="s">
        <v>1651</v>
      </c>
      <c r="D795" t="s">
        <v>160</v>
      </c>
      <c r="E795" t="s">
        <v>1268</v>
      </c>
      <c r="F795" s="1">
        <v>46060</v>
      </c>
      <c r="G795" s="1">
        <v>46063</v>
      </c>
      <c r="H795" t="s">
        <v>904</v>
      </c>
      <c r="I795" t="s">
        <v>5</v>
      </c>
      <c r="J795" t="s">
        <v>6</v>
      </c>
      <c r="K795" t="s">
        <v>4</v>
      </c>
      <c r="L795" t="s">
        <v>1711</v>
      </c>
      <c r="M795" t="s">
        <v>1711</v>
      </c>
      <c r="N795" s="2">
        <v>3638</v>
      </c>
      <c r="O795" t="s">
        <v>1653</v>
      </c>
      <c r="P795" t="s">
        <v>9</v>
      </c>
      <c r="Q795" t="s">
        <v>86</v>
      </c>
      <c r="R795" t="e">
        <f>VLOOKUP(Q795,#REF!,2,FALSE)</f>
        <v>#REF!</v>
      </c>
      <c r="S795">
        <v>1511</v>
      </c>
      <c r="T795" t="s">
        <v>2224</v>
      </c>
      <c r="U795" t="s">
        <v>1654</v>
      </c>
      <c r="V795" s="1">
        <v>46053</v>
      </c>
      <c r="W795" s="1">
        <v>46053</v>
      </c>
      <c r="X795" t="s">
        <v>77</v>
      </c>
      <c r="Y795" t="s">
        <v>646</v>
      </c>
      <c r="Z795" t="s">
        <v>6</v>
      </c>
      <c r="AA795" t="s">
        <v>646</v>
      </c>
      <c r="AB795" s="4">
        <f t="shared" si="64"/>
        <v>121266.66666666667</v>
      </c>
      <c r="AC795" s="6">
        <v>0.04</v>
      </c>
      <c r="AD795" s="4">
        <f t="shared" si="65"/>
        <v>4850.666666666667</v>
      </c>
      <c r="AE795" s="4">
        <f t="shared" si="62"/>
        <v>1212.666666666667</v>
      </c>
    </row>
    <row r="796" spans="1:31" x14ac:dyDescent="0.25">
      <c r="A796" t="s">
        <v>0</v>
      </c>
      <c r="B796" s="3" t="s">
        <v>2219</v>
      </c>
      <c r="C796" t="s">
        <v>1651</v>
      </c>
      <c r="D796" t="s">
        <v>160</v>
      </c>
      <c r="E796" t="s">
        <v>1270</v>
      </c>
      <c r="F796" s="1">
        <v>46060</v>
      </c>
      <c r="G796" s="1">
        <v>46063</v>
      </c>
      <c r="H796" t="s">
        <v>904</v>
      </c>
      <c r="I796" t="s">
        <v>5</v>
      </c>
      <c r="J796" t="s">
        <v>6</v>
      </c>
      <c r="K796" t="s">
        <v>4</v>
      </c>
      <c r="L796" t="s">
        <v>1712</v>
      </c>
      <c r="M796" t="s">
        <v>1712</v>
      </c>
      <c r="N796" s="2">
        <v>641</v>
      </c>
      <c r="O796" t="s">
        <v>1653</v>
      </c>
      <c r="P796" t="s">
        <v>9</v>
      </c>
      <c r="Q796" t="s">
        <v>86</v>
      </c>
      <c r="R796" t="e">
        <f>VLOOKUP(Q796,#REF!,2,FALSE)</f>
        <v>#REF!</v>
      </c>
      <c r="S796">
        <v>1511</v>
      </c>
      <c r="T796" t="s">
        <v>2224</v>
      </c>
      <c r="U796" t="s">
        <v>1654</v>
      </c>
      <c r="V796" s="1">
        <v>46053</v>
      </c>
      <c r="W796" s="1">
        <v>46053</v>
      </c>
      <c r="X796" t="s">
        <v>77</v>
      </c>
      <c r="Y796" t="s">
        <v>646</v>
      </c>
      <c r="Z796" t="s">
        <v>6</v>
      </c>
      <c r="AA796" t="s">
        <v>646</v>
      </c>
      <c r="AB796" s="4">
        <f t="shared" si="64"/>
        <v>21366.666666666668</v>
      </c>
      <c r="AC796" s="6">
        <v>0.04</v>
      </c>
      <c r="AD796" s="4">
        <f t="shared" si="65"/>
        <v>854.66666666666674</v>
      </c>
      <c r="AE796" s="4">
        <f t="shared" si="62"/>
        <v>213.66666666666674</v>
      </c>
    </row>
    <row r="797" spans="1:31" x14ac:dyDescent="0.25">
      <c r="A797" t="s">
        <v>0</v>
      </c>
      <c r="B797" s="3" t="s">
        <v>2219</v>
      </c>
      <c r="C797" t="s">
        <v>1651</v>
      </c>
      <c r="D797" t="s">
        <v>160</v>
      </c>
      <c r="E797" t="s">
        <v>1272</v>
      </c>
      <c r="F797" s="1">
        <v>46060</v>
      </c>
      <c r="G797" s="1">
        <v>46063</v>
      </c>
      <c r="H797" t="s">
        <v>904</v>
      </c>
      <c r="I797" t="s">
        <v>5</v>
      </c>
      <c r="J797" t="s">
        <v>6</v>
      </c>
      <c r="K797" t="s">
        <v>4</v>
      </c>
      <c r="L797" t="s">
        <v>1713</v>
      </c>
      <c r="M797" t="s">
        <v>1713</v>
      </c>
      <c r="N797" s="2">
        <v>816</v>
      </c>
      <c r="O797" t="s">
        <v>1653</v>
      </c>
      <c r="P797" t="s">
        <v>9</v>
      </c>
      <c r="Q797" t="s">
        <v>86</v>
      </c>
      <c r="R797" t="e">
        <f>VLOOKUP(Q797,#REF!,2,FALSE)</f>
        <v>#REF!</v>
      </c>
      <c r="S797">
        <v>1511</v>
      </c>
      <c r="T797" t="s">
        <v>2224</v>
      </c>
      <c r="U797" t="s">
        <v>1654</v>
      </c>
      <c r="V797" s="1">
        <v>46053</v>
      </c>
      <c r="W797" s="1">
        <v>46053</v>
      </c>
      <c r="X797" t="s">
        <v>77</v>
      </c>
      <c r="Y797" t="s">
        <v>646</v>
      </c>
      <c r="Z797" t="s">
        <v>6</v>
      </c>
      <c r="AA797" t="s">
        <v>646</v>
      </c>
      <c r="AB797" s="4">
        <f t="shared" si="64"/>
        <v>27200</v>
      </c>
      <c r="AC797" s="6">
        <v>0.04</v>
      </c>
      <c r="AD797" s="4">
        <f t="shared" si="65"/>
        <v>1088</v>
      </c>
      <c r="AE797" s="4">
        <f t="shared" si="62"/>
        <v>272</v>
      </c>
    </row>
    <row r="798" spans="1:31" x14ac:dyDescent="0.25">
      <c r="A798" t="s">
        <v>0</v>
      </c>
      <c r="B798" s="3" t="s">
        <v>2219</v>
      </c>
      <c r="C798" t="s">
        <v>1651</v>
      </c>
      <c r="D798" t="s">
        <v>160</v>
      </c>
      <c r="E798" t="s">
        <v>1274</v>
      </c>
      <c r="F798" s="1">
        <v>46060</v>
      </c>
      <c r="G798" s="1">
        <v>46063</v>
      </c>
      <c r="H798" t="s">
        <v>904</v>
      </c>
      <c r="I798" t="s">
        <v>5</v>
      </c>
      <c r="J798" t="s">
        <v>6</v>
      </c>
      <c r="K798" t="s">
        <v>4</v>
      </c>
      <c r="L798" t="s">
        <v>1714</v>
      </c>
      <c r="M798" t="s">
        <v>1714</v>
      </c>
      <c r="N798" s="2">
        <v>329</v>
      </c>
      <c r="O798" t="s">
        <v>1653</v>
      </c>
      <c r="P798" t="s">
        <v>9</v>
      </c>
      <c r="Q798" t="s">
        <v>86</v>
      </c>
      <c r="R798" t="e">
        <f>VLOOKUP(Q798,#REF!,2,FALSE)</f>
        <v>#REF!</v>
      </c>
      <c r="S798">
        <v>1511</v>
      </c>
      <c r="T798" t="s">
        <v>2224</v>
      </c>
      <c r="U798" t="s">
        <v>1654</v>
      </c>
      <c r="V798" s="1">
        <v>46053</v>
      </c>
      <c r="W798" s="1">
        <v>46053</v>
      </c>
      <c r="X798" t="s">
        <v>77</v>
      </c>
      <c r="Y798" t="s">
        <v>646</v>
      </c>
      <c r="Z798" t="s">
        <v>6</v>
      </c>
      <c r="AA798" t="s">
        <v>646</v>
      </c>
      <c r="AB798" s="4">
        <f t="shared" si="64"/>
        <v>10966.666666666668</v>
      </c>
      <c r="AC798" s="6">
        <v>0.04</v>
      </c>
      <c r="AD798" s="4">
        <f t="shared" si="65"/>
        <v>438.66666666666674</v>
      </c>
      <c r="AE798" s="4">
        <f t="shared" si="62"/>
        <v>109.66666666666674</v>
      </c>
    </row>
    <row r="799" spans="1:31" x14ac:dyDescent="0.25">
      <c r="A799" t="s">
        <v>0</v>
      </c>
      <c r="B799" s="3" t="s">
        <v>2219</v>
      </c>
      <c r="C799" t="s">
        <v>1651</v>
      </c>
      <c r="D799" t="s">
        <v>160</v>
      </c>
      <c r="E799" t="s">
        <v>1276</v>
      </c>
      <c r="F799" s="1">
        <v>46060</v>
      </c>
      <c r="G799" s="1">
        <v>46063</v>
      </c>
      <c r="H799" t="s">
        <v>904</v>
      </c>
      <c r="I799" t="s">
        <v>5</v>
      </c>
      <c r="J799" t="s">
        <v>6</v>
      </c>
      <c r="K799" t="s">
        <v>4</v>
      </c>
      <c r="L799" t="s">
        <v>1705</v>
      </c>
      <c r="M799" t="s">
        <v>1705</v>
      </c>
      <c r="N799" s="2">
        <v>449</v>
      </c>
      <c r="O799" t="s">
        <v>1653</v>
      </c>
      <c r="P799" t="s">
        <v>9</v>
      </c>
      <c r="Q799" t="s">
        <v>86</v>
      </c>
      <c r="R799" t="e">
        <f>VLOOKUP(Q799,#REF!,2,FALSE)</f>
        <v>#REF!</v>
      </c>
      <c r="S799">
        <v>1511</v>
      </c>
      <c r="T799" t="s">
        <v>2224</v>
      </c>
      <c r="U799" t="s">
        <v>1654</v>
      </c>
      <c r="V799" s="1">
        <v>46053</v>
      </c>
      <c r="W799" s="1">
        <v>46053</v>
      </c>
      <c r="X799" t="s">
        <v>77</v>
      </c>
      <c r="Y799" t="s">
        <v>646</v>
      </c>
      <c r="Z799" t="s">
        <v>6</v>
      </c>
      <c r="AA799" t="s">
        <v>646</v>
      </c>
      <c r="AB799" s="4">
        <f t="shared" si="64"/>
        <v>14966.666666666668</v>
      </c>
      <c r="AC799" s="6">
        <v>0.04</v>
      </c>
      <c r="AD799" s="4">
        <f t="shared" si="65"/>
        <v>598.66666666666674</v>
      </c>
      <c r="AE799" s="4">
        <f t="shared" si="62"/>
        <v>149.66666666666674</v>
      </c>
    </row>
    <row r="800" spans="1:31" x14ac:dyDescent="0.25">
      <c r="A800" t="s">
        <v>0</v>
      </c>
      <c r="B800" s="3" t="s">
        <v>2219</v>
      </c>
      <c r="C800" t="s">
        <v>1651</v>
      </c>
      <c r="D800" t="s">
        <v>160</v>
      </c>
      <c r="E800" t="s">
        <v>1278</v>
      </c>
      <c r="F800" s="1">
        <v>46060</v>
      </c>
      <c r="G800" s="1">
        <v>46063</v>
      </c>
      <c r="H800" t="s">
        <v>904</v>
      </c>
      <c r="I800" t="s">
        <v>5</v>
      </c>
      <c r="J800" t="s">
        <v>6</v>
      </c>
      <c r="K800" t="s">
        <v>4</v>
      </c>
      <c r="L800" t="s">
        <v>1715</v>
      </c>
      <c r="M800" t="s">
        <v>1715</v>
      </c>
      <c r="N800" s="2">
        <v>612</v>
      </c>
      <c r="O800" t="s">
        <v>1653</v>
      </c>
      <c r="P800" t="s">
        <v>9</v>
      </c>
      <c r="Q800" t="s">
        <v>86</v>
      </c>
      <c r="R800" t="e">
        <f>VLOOKUP(Q800,#REF!,2,FALSE)</f>
        <v>#REF!</v>
      </c>
      <c r="S800">
        <v>1511</v>
      </c>
      <c r="T800" t="s">
        <v>2224</v>
      </c>
      <c r="U800" t="s">
        <v>1654</v>
      </c>
      <c r="V800" s="1">
        <v>46053</v>
      </c>
      <c r="W800" s="1">
        <v>46053</v>
      </c>
      <c r="X800" t="s">
        <v>77</v>
      </c>
      <c r="Y800" t="s">
        <v>646</v>
      </c>
      <c r="Z800" t="s">
        <v>6</v>
      </c>
      <c r="AA800" t="s">
        <v>646</v>
      </c>
      <c r="AB800" s="4">
        <f t="shared" si="64"/>
        <v>20400</v>
      </c>
      <c r="AC800" s="6">
        <v>0.04</v>
      </c>
      <c r="AD800" s="4">
        <f t="shared" si="65"/>
        <v>816</v>
      </c>
      <c r="AE800" s="4">
        <f t="shared" si="62"/>
        <v>204</v>
      </c>
    </row>
    <row r="801" spans="1:31" x14ac:dyDescent="0.25">
      <c r="A801" t="s">
        <v>0</v>
      </c>
      <c r="B801" s="3" t="s">
        <v>2219</v>
      </c>
      <c r="C801" t="s">
        <v>1651</v>
      </c>
      <c r="D801" t="s">
        <v>160</v>
      </c>
      <c r="E801" t="s">
        <v>1280</v>
      </c>
      <c r="F801" s="1">
        <v>46060</v>
      </c>
      <c r="G801" s="1">
        <v>46063</v>
      </c>
      <c r="H801" t="s">
        <v>904</v>
      </c>
      <c r="I801" t="s">
        <v>5</v>
      </c>
      <c r="J801" t="s">
        <v>6</v>
      </c>
      <c r="K801" t="s">
        <v>4</v>
      </c>
      <c r="L801" t="s">
        <v>1716</v>
      </c>
      <c r="M801" t="s">
        <v>1716</v>
      </c>
      <c r="N801" s="2">
        <v>4835</v>
      </c>
      <c r="O801" t="s">
        <v>1653</v>
      </c>
      <c r="P801" t="s">
        <v>9</v>
      </c>
      <c r="Q801" t="s">
        <v>86</v>
      </c>
      <c r="R801" t="e">
        <f>VLOOKUP(Q801,#REF!,2,FALSE)</f>
        <v>#REF!</v>
      </c>
      <c r="S801">
        <v>1511</v>
      </c>
      <c r="T801" t="s">
        <v>2224</v>
      </c>
      <c r="U801" t="s">
        <v>1654</v>
      </c>
      <c r="V801" s="1">
        <v>46053</v>
      </c>
      <c r="W801" s="1">
        <v>46053</v>
      </c>
      <c r="X801" t="s">
        <v>77</v>
      </c>
      <c r="Y801" t="s">
        <v>646</v>
      </c>
      <c r="Z801" t="s">
        <v>6</v>
      </c>
      <c r="AA801" t="s">
        <v>646</v>
      </c>
      <c r="AB801" s="4">
        <f t="shared" si="64"/>
        <v>161166.66666666669</v>
      </c>
      <c r="AC801" s="6">
        <v>0.04</v>
      </c>
      <c r="AD801" s="4">
        <f t="shared" si="65"/>
        <v>6446.6666666666679</v>
      </c>
      <c r="AE801" s="4">
        <f t="shared" si="62"/>
        <v>1611.6666666666679</v>
      </c>
    </row>
    <row r="802" spans="1:31" x14ac:dyDescent="0.25">
      <c r="A802" t="s">
        <v>0</v>
      </c>
      <c r="B802" s="3" t="s">
        <v>2219</v>
      </c>
      <c r="C802" t="s">
        <v>1651</v>
      </c>
      <c r="D802" t="s">
        <v>160</v>
      </c>
      <c r="E802" t="s">
        <v>1282</v>
      </c>
      <c r="F802" s="1">
        <v>46060</v>
      </c>
      <c r="G802" s="1">
        <v>46063</v>
      </c>
      <c r="H802" t="s">
        <v>904</v>
      </c>
      <c r="I802" t="s">
        <v>5</v>
      </c>
      <c r="J802" t="s">
        <v>6</v>
      </c>
      <c r="K802" t="s">
        <v>4</v>
      </c>
      <c r="L802" t="s">
        <v>1717</v>
      </c>
      <c r="M802" t="s">
        <v>1717</v>
      </c>
      <c r="N802" s="2">
        <v>1100</v>
      </c>
      <c r="O802" t="s">
        <v>1653</v>
      </c>
      <c r="P802" t="s">
        <v>9</v>
      </c>
      <c r="Q802" t="s">
        <v>86</v>
      </c>
      <c r="R802" t="e">
        <f>VLOOKUP(Q802,#REF!,2,FALSE)</f>
        <v>#REF!</v>
      </c>
      <c r="S802">
        <v>1511</v>
      </c>
      <c r="T802" t="s">
        <v>2224</v>
      </c>
      <c r="U802" t="s">
        <v>1654</v>
      </c>
      <c r="V802" s="1">
        <v>46053</v>
      </c>
      <c r="W802" s="1">
        <v>46053</v>
      </c>
      <c r="X802" t="s">
        <v>77</v>
      </c>
      <c r="Y802" t="s">
        <v>646</v>
      </c>
      <c r="Z802" t="s">
        <v>6</v>
      </c>
      <c r="AA802" t="s">
        <v>646</v>
      </c>
      <c r="AB802" s="4">
        <f t="shared" si="64"/>
        <v>36666.666666666672</v>
      </c>
      <c r="AC802" s="6">
        <v>0.04</v>
      </c>
      <c r="AD802" s="4">
        <f t="shared" si="65"/>
        <v>1466.666666666667</v>
      </c>
      <c r="AE802" s="4">
        <f t="shared" si="62"/>
        <v>366.66666666666697</v>
      </c>
    </row>
    <row r="803" spans="1:31" x14ac:dyDescent="0.25">
      <c r="A803" t="s">
        <v>0</v>
      </c>
      <c r="B803" s="3" t="s">
        <v>2219</v>
      </c>
      <c r="C803" t="s">
        <v>1718</v>
      </c>
      <c r="D803" t="s">
        <v>160</v>
      </c>
      <c r="E803" t="s">
        <v>671</v>
      </c>
      <c r="F803" s="1">
        <v>46060</v>
      </c>
      <c r="G803" s="1">
        <v>46063</v>
      </c>
      <c r="H803" t="s">
        <v>882</v>
      </c>
      <c r="I803" t="s">
        <v>5</v>
      </c>
      <c r="J803" t="s">
        <v>6</v>
      </c>
      <c r="K803" t="s">
        <v>4</v>
      </c>
      <c r="L803" t="s">
        <v>1719</v>
      </c>
      <c r="M803" t="s">
        <v>1719</v>
      </c>
      <c r="N803" s="2">
        <v>26834</v>
      </c>
      <c r="O803" t="s">
        <v>1720</v>
      </c>
      <c r="P803" t="s">
        <v>9</v>
      </c>
      <c r="Q803" t="s">
        <v>75</v>
      </c>
      <c r="R803" t="e">
        <f>VLOOKUP(Q803,#REF!,2,FALSE)</f>
        <v>#REF!</v>
      </c>
      <c r="S803">
        <v>1004</v>
      </c>
      <c r="T803" t="s">
        <v>2225</v>
      </c>
      <c r="U803" t="s">
        <v>1721</v>
      </c>
      <c r="V803" s="1">
        <v>46053</v>
      </c>
      <c r="W803" s="1">
        <v>46053</v>
      </c>
      <c r="X803" t="s">
        <v>77</v>
      </c>
      <c r="Y803" t="s">
        <v>646</v>
      </c>
      <c r="Z803" t="s">
        <v>6</v>
      </c>
      <c r="AA803" t="s">
        <v>646</v>
      </c>
      <c r="AB803" s="4">
        <f>L803/0.1</f>
        <v>268340</v>
      </c>
      <c r="AC803" s="5" t="s">
        <v>2215</v>
      </c>
      <c r="AD803" s="4">
        <f t="shared" ref="AD803:AD804" si="66">AB803/12</f>
        <v>22361.666666666668</v>
      </c>
      <c r="AE803" s="4">
        <f t="shared" si="62"/>
        <v>-4472.3333333333321</v>
      </c>
    </row>
    <row r="804" spans="1:31" x14ac:dyDescent="0.25">
      <c r="A804" t="s">
        <v>0</v>
      </c>
      <c r="B804" s="3" t="s">
        <v>2219</v>
      </c>
      <c r="C804" t="s">
        <v>1718</v>
      </c>
      <c r="D804" t="s">
        <v>160</v>
      </c>
      <c r="E804" t="s">
        <v>542</v>
      </c>
      <c r="F804" s="1">
        <v>46060</v>
      </c>
      <c r="G804" s="1">
        <v>46063</v>
      </c>
      <c r="H804" t="s">
        <v>882</v>
      </c>
      <c r="I804" t="s">
        <v>5</v>
      </c>
      <c r="J804" t="s">
        <v>6</v>
      </c>
      <c r="K804" t="s">
        <v>4</v>
      </c>
      <c r="L804" t="s">
        <v>1722</v>
      </c>
      <c r="M804" t="s">
        <v>1722</v>
      </c>
      <c r="N804" s="2">
        <v>121797</v>
      </c>
      <c r="O804" t="s">
        <v>1720</v>
      </c>
      <c r="P804" t="s">
        <v>9</v>
      </c>
      <c r="Q804" t="s">
        <v>75</v>
      </c>
      <c r="R804" t="e">
        <f>VLOOKUP(Q804,#REF!,2,FALSE)</f>
        <v>#REF!</v>
      </c>
      <c r="S804">
        <v>1004</v>
      </c>
      <c r="T804" t="s">
        <v>2225</v>
      </c>
      <c r="U804" t="s">
        <v>1721</v>
      </c>
      <c r="V804" s="1">
        <v>46053</v>
      </c>
      <c r="W804" s="1">
        <v>46053</v>
      </c>
      <c r="X804" t="s">
        <v>77</v>
      </c>
      <c r="Y804" t="s">
        <v>646</v>
      </c>
      <c r="Z804" t="s">
        <v>6</v>
      </c>
      <c r="AA804" t="s">
        <v>646</v>
      </c>
      <c r="AB804" s="4">
        <f>L804/0.1</f>
        <v>1217970</v>
      </c>
      <c r="AC804" s="5" t="s">
        <v>2215</v>
      </c>
      <c r="AD804" s="4">
        <f t="shared" si="66"/>
        <v>101497.5</v>
      </c>
      <c r="AE804" s="4">
        <f t="shared" si="62"/>
        <v>-20299.5</v>
      </c>
    </row>
    <row r="805" spans="1:31" x14ac:dyDescent="0.25">
      <c r="A805" t="s">
        <v>0</v>
      </c>
      <c r="B805" s="3" t="s">
        <v>2219</v>
      </c>
      <c r="C805" t="s">
        <v>1718</v>
      </c>
      <c r="D805" t="s">
        <v>160</v>
      </c>
      <c r="E805" t="s">
        <v>546</v>
      </c>
      <c r="F805" s="1">
        <v>46060</v>
      </c>
      <c r="G805" s="1">
        <v>46063</v>
      </c>
      <c r="H805" t="s">
        <v>901</v>
      </c>
      <c r="I805" t="s">
        <v>5</v>
      </c>
      <c r="J805" t="s">
        <v>6</v>
      </c>
      <c r="K805" t="s">
        <v>4</v>
      </c>
      <c r="L805" t="s">
        <v>1723</v>
      </c>
      <c r="M805" t="s">
        <v>1723</v>
      </c>
      <c r="N805" s="2">
        <v>18813</v>
      </c>
      <c r="O805" t="s">
        <v>1720</v>
      </c>
      <c r="P805" t="s">
        <v>9</v>
      </c>
      <c r="Q805" t="s">
        <v>82</v>
      </c>
      <c r="R805" t="e">
        <f>VLOOKUP(Q805,#REF!,2,FALSE)</f>
        <v>#REF!</v>
      </c>
      <c r="S805">
        <v>1004</v>
      </c>
      <c r="T805" t="s">
        <v>2225</v>
      </c>
      <c r="U805" t="s">
        <v>1721</v>
      </c>
      <c r="V805" s="1">
        <v>46053</v>
      </c>
      <c r="W805" s="1">
        <v>46053</v>
      </c>
      <c r="X805" t="s">
        <v>77</v>
      </c>
      <c r="Y805" t="s">
        <v>646</v>
      </c>
      <c r="Z805" t="s">
        <v>6</v>
      </c>
      <c r="AA805" t="s">
        <v>646</v>
      </c>
      <c r="AB805" s="4">
        <f t="shared" ref="AB805:AB833" si="67">L805/0.08</f>
        <v>235162.5</v>
      </c>
      <c r="AC805" s="6">
        <v>0.1</v>
      </c>
      <c r="AD805" s="4">
        <f t="shared" ref="AD805:AD833" si="68">AB805*AC805</f>
        <v>23516.25</v>
      </c>
      <c r="AE805" s="4">
        <f t="shared" si="62"/>
        <v>4703.25</v>
      </c>
    </row>
    <row r="806" spans="1:31" x14ac:dyDescent="0.25">
      <c r="A806" t="s">
        <v>0</v>
      </c>
      <c r="B806" s="3" t="s">
        <v>2219</v>
      </c>
      <c r="C806" t="s">
        <v>1718</v>
      </c>
      <c r="D806" t="s">
        <v>160</v>
      </c>
      <c r="E806" t="s">
        <v>548</v>
      </c>
      <c r="F806" s="1">
        <v>46060</v>
      </c>
      <c r="G806" s="1">
        <v>46063</v>
      </c>
      <c r="H806" t="s">
        <v>901</v>
      </c>
      <c r="I806" t="s">
        <v>5</v>
      </c>
      <c r="J806" t="s">
        <v>6</v>
      </c>
      <c r="K806" t="s">
        <v>4</v>
      </c>
      <c r="L806" t="s">
        <v>1724</v>
      </c>
      <c r="M806" t="s">
        <v>1724</v>
      </c>
      <c r="N806" s="2">
        <v>11495</v>
      </c>
      <c r="O806" t="s">
        <v>1720</v>
      </c>
      <c r="P806" t="s">
        <v>9</v>
      </c>
      <c r="Q806" t="s">
        <v>82</v>
      </c>
      <c r="R806" t="e">
        <f>VLOOKUP(Q806,#REF!,2,FALSE)</f>
        <v>#REF!</v>
      </c>
      <c r="S806">
        <v>1004</v>
      </c>
      <c r="T806" t="s">
        <v>2225</v>
      </c>
      <c r="U806" t="s">
        <v>1721</v>
      </c>
      <c r="V806" s="1">
        <v>46053</v>
      </c>
      <c r="W806" s="1">
        <v>46053</v>
      </c>
      <c r="X806" t="s">
        <v>77</v>
      </c>
      <c r="Y806" t="s">
        <v>646</v>
      </c>
      <c r="Z806" t="s">
        <v>6</v>
      </c>
      <c r="AA806" t="s">
        <v>646</v>
      </c>
      <c r="AB806" s="4">
        <f t="shared" si="67"/>
        <v>143687.5</v>
      </c>
      <c r="AC806" s="6">
        <v>0.1</v>
      </c>
      <c r="AD806" s="4">
        <f t="shared" si="68"/>
        <v>14368.75</v>
      </c>
      <c r="AE806" s="4">
        <f t="shared" si="62"/>
        <v>2873.75</v>
      </c>
    </row>
    <row r="807" spans="1:31" x14ac:dyDescent="0.25">
      <c r="A807" t="s">
        <v>0</v>
      </c>
      <c r="B807" s="3" t="s">
        <v>2219</v>
      </c>
      <c r="C807" t="s">
        <v>1718</v>
      </c>
      <c r="D807" t="s">
        <v>160</v>
      </c>
      <c r="E807" t="s">
        <v>1316</v>
      </c>
      <c r="F807" s="1">
        <v>46060</v>
      </c>
      <c r="G807" s="1">
        <v>46063</v>
      </c>
      <c r="H807" t="s">
        <v>901</v>
      </c>
      <c r="I807" t="s">
        <v>5</v>
      </c>
      <c r="J807" t="s">
        <v>6</v>
      </c>
      <c r="K807" t="s">
        <v>4</v>
      </c>
      <c r="L807" t="s">
        <v>1725</v>
      </c>
      <c r="M807" t="s">
        <v>1725</v>
      </c>
      <c r="N807" s="2">
        <v>14350</v>
      </c>
      <c r="O807" t="s">
        <v>1720</v>
      </c>
      <c r="P807" t="s">
        <v>9</v>
      </c>
      <c r="Q807" t="s">
        <v>82</v>
      </c>
      <c r="R807" t="e">
        <f>VLOOKUP(Q807,#REF!,2,FALSE)</f>
        <v>#REF!</v>
      </c>
      <c r="S807">
        <v>1004</v>
      </c>
      <c r="T807" t="s">
        <v>2225</v>
      </c>
      <c r="U807" t="s">
        <v>1721</v>
      </c>
      <c r="V807" s="1">
        <v>46053</v>
      </c>
      <c r="W807" s="1">
        <v>46053</v>
      </c>
      <c r="X807" t="s">
        <v>77</v>
      </c>
      <c r="Y807" t="s">
        <v>646</v>
      </c>
      <c r="Z807" t="s">
        <v>6</v>
      </c>
      <c r="AA807" t="s">
        <v>646</v>
      </c>
      <c r="AB807" s="4">
        <f t="shared" si="67"/>
        <v>179375</v>
      </c>
      <c r="AC807" s="6">
        <v>0.1</v>
      </c>
      <c r="AD807" s="4">
        <f t="shared" si="68"/>
        <v>17937.5</v>
      </c>
      <c r="AE807" s="4">
        <f t="shared" si="62"/>
        <v>3587.5</v>
      </c>
    </row>
    <row r="808" spans="1:31" x14ac:dyDescent="0.25">
      <c r="A808" t="s">
        <v>0</v>
      </c>
      <c r="B808" s="3" t="s">
        <v>2219</v>
      </c>
      <c r="C808" t="s">
        <v>1718</v>
      </c>
      <c r="D808" t="s">
        <v>160</v>
      </c>
      <c r="E808" t="s">
        <v>1318</v>
      </c>
      <c r="F808" s="1">
        <v>46060</v>
      </c>
      <c r="G808" s="1">
        <v>46063</v>
      </c>
      <c r="H808" t="s">
        <v>901</v>
      </c>
      <c r="I808" t="s">
        <v>5</v>
      </c>
      <c r="J808" t="s">
        <v>6</v>
      </c>
      <c r="K808" t="s">
        <v>4</v>
      </c>
      <c r="L808" t="s">
        <v>1726</v>
      </c>
      <c r="M808" t="s">
        <v>1726</v>
      </c>
      <c r="N808" s="2">
        <v>55182</v>
      </c>
      <c r="O808" t="s">
        <v>1720</v>
      </c>
      <c r="P808" t="s">
        <v>9</v>
      </c>
      <c r="Q808" t="s">
        <v>82</v>
      </c>
      <c r="R808" t="e">
        <f>VLOOKUP(Q808,#REF!,2,FALSE)</f>
        <v>#REF!</v>
      </c>
      <c r="S808">
        <v>1004</v>
      </c>
      <c r="T808" t="s">
        <v>2225</v>
      </c>
      <c r="U808" t="s">
        <v>1721</v>
      </c>
      <c r="V808" s="1">
        <v>46053</v>
      </c>
      <c r="W808" s="1">
        <v>46053</v>
      </c>
      <c r="X808" t="s">
        <v>77</v>
      </c>
      <c r="Y808" t="s">
        <v>646</v>
      </c>
      <c r="Z808" t="s">
        <v>6</v>
      </c>
      <c r="AA808" t="s">
        <v>646</v>
      </c>
      <c r="AB808" s="4">
        <f t="shared" si="67"/>
        <v>689775</v>
      </c>
      <c r="AC808" s="6">
        <v>0.1</v>
      </c>
      <c r="AD808" s="4">
        <f t="shared" si="68"/>
        <v>68977.5</v>
      </c>
      <c r="AE808" s="4">
        <f t="shared" si="62"/>
        <v>13795.5</v>
      </c>
    </row>
    <row r="809" spans="1:31" x14ac:dyDescent="0.25">
      <c r="A809" t="s">
        <v>0</v>
      </c>
      <c r="B809" s="3" t="s">
        <v>2219</v>
      </c>
      <c r="C809" t="s">
        <v>1718</v>
      </c>
      <c r="D809" t="s">
        <v>160</v>
      </c>
      <c r="E809" t="s">
        <v>1320</v>
      </c>
      <c r="F809" s="1">
        <v>46060</v>
      </c>
      <c r="G809" s="1">
        <v>46063</v>
      </c>
      <c r="H809" t="s">
        <v>901</v>
      </c>
      <c r="I809" t="s">
        <v>5</v>
      </c>
      <c r="J809" t="s">
        <v>6</v>
      </c>
      <c r="K809" t="s">
        <v>4</v>
      </c>
      <c r="L809" t="s">
        <v>1727</v>
      </c>
      <c r="M809" t="s">
        <v>1727</v>
      </c>
      <c r="N809" s="2">
        <v>86651</v>
      </c>
      <c r="O809" t="s">
        <v>1720</v>
      </c>
      <c r="P809" t="s">
        <v>9</v>
      </c>
      <c r="Q809" t="s">
        <v>82</v>
      </c>
      <c r="R809" t="e">
        <f>VLOOKUP(Q809,#REF!,2,FALSE)</f>
        <v>#REF!</v>
      </c>
      <c r="S809">
        <v>1004</v>
      </c>
      <c r="T809" t="s">
        <v>2225</v>
      </c>
      <c r="U809" t="s">
        <v>1721</v>
      </c>
      <c r="V809" s="1">
        <v>46053</v>
      </c>
      <c r="W809" s="1">
        <v>46053</v>
      </c>
      <c r="X809" t="s">
        <v>77</v>
      </c>
      <c r="Y809" t="s">
        <v>646</v>
      </c>
      <c r="Z809" t="s">
        <v>6</v>
      </c>
      <c r="AA809" t="s">
        <v>646</v>
      </c>
      <c r="AB809" s="4">
        <f t="shared" si="67"/>
        <v>1083137.5</v>
      </c>
      <c r="AC809" s="6">
        <v>0.1</v>
      </c>
      <c r="AD809" s="4">
        <f t="shared" si="68"/>
        <v>108313.75</v>
      </c>
      <c r="AE809" s="4">
        <f t="shared" si="62"/>
        <v>21662.75</v>
      </c>
    </row>
    <row r="810" spans="1:31" x14ac:dyDescent="0.25">
      <c r="A810" t="s">
        <v>0</v>
      </c>
      <c r="B810" s="3" t="s">
        <v>2219</v>
      </c>
      <c r="C810" t="s">
        <v>1718</v>
      </c>
      <c r="D810" t="s">
        <v>160</v>
      </c>
      <c r="E810" t="s">
        <v>1322</v>
      </c>
      <c r="F810" s="1">
        <v>46060</v>
      </c>
      <c r="G810" s="1">
        <v>46063</v>
      </c>
      <c r="H810" t="s">
        <v>901</v>
      </c>
      <c r="I810" t="s">
        <v>5</v>
      </c>
      <c r="J810" t="s">
        <v>6</v>
      </c>
      <c r="K810" t="s">
        <v>4</v>
      </c>
      <c r="L810" t="s">
        <v>1728</v>
      </c>
      <c r="M810" t="s">
        <v>1728</v>
      </c>
      <c r="N810" s="2">
        <v>80808</v>
      </c>
      <c r="O810" t="s">
        <v>1720</v>
      </c>
      <c r="P810" t="s">
        <v>9</v>
      </c>
      <c r="Q810" t="s">
        <v>82</v>
      </c>
      <c r="R810" t="e">
        <f>VLOOKUP(Q810,#REF!,2,FALSE)</f>
        <v>#REF!</v>
      </c>
      <c r="S810">
        <v>1004</v>
      </c>
      <c r="T810" t="s">
        <v>2225</v>
      </c>
      <c r="U810" t="s">
        <v>1721</v>
      </c>
      <c r="V810" s="1">
        <v>46053</v>
      </c>
      <c r="W810" s="1">
        <v>46053</v>
      </c>
      <c r="X810" t="s">
        <v>77</v>
      </c>
      <c r="Y810" t="s">
        <v>646</v>
      </c>
      <c r="Z810" t="s">
        <v>6</v>
      </c>
      <c r="AA810" t="s">
        <v>646</v>
      </c>
      <c r="AB810" s="4">
        <f t="shared" si="67"/>
        <v>1010100</v>
      </c>
      <c r="AC810" s="6">
        <v>0.1</v>
      </c>
      <c r="AD810" s="4">
        <f t="shared" si="68"/>
        <v>101010</v>
      </c>
      <c r="AE810" s="4">
        <f t="shared" si="62"/>
        <v>20202</v>
      </c>
    </row>
    <row r="811" spans="1:31" x14ac:dyDescent="0.25">
      <c r="A811" t="s">
        <v>0</v>
      </c>
      <c r="B811" s="3" t="s">
        <v>2219</v>
      </c>
      <c r="C811" t="s">
        <v>1718</v>
      </c>
      <c r="D811" t="s">
        <v>160</v>
      </c>
      <c r="E811" t="s">
        <v>1324</v>
      </c>
      <c r="F811" s="1">
        <v>46060</v>
      </c>
      <c r="G811" s="1">
        <v>46063</v>
      </c>
      <c r="H811" t="s">
        <v>901</v>
      </c>
      <c r="I811" t="s">
        <v>5</v>
      </c>
      <c r="J811" t="s">
        <v>6</v>
      </c>
      <c r="K811" t="s">
        <v>4</v>
      </c>
      <c r="L811" t="s">
        <v>1729</v>
      </c>
      <c r="M811" t="s">
        <v>1729</v>
      </c>
      <c r="N811" s="2">
        <v>35395</v>
      </c>
      <c r="O811" t="s">
        <v>1720</v>
      </c>
      <c r="P811" t="s">
        <v>9</v>
      </c>
      <c r="Q811" t="s">
        <v>82</v>
      </c>
      <c r="R811" t="e">
        <f>VLOOKUP(Q811,#REF!,2,FALSE)</f>
        <v>#REF!</v>
      </c>
      <c r="S811">
        <v>1004</v>
      </c>
      <c r="T811" t="s">
        <v>2225</v>
      </c>
      <c r="U811" t="s">
        <v>1721</v>
      </c>
      <c r="V811" s="1">
        <v>46053</v>
      </c>
      <c r="W811" s="1">
        <v>46053</v>
      </c>
      <c r="X811" t="s">
        <v>77</v>
      </c>
      <c r="Y811" t="s">
        <v>646</v>
      </c>
      <c r="Z811" t="s">
        <v>6</v>
      </c>
      <c r="AA811" t="s">
        <v>646</v>
      </c>
      <c r="AB811" s="4">
        <f t="shared" si="67"/>
        <v>442437.5</v>
      </c>
      <c r="AC811" s="6">
        <v>0.1</v>
      </c>
      <c r="AD811" s="4">
        <f t="shared" si="68"/>
        <v>44243.75</v>
      </c>
      <c r="AE811" s="4">
        <f t="shared" si="62"/>
        <v>8848.75</v>
      </c>
    </row>
    <row r="812" spans="1:31" x14ac:dyDescent="0.25">
      <c r="A812" t="s">
        <v>0</v>
      </c>
      <c r="B812" s="3" t="s">
        <v>2219</v>
      </c>
      <c r="C812" t="s">
        <v>1718</v>
      </c>
      <c r="D812" t="s">
        <v>160</v>
      </c>
      <c r="E812" t="s">
        <v>1326</v>
      </c>
      <c r="F812" s="1">
        <v>46060</v>
      </c>
      <c r="G812" s="1">
        <v>46063</v>
      </c>
      <c r="H812" t="s">
        <v>901</v>
      </c>
      <c r="I812" t="s">
        <v>5</v>
      </c>
      <c r="J812" t="s">
        <v>6</v>
      </c>
      <c r="K812" t="s">
        <v>4</v>
      </c>
      <c r="L812" t="s">
        <v>1730</v>
      </c>
      <c r="M812" t="s">
        <v>1730</v>
      </c>
      <c r="N812" s="2">
        <v>158784</v>
      </c>
      <c r="O812" t="s">
        <v>1720</v>
      </c>
      <c r="P812" t="s">
        <v>9</v>
      </c>
      <c r="Q812" t="s">
        <v>82</v>
      </c>
      <c r="R812" t="e">
        <f>VLOOKUP(Q812,#REF!,2,FALSE)</f>
        <v>#REF!</v>
      </c>
      <c r="S812">
        <v>1004</v>
      </c>
      <c r="T812" t="s">
        <v>2225</v>
      </c>
      <c r="U812" t="s">
        <v>1721</v>
      </c>
      <c r="V812" s="1">
        <v>46053</v>
      </c>
      <c r="W812" s="1">
        <v>46053</v>
      </c>
      <c r="X812" t="s">
        <v>77</v>
      </c>
      <c r="Y812" t="s">
        <v>646</v>
      </c>
      <c r="Z812" t="s">
        <v>6</v>
      </c>
      <c r="AA812" t="s">
        <v>646</v>
      </c>
      <c r="AB812" s="4">
        <f t="shared" si="67"/>
        <v>1984800</v>
      </c>
      <c r="AC812" s="6">
        <v>0.1</v>
      </c>
      <c r="AD812" s="4">
        <f t="shared" si="68"/>
        <v>198480</v>
      </c>
      <c r="AE812" s="4">
        <f t="shared" si="62"/>
        <v>39696</v>
      </c>
    </row>
    <row r="813" spans="1:31" x14ac:dyDescent="0.25">
      <c r="A813" t="s">
        <v>0</v>
      </c>
      <c r="B813" s="3" t="s">
        <v>2219</v>
      </c>
      <c r="C813" t="s">
        <v>1718</v>
      </c>
      <c r="D813" t="s">
        <v>160</v>
      </c>
      <c r="E813" t="s">
        <v>1328</v>
      </c>
      <c r="F813" s="1">
        <v>46060</v>
      </c>
      <c r="G813" s="1">
        <v>46063</v>
      </c>
      <c r="H813" t="s">
        <v>901</v>
      </c>
      <c r="I813" t="s">
        <v>5</v>
      </c>
      <c r="J813" t="s">
        <v>6</v>
      </c>
      <c r="K813" t="s">
        <v>4</v>
      </c>
      <c r="L813" t="s">
        <v>1731</v>
      </c>
      <c r="M813" t="s">
        <v>1731</v>
      </c>
      <c r="N813" s="2">
        <v>10546</v>
      </c>
      <c r="O813" t="s">
        <v>1720</v>
      </c>
      <c r="P813" t="s">
        <v>9</v>
      </c>
      <c r="Q813" t="s">
        <v>82</v>
      </c>
      <c r="R813" t="e">
        <f>VLOOKUP(Q813,#REF!,2,FALSE)</f>
        <v>#REF!</v>
      </c>
      <c r="S813">
        <v>1004</v>
      </c>
      <c r="T813" t="s">
        <v>2225</v>
      </c>
      <c r="U813" t="s">
        <v>1721</v>
      </c>
      <c r="V813" s="1">
        <v>46053</v>
      </c>
      <c r="W813" s="1">
        <v>46053</v>
      </c>
      <c r="X813" t="s">
        <v>77</v>
      </c>
      <c r="Y813" t="s">
        <v>646</v>
      </c>
      <c r="Z813" t="s">
        <v>6</v>
      </c>
      <c r="AA813" t="s">
        <v>646</v>
      </c>
      <c r="AB813" s="4">
        <f t="shared" si="67"/>
        <v>131825</v>
      </c>
      <c r="AC813" s="6">
        <v>0.1</v>
      </c>
      <c r="AD813" s="4">
        <f t="shared" si="68"/>
        <v>13182.5</v>
      </c>
      <c r="AE813" s="4">
        <f t="shared" si="62"/>
        <v>2636.5</v>
      </c>
    </row>
    <row r="814" spans="1:31" x14ac:dyDescent="0.25">
      <c r="A814" t="s">
        <v>0</v>
      </c>
      <c r="B814" s="3" t="s">
        <v>2219</v>
      </c>
      <c r="C814" t="s">
        <v>1718</v>
      </c>
      <c r="D814" t="s">
        <v>160</v>
      </c>
      <c r="E814" t="s">
        <v>1330</v>
      </c>
      <c r="F814" s="1">
        <v>46060</v>
      </c>
      <c r="G814" s="1">
        <v>46063</v>
      </c>
      <c r="H814" t="s">
        <v>901</v>
      </c>
      <c r="I814" t="s">
        <v>5</v>
      </c>
      <c r="J814" t="s">
        <v>6</v>
      </c>
      <c r="K814" t="s">
        <v>4</v>
      </c>
      <c r="L814" t="s">
        <v>1732</v>
      </c>
      <c r="M814" t="s">
        <v>1732</v>
      </c>
      <c r="N814" s="2">
        <v>29822</v>
      </c>
      <c r="O814" t="s">
        <v>1720</v>
      </c>
      <c r="P814" t="s">
        <v>9</v>
      </c>
      <c r="Q814" t="s">
        <v>82</v>
      </c>
      <c r="R814" t="e">
        <f>VLOOKUP(Q814,#REF!,2,FALSE)</f>
        <v>#REF!</v>
      </c>
      <c r="S814">
        <v>1004</v>
      </c>
      <c r="T814" t="s">
        <v>2225</v>
      </c>
      <c r="U814" t="s">
        <v>1721</v>
      </c>
      <c r="V814" s="1">
        <v>46053</v>
      </c>
      <c r="W814" s="1">
        <v>46053</v>
      </c>
      <c r="X814" t="s">
        <v>77</v>
      </c>
      <c r="Y814" t="s">
        <v>646</v>
      </c>
      <c r="Z814" t="s">
        <v>6</v>
      </c>
      <c r="AA814" t="s">
        <v>646</v>
      </c>
      <c r="AB814" s="4">
        <f t="shared" si="67"/>
        <v>372775</v>
      </c>
      <c r="AC814" s="6">
        <v>0.1</v>
      </c>
      <c r="AD814" s="4">
        <f t="shared" si="68"/>
        <v>37277.5</v>
      </c>
      <c r="AE814" s="4">
        <f t="shared" si="62"/>
        <v>7455.5</v>
      </c>
    </row>
    <row r="815" spans="1:31" x14ac:dyDescent="0.25">
      <c r="A815" t="s">
        <v>0</v>
      </c>
      <c r="B815" s="3" t="s">
        <v>2219</v>
      </c>
      <c r="C815" t="s">
        <v>1718</v>
      </c>
      <c r="D815" t="s">
        <v>160</v>
      </c>
      <c r="E815" t="s">
        <v>1332</v>
      </c>
      <c r="F815" s="1">
        <v>46060</v>
      </c>
      <c r="G815" s="1">
        <v>46063</v>
      </c>
      <c r="H815" t="s">
        <v>901</v>
      </c>
      <c r="I815" t="s">
        <v>5</v>
      </c>
      <c r="J815" t="s">
        <v>6</v>
      </c>
      <c r="K815" t="s">
        <v>4</v>
      </c>
      <c r="L815" t="s">
        <v>1733</v>
      </c>
      <c r="M815" t="s">
        <v>1733</v>
      </c>
      <c r="N815" s="2">
        <v>179044</v>
      </c>
      <c r="O815" t="s">
        <v>1720</v>
      </c>
      <c r="P815" t="s">
        <v>9</v>
      </c>
      <c r="Q815" t="s">
        <v>82</v>
      </c>
      <c r="R815" t="e">
        <f>VLOOKUP(Q815,#REF!,2,FALSE)</f>
        <v>#REF!</v>
      </c>
      <c r="S815">
        <v>1004</v>
      </c>
      <c r="T815" t="s">
        <v>2225</v>
      </c>
      <c r="U815" t="s">
        <v>1721</v>
      </c>
      <c r="V815" s="1">
        <v>46053</v>
      </c>
      <c r="W815" s="1">
        <v>46053</v>
      </c>
      <c r="X815" t="s">
        <v>77</v>
      </c>
      <c r="Y815" t="s">
        <v>646</v>
      </c>
      <c r="Z815" t="s">
        <v>6</v>
      </c>
      <c r="AA815" t="s">
        <v>646</v>
      </c>
      <c r="AB815" s="4">
        <f t="shared" si="67"/>
        <v>2238050</v>
      </c>
      <c r="AC815" s="6">
        <v>0.1</v>
      </c>
      <c r="AD815" s="4">
        <f t="shared" si="68"/>
        <v>223805</v>
      </c>
      <c r="AE815" s="4">
        <f t="shared" si="62"/>
        <v>44761</v>
      </c>
    </row>
    <row r="816" spans="1:31" x14ac:dyDescent="0.25">
      <c r="A816" t="s">
        <v>0</v>
      </c>
      <c r="B816" s="3" t="s">
        <v>2219</v>
      </c>
      <c r="C816" t="s">
        <v>1718</v>
      </c>
      <c r="D816" t="s">
        <v>160</v>
      </c>
      <c r="E816" t="s">
        <v>1334</v>
      </c>
      <c r="F816" s="1">
        <v>46060</v>
      </c>
      <c r="G816" s="1">
        <v>46063</v>
      </c>
      <c r="H816" t="s">
        <v>901</v>
      </c>
      <c r="I816" t="s">
        <v>5</v>
      </c>
      <c r="J816" t="s">
        <v>6</v>
      </c>
      <c r="K816" t="s">
        <v>4</v>
      </c>
      <c r="L816" t="s">
        <v>1734</v>
      </c>
      <c r="M816" t="s">
        <v>1734</v>
      </c>
      <c r="N816" s="2">
        <v>54726</v>
      </c>
      <c r="O816" t="s">
        <v>1720</v>
      </c>
      <c r="P816" t="s">
        <v>9</v>
      </c>
      <c r="Q816" t="s">
        <v>82</v>
      </c>
      <c r="R816" t="e">
        <f>VLOOKUP(Q816,#REF!,2,FALSE)</f>
        <v>#REF!</v>
      </c>
      <c r="S816">
        <v>1004</v>
      </c>
      <c r="T816" t="s">
        <v>2225</v>
      </c>
      <c r="U816" t="s">
        <v>1721</v>
      </c>
      <c r="V816" s="1">
        <v>46053</v>
      </c>
      <c r="W816" s="1">
        <v>46053</v>
      </c>
      <c r="X816" t="s">
        <v>77</v>
      </c>
      <c r="Y816" t="s">
        <v>646</v>
      </c>
      <c r="Z816" t="s">
        <v>6</v>
      </c>
      <c r="AA816" t="s">
        <v>646</v>
      </c>
      <c r="AB816" s="4">
        <f t="shared" si="67"/>
        <v>684075</v>
      </c>
      <c r="AC816" s="6">
        <v>0.1</v>
      </c>
      <c r="AD816" s="4">
        <f t="shared" si="68"/>
        <v>68407.5</v>
      </c>
      <c r="AE816" s="4">
        <f t="shared" si="62"/>
        <v>13681.5</v>
      </c>
    </row>
    <row r="817" spans="1:31" x14ac:dyDescent="0.25">
      <c r="A817" t="s">
        <v>0</v>
      </c>
      <c r="B817" s="3" t="s">
        <v>2219</v>
      </c>
      <c r="C817" t="s">
        <v>1718</v>
      </c>
      <c r="D817" t="s">
        <v>160</v>
      </c>
      <c r="E817" t="s">
        <v>1336</v>
      </c>
      <c r="F817" s="1">
        <v>46060</v>
      </c>
      <c r="G817" s="1">
        <v>46063</v>
      </c>
      <c r="H817" t="s">
        <v>901</v>
      </c>
      <c r="I817" t="s">
        <v>5</v>
      </c>
      <c r="J817" t="s">
        <v>6</v>
      </c>
      <c r="K817" t="s">
        <v>4</v>
      </c>
      <c r="L817" t="s">
        <v>1735</v>
      </c>
      <c r="M817" t="s">
        <v>1735</v>
      </c>
      <c r="N817" s="2">
        <v>198235</v>
      </c>
      <c r="O817" t="s">
        <v>1720</v>
      </c>
      <c r="P817" t="s">
        <v>9</v>
      </c>
      <c r="Q817" t="s">
        <v>82</v>
      </c>
      <c r="R817" t="e">
        <f>VLOOKUP(Q817,#REF!,2,FALSE)</f>
        <v>#REF!</v>
      </c>
      <c r="S817">
        <v>1004</v>
      </c>
      <c r="T817" t="s">
        <v>2225</v>
      </c>
      <c r="U817" t="s">
        <v>1721</v>
      </c>
      <c r="V817" s="1">
        <v>46053</v>
      </c>
      <c r="W817" s="1">
        <v>46053</v>
      </c>
      <c r="X817" t="s">
        <v>77</v>
      </c>
      <c r="Y817" t="s">
        <v>646</v>
      </c>
      <c r="Z817" t="s">
        <v>6</v>
      </c>
      <c r="AA817" t="s">
        <v>646</v>
      </c>
      <c r="AB817" s="4">
        <f t="shared" si="67"/>
        <v>2477937.5</v>
      </c>
      <c r="AC817" s="6">
        <v>0.1</v>
      </c>
      <c r="AD817" s="4">
        <f t="shared" si="68"/>
        <v>247793.75</v>
      </c>
      <c r="AE817" s="4">
        <f t="shared" si="62"/>
        <v>49558.75</v>
      </c>
    </row>
    <row r="818" spans="1:31" x14ac:dyDescent="0.25">
      <c r="A818" t="s">
        <v>0</v>
      </c>
      <c r="B818" s="3" t="s">
        <v>2219</v>
      </c>
      <c r="C818" t="s">
        <v>1718</v>
      </c>
      <c r="D818" t="s">
        <v>160</v>
      </c>
      <c r="E818" t="s">
        <v>1338</v>
      </c>
      <c r="F818" s="1">
        <v>46060</v>
      </c>
      <c r="G818" s="1">
        <v>46063</v>
      </c>
      <c r="H818" t="s">
        <v>901</v>
      </c>
      <c r="I818" t="s">
        <v>5</v>
      </c>
      <c r="J818" t="s">
        <v>6</v>
      </c>
      <c r="K818" t="s">
        <v>4</v>
      </c>
      <c r="L818" t="s">
        <v>1736</v>
      </c>
      <c r="M818" t="s">
        <v>1736</v>
      </c>
      <c r="N818" s="2">
        <v>113724</v>
      </c>
      <c r="O818" t="s">
        <v>1720</v>
      </c>
      <c r="P818" t="s">
        <v>9</v>
      </c>
      <c r="Q818" t="s">
        <v>82</v>
      </c>
      <c r="R818" t="e">
        <f>VLOOKUP(Q818,#REF!,2,FALSE)</f>
        <v>#REF!</v>
      </c>
      <c r="S818">
        <v>1004</v>
      </c>
      <c r="T818" t="s">
        <v>2225</v>
      </c>
      <c r="U818" t="s">
        <v>1721</v>
      </c>
      <c r="V818" s="1">
        <v>46053</v>
      </c>
      <c r="W818" s="1">
        <v>46053</v>
      </c>
      <c r="X818" t="s">
        <v>77</v>
      </c>
      <c r="Y818" t="s">
        <v>646</v>
      </c>
      <c r="Z818" t="s">
        <v>6</v>
      </c>
      <c r="AA818" t="s">
        <v>646</v>
      </c>
      <c r="AB818" s="4">
        <f t="shared" si="67"/>
        <v>1421550</v>
      </c>
      <c r="AC818" s="6">
        <v>0.1</v>
      </c>
      <c r="AD818" s="4">
        <f t="shared" si="68"/>
        <v>142155</v>
      </c>
      <c r="AE818" s="4">
        <f t="shared" si="62"/>
        <v>28431</v>
      </c>
    </row>
    <row r="819" spans="1:31" x14ac:dyDescent="0.25">
      <c r="A819" t="s">
        <v>0</v>
      </c>
      <c r="B819" s="3" t="s">
        <v>2219</v>
      </c>
      <c r="C819" t="s">
        <v>1718</v>
      </c>
      <c r="D819" t="s">
        <v>160</v>
      </c>
      <c r="E819" t="s">
        <v>1340</v>
      </c>
      <c r="F819" s="1">
        <v>46060</v>
      </c>
      <c r="G819" s="1">
        <v>46063</v>
      </c>
      <c r="H819" t="s">
        <v>901</v>
      </c>
      <c r="I819" t="s">
        <v>5</v>
      </c>
      <c r="J819" t="s">
        <v>6</v>
      </c>
      <c r="K819" t="s">
        <v>4</v>
      </c>
      <c r="L819" t="s">
        <v>1737</v>
      </c>
      <c r="M819" t="s">
        <v>1737</v>
      </c>
      <c r="N819" s="2">
        <v>22548</v>
      </c>
      <c r="O819" t="s">
        <v>1720</v>
      </c>
      <c r="P819" t="s">
        <v>9</v>
      </c>
      <c r="Q819" t="s">
        <v>82</v>
      </c>
      <c r="R819" t="e">
        <f>VLOOKUP(Q819,#REF!,2,FALSE)</f>
        <v>#REF!</v>
      </c>
      <c r="S819">
        <v>1004</v>
      </c>
      <c r="T819" t="s">
        <v>2225</v>
      </c>
      <c r="U819" t="s">
        <v>1721</v>
      </c>
      <c r="V819" s="1">
        <v>46053</v>
      </c>
      <c r="W819" s="1">
        <v>46053</v>
      </c>
      <c r="X819" t="s">
        <v>77</v>
      </c>
      <c r="Y819" t="s">
        <v>646</v>
      </c>
      <c r="Z819" t="s">
        <v>6</v>
      </c>
      <c r="AA819" t="s">
        <v>646</v>
      </c>
      <c r="AB819" s="4">
        <f t="shared" si="67"/>
        <v>281850</v>
      </c>
      <c r="AC819" s="6">
        <v>0.1</v>
      </c>
      <c r="AD819" s="4">
        <f t="shared" si="68"/>
        <v>28185</v>
      </c>
      <c r="AE819" s="4">
        <f t="shared" si="62"/>
        <v>5637</v>
      </c>
    </row>
    <row r="820" spans="1:31" x14ac:dyDescent="0.25">
      <c r="A820" t="s">
        <v>0</v>
      </c>
      <c r="B820" s="3" t="s">
        <v>2219</v>
      </c>
      <c r="C820" t="s">
        <v>1718</v>
      </c>
      <c r="D820" t="s">
        <v>160</v>
      </c>
      <c r="E820" t="s">
        <v>1342</v>
      </c>
      <c r="F820" s="1">
        <v>46060</v>
      </c>
      <c r="G820" s="1">
        <v>46063</v>
      </c>
      <c r="H820" t="s">
        <v>901</v>
      </c>
      <c r="I820" t="s">
        <v>5</v>
      </c>
      <c r="J820" t="s">
        <v>6</v>
      </c>
      <c r="K820" t="s">
        <v>4</v>
      </c>
      <c r="L820" t="s">
        <v>1738</v>
      </c>
      <c r="M820" t="s">
        <v>1738</v>
      </c>
      <c r="N820" s="2">
        <v>64979</v>
      </c>
      <c r="O820" t="s">
        <v>1720</v>
      </c>
      <c r="P820" t="s">
        <v>9</v>
      </c>
      <c r="Q820" t="s">
        <v>82</v>
      </c>
      <c r="R820" t="e">
        <f>VLOOKUP(Q820,#REF!,2,FALSE)</f>
        <v>#REF!</v>
      </c>
      <c r="S820">
        <v>1004</v>
      </c>
      <c r="T820" t="s">
        <v>2225</v>
      </c>
      <c r="U820" t="s">
        <v>1721</v>
      </c>
      <c r="V820" s="1">
        <v>46053</v>
      </c>
      <c r="W820" s="1">
        <v>46053</v>
      </c>
      <c r="X820" t="s">
        <v>77</v>
      </c>
      <c r="Y820" t="s">
        <v>646</v>
      </c>
      <c r="Z820" t="s">
        <v>6</v>
      </c>
      <c r="AA820" t="s">
        <v>646</v>
      </c>
      <c r="AB820" s="4">
        <f t="shared" si="67"/>
        <v>812237.5</v>
      </c>
      <c r="AC820" s="6">
        <v>0.1</v>
      </c>
      <c r="AD820" s="4">
        <f t="shared" si="68"/>
        <v>81223.75</v>
      </c>
      <c r="AE820" s="4">
        <f t="shared" si="62"/>
        <v>16244.75</v>
      </c>
    </row>
    <row r="821" spans="1:31" x14ac:dyDescent="0.25">
      <c r="A821" t="s">
        <v>0</v>
      </c>
      <c r="B821" s="3" t="s">
        <v>2219</v>
      </c>
      <c r="C821" t="s">
        <v>1718</v>
      </c>
      <c r="D821" t="s">
        <v>160</v>
      </c>
      <c r="E821" t="s">
        <v>1344</v>
      </c>
      <c r="F821" s="1">
        <v>46060</v>
      </c>
      <c r="G821" s="1">
        <v>46063</v>
      </c>
      <c r="H821" t="s">
        <v>901</v>
      </c>
      <c r="I821" t="s">
        <v>5</v>
      </c>
      <c r="J821" t="s">
        <v>6</v>
      </c>
      <c r="K821" t="s">
        <v>4</v>
      </c>
      <c r="L821" t="s">
        <v>1739</v>
      </c>
      <c r="M821" t="s">
        <v>1739</v>
      </c>
      <c r="N821" s="2">
        <v>88138</v>
      </c>
      <c r="O821" t="s">
        <v>1720</v>
      </c>
      <c r="P821" t="s">
        <v>9</v>
      </c>
      <c r="Q821" t="s">
        <v>82</v>
      </c>
      <c r="R821" t="e">
        <f>VLOOKUP(Q821,#REF!,2,FALSE)</f>
        <v>#REF!</v>
      </c>
      <c r="S821">
        <v>1004</v>
      </c>
      <c r="T821" t="s">
        <v>2225</v>
      </c>
      <c r="U821" t="s">
        <v>1721</v>
      </c>
      <c r="V821" s="1">
        <v>46053</v>
      </c>
      <c r="W821" s="1">
        <v>46053</v>
      </c>
      <c r="X821" t="s">
        <v>77</v>
      </c>
      <c r="Y821" t="s">
        <v>646</v>
      </c>
      <c r="Z821" t="s">
        <v>6</v>
      </c>
      <c r="AA821" t="s">
        <v>646</v>
      </c>
      <c r="AB821" s="4">
        <f t="shared" si="67"/>
        <v>1101725</v>
      </c>
      <c r="AC821" s="6">
        <v>0.1</v>
      </c>
      <c r="AD821" s="4">
        <f t="shared" si="68"/>
        <v>110172.5</v>
      </c>
      <c r="AE821" s="4">
        <f t="shared" si="62"/>
        <v>22034.5</v>
      </c>
    </row>
    <row r="822" spans="1:31" x14ac:dyDescent="0.25">
      <c r="A822" t="s">
        <v>0</v>
      </c>
      <c r="B822" s="3" t="s">
        <v>2219</v>
      </c>
      <c r="C822" t="s">
        <v>1718</v>
      </c>
      <c r="D822" t="s">
        <v>160</v>
      </c>
      <c r="E822" t="s">
        <v>1346</v>
      </c>
      <c r="F822" s="1">
        <v>46060</v>
      </c>
      <c r="G822" s="1">
        <v>46063</v>
      </c>
      <c r="H822" t="s">
        <v>901</v>
      </c>
      <c r="I822" t="s">
        <v>5</v>
      </c>
      <c r="J822" t="s">
        <v>6</v>
      </c>
      <c r="K822" t="s">
        <v>4</v>
      </c>
      <c r="L822" t="s">
        <v>1740</v>
      </c>
      <c r="M822" t="s">
        <v>1740</v>
      </c>
      <c r="N822" s="2">
        <v>11108</v>
      </c>
      <c r="O822" t="s">
        <v>1720</v>
      </c>
      <c r="P822" t="s">
        <v>9</v>
      </c>
      <c r="Q822" t="s">
        <v>82</v>
      </c>
      <c r="R822" t="e">
        <f>VLOOKUP(Q822,#REF!,2,FALSE)</f>
        <v>#REF!</v>
      </c>
      <c r="S822">
        <v>1004</v>
      </c>
      <c r="T822" t="s">
        <v>2225</v>
      </c>
      <c r="U822" t="s">
        <v>1721</v>
      </c>
      <c r="V822" s="1">
        <v>46053</v>
      </c>
      <c r="W822" s="1">
        <v>46053</v>
      </c>
      <c r="X822" t="s">
        <v>77</v>
      </c>
      <c r="Y822" t="s">
        <v>646</v>
      </c>
      <c r="Z822" t="s">
        <v>6</v>
      </c>
      <c r="AA822" t="s">
        <v>646</v>
      </c>
      <c r="AB822" s="4">
        <f t="shared" si="67"/>
        <v>138850</v>
      </c>
      <c r="AC822" s="6">
        <v>0.1</v>
      </c>
      <c r="AD822" s="4">
        <f t="shared" si="68"/>
        <v>13885</v>
      </c>
      <c r="AE822" s="4">
        <f t="shared" si="62"/>
        <v>2777</v>
      </c>
    </row>
    <row r="823" spans="1:31" x14ac:dyDescent="0.25">
      <c r="A823" t="s">
        <v>0</v>
      </c>
      <c r="B823" s="3" t="s">
        <v>2219</v>
      </c>
      <c r="C823" t="s">
        <v>1718</v>
      </c>
      <c r="D823" t="s">
        <v>160</v>
      </c>
      <c r="E823" t="s">
        <v>1348</v>
      </c>
      <c r="F823" s="1">
        <v>46060</v>
      </c>
      <c r="G823" s="1">
        <v>46063</v>
      </c>
      <c r="H823" t="s">
        <v>901</v>
      </c>
      <c r="I823" t="s">
        <v>5</v>
      </c>
      <c r="J823" t="s">
        <v>6</v>
      </c>
      <c r="K823" t="s">
        <v>4</v>
      </c>
      <c r="L823" t="s">
        <v>1741</v>
      </c>
      <c r="M823" t="s">
        <v>1741</v>
      </c>
      <c r="N823" s="2">
        <v>151428</v>
      </c>
      <c r="O823" t="s">
        <v>1720</v>
      </c>
      <c r="P823" t="s">
        <v>9</v>
      </c>
      <c r="Q823" t="s">
        <v>82</v>
      </c>
      <c r="R823" t="e">
        <f>VLOOKUP(Q823,#REF!,2,FALSE)</f>
        <v>#REF!</v>
      </c>
      <c r="S823">
        <v>1004</v>
      </c>
      <c r="T823" t="s">
        <v>2225</v>
      </c>
      <c r="U823" t="s">
        <v>1721</v>
      </c>
      <c r="V823" s="1">
        <v>46053</v>
      </c>
      <c r="W823" s="1">
        <v>46053</v>
      </c>
      <c r="X823" t="s">
        <v>77</v>
      </c>
      <c r="Y823" t="s">
        <v>646</v>
      </c>
      <c r="Z823" t="s">
        <v>6</v>
      </c>
      <c r="AA823" t="s">
        <v>646</v>
      </c>
      <c r="AB823" s="4">
        <f t="shared" si="67"/>
        <v>1892850</v>
      </c>
      <c r="AC823" s="6">
        <v>0.1</v>
      </c>
      <c r="AD823" s="4">
        <f t="shared" si="68"/>
        <v>189285</v>
      </c>
      <c r="AE823" s="4">
        <f t="shared" si="62"/>
        <v>37857</v>
      </c>
    </row>
    <row r="824" spans="1:31" x14ac:dyDescent="0.25">
      <c r="A824" t="s">
        <v>0</v>
      </c>
      <c r="B824" s="3" t="s">
        <v>2219</v>
      </c>
      <c r="C824" t="s">
        <v>1718</v>
      </c>
      <c r="D824" t="s">
        <v>160</v>
      </c>
      <c r="E824" t="s">
        <v>489</v>
      </c>
      <c r="F824" s="1">
        <v>46060</v>
      </c>
      <c r="G824" s="1">
        <v>46063</v>
      </c>
      <c r="H824" t="s">
        <v>901</v>
      </c>
      <c r="I824" t="s">
        <v>5</v>
      </c>
      <c r="J824" t="s">
        <v>6</v>
      </c>
      <c r="K824" t="s">
        <v>4</v>
      </c>
      <c r="L824" t="s">
        <v>1742</v>
      </c>
      <c r="M824" t="s">
        <v>1742</v>
      </c>
      <c r="N824" s="2">
        <v>14141</v>
      </c>
      <c r="O824" t="s">
        <v>1720</v>
      </c>
      <c r="P824" t="s">
        <v>9</v>
      </c>
      <c r="Q824" t="s">
        <v>82</v>
      </c>
      <c r="R824" t="e">
        <f>VLOOKUP(Q824,#REF!,2,FALSE)</f>
        <v>#REF!</v>
      </c>
      <c r="S824">
        <v>1004</v>
      </c>
      <c r="T824" t="s">
        <v>2225</v>
      </c>
      <c r="U824" t="s">
        <v>1721</v>
      </c>
      <c r="V824" s="1">
        <v>46053</v>
      </c>
      <c r="W824" s="1">
        <v>46053</v>
      </c>
      <c r="X824" t="s">
        <v>77</v>
      </c>
      <c r="Y824" t="s">
        <v>646</v>
      </c>
      <c r="Z824" t="s">
        <v>6</v>
      </c>
      <c r="AA824" t="s">
        <v>646</v>
      </c>
      <c r="AB824" s="4">
        <f t="shared" si="67"/>
        <v>176762.5</v>
      </c>
      <c r="AC824" s="6">
        <v>0.1</v>
      </c>
      <c r="AD824" s="4">
        <f t="shared" si="68"/>
        <v>17676.25</v>
      </c>
      <c r="AE824" s="4">
        <f t="shared" si="62"/>
        <v>3535.25</v>
      </c>
    </row>
    <row r="825" spans="1:31" x14ac:dyDescent="0.25">
      <c r="A825" t="s">
        <v>0</v>
      </c>
      <c r="B825" s="3" t="s">
        <v>2219</v>
      </c>
      <c r="C825" t="s">
        <v>1718</v>
      </c>
      <c r="D825" t="s">
        <v>160</v>
      </c>
      <c r="E825" t="s">
        <v>493</v>
      </c>
      <c r="F825" s="1">
        <v>46060</v>
      </c>
      <c r="G825" s="1">
        <v>46063</v>
      </c>
      <c r="H825" t="s">
        <v>901</v>
      </c>
      <c r="I825" t="s">
        <v>5</v>
      </c>
      <c r="J825" t="s">
        <v>6</v>
      </c>
      <c r="K825" t="s">
        <v>4</v>
      </c>
      <c r="L825" t="s">
        <v>1743</v>
      </c>
      <c r="M825" t="s">
        <v>1743</v>
      </c>
      <c r="N825" s="2">
        <v>79974</v>
      </c>
      <c r="O825" t="s">
        <v>1720</v>
      </c>
      <c r="P825" t="s">
        <v>9</v>
      </c>
      <c r="Q825" t="s">
        <v>82</v>
      </c>
      <c r="R825" t="e">
        <f>VLOOKUP(Q825,#REF!,2,FALSE)</f>
        <v>#REF!</v>
      </c>
      <c r="S825">
        <v>1004</v>
      </c>
      <c r="T825" t="s">
        <v>2225</v>
      </c>
      <c r="U825" t="s">
        <v>1721</v>
      </c>
      <c r="V825" s="1">
        <v>46053</v>
      </c>
      <c r="W825" s="1">
        <v>46053</v>
      </c>
      <c r="X825" t="s">
        <v>77</v>
      </c>
      <c r="Y825" t="s">
        <v>646</v>
      </c>
      <c r="Z825" t="s">
        <v>6</v>
      </c>
      <c r="AA825" t="s">
        <v>646</v>
      </c>
      <c r="AB825" s="4">
        <f t="shared" si="67"/>
        <v>999675</v>
      </c>
      <c r="AC825" s="6">
        <v>0.1</v>
      </c>
      <c r="AD825" s="4">
        <f t="shared" si="68"/>
        <v>99967.5</v>
      </c>
      <c r="AE825" s="4">
        <f t="shared" si="62"/>
        <v>19993.5</v>
      </c>
    </row>
    <row r="826" spans="1:31" x14ac:dyDescent="0.25">
      <c r="A826" t="s">
        <v>0</v>
      </c>
      <c r="B826" s="3" t="s">
        <v>2219</v>
      </c>
      <c r="C826" t="s">
        <v>1718</v>
      </c>
      <c r="D826" t="s">
        <v>160</v>
      </c>
      <c r="E826" t="s">
        <v>494</v>
      </c>
      <c r="F826" s="1">
        <v>46060</v>
      </c>
      <c r="G826" s="1">
        <v>46063</v>
      </c>
      <c r="H826" t="s">
        <v>901</v>
      </c>
      <c r="I826" t="s">
        <v>5</v>
      </c>
      <c r="J826" t="s">
        <v>6</v>
      </c>
      <c r="K826" t="s">
        <v>4</v>
      </c>
      <c r="L826" t="s">
        <v>1744</v>
      </c>
      <c r="M826" t="s">
        <v>1744</v>
      </c>
      <c r="N826" s="2">
        <v>18886</v>
      </c>
      <c r="O826" t="s">
        <v>1720</v>
      </c>
      <c r="P826" t="s">
        <v>9</v>
      </c>
      <c r="Q826" t="s">
        <v>82</v>
      </c>
      <c r="R826" t="e">
        <f>VLOOKUP(Q826,#REF!,2,FALSE)</f>
        <v>#REF!</v>
      </c>
      <c r="S826">
        <v>1004</v>
      </c>
      <c r="T826" t="s">
        <v>2225</v>
      </c>
      <c r="U826" t="s">
        <v>1721</v>
      </c>
      <c r="V826" s="1">
        <v>46053</v>
      </c>
      <c r="W826" s="1">
        <v>46053</v>
      </c>
      <c r="X826" t="s">
        <v>77</v>
      </c>
      <c r="Y826" t="s">
        <v>646</v>
      </c>
      <c r="Z826" t="s">
        <v>6</v>
      </c>
      <c r="AA826" t="s">
        <v>646</v>
      </c>
      <c r="AB826" s="4">
        <f t="shared" si="67"/>
        <v>236075</v>
      </c>
      <c r="AC826" s="6">
        <v>0.1</v>
      </c>
      <c r="AD826" s="4">
        <f t="shared" si="68"/>
        <v>23607.5</v>
      </c>
      <c r="AE826" s="4">
        <f t="shared" si="62"/>
        <v>4721.5</v>
      </c>
    </row>
    <row r="827" spans="1:31" x14ac:dyDescent="0.25">
      <c r="A827" t="s">
        <v>0</v>
      </c>
      <c r="B827" s="3" t="s">
        <v>2219</v>
      </c>
      <c r="C827" t="s">
        <v>1718</v>
      </c>
      <c r="D827" t="s">
        <v>160</v>
      </c>
      <c r="E827" t="s">
        <v>1353</v>
      </c>
      <c r="F827" s="1">
        <v>46060</v>
      </c>
      <c r="G827" s="1">
        <v>46063</v>
      </c>
      <c r="H827" t="s">
        <v>901</v>
      </c>
      <c r="I827" t="s">
        <v>5</v>
      </c>
      <c r="J827" t="s">
        <v>6</v>
      </c>
      <c r="K827" t="s">
        <v>4</v>
      </c>
      <c r="L827" t="s">
        <v>1745</v>
      </c>
      <c r="M827" t="s">
        <v>1745</v>
      </c>
      <c r="N827" s="2">
        <v>60162</v>
      </c>
      <c r="O827" t="s">
        <v>1720</v>
      </c>
      <c r="P827" t="s">
        <v>9</v>
      </c>
      <c r="Q827" t="s">
        <v>82</v>
      </c>
      <c r="R827" t="e">
        <f>VLOOKUP(Q827,#REF!,2,FALSE)</f>
        <v>#REF!</v>
      </c>
      <c r="S827">
        <v>1004</v>
      </c>
      <c r="T827" t="s">
        <v>2225</v>
      </c>
      <c r="U827" t="s">
        <v>1721</v>
      </c>
      <c r="V827" s="1">
        <v>46053</v>
      </c>
      <c r="W827" s="1">
        <v>46053</v>
      </c>
      <c r="X827" t="s">
        <v>77</v>
      </c>
      <c r="Y827" t="s">
        <v>646</v>
      </c>
      <c r="Z827" t="s">
        <v>6</v>
      </c>
      <c r="AA827" t="s">
        <v>646</v>
      </c>
      <c r="AB827" s="4">
        <f t="shared" si="67"/>
        <v>752025</v>
      </c>
      <c r="AC827" s="6">
        <v>0.1</v>
      </c>
      <c r="AD827" s="4">
        <f t="shared" si="68"/>
        <v>75202.5</v>
      </c>
      <c r="AE827" s="4">
        <f t="shared" si="62"/>
        <v>15040.5</v>
      </c>
    </row>
    <row r="828" spans="1:31" x14ac:dyDescent="0.25">
      <c r="A828" t="s">
        <v>0</v>
      </c>
      <c r="B828" s="3" t="s">
        <v>2219</v>
      </c>
      <c r="C828" t="s">
        <v>1718</v>
      </c>
      <c r="D828" t="s">
        <v>160</v>
      </c>
      <c r="E828" t="s">
        <v>1355</v>
      </c>
      <c r="F828" s="1">
        <v>46060</v>
      </c>
      <c r="G828" s="1">
        <v>46063</v>
      </c>
      <c r="H828" t="s">
        <v>901</v>
      </c>
      <c r="I828" t="s">
        <v>5</v>
      </c>
      <c r="J828" t="s">
        <v>6</v>
      </c>
      <c r="K828" t="s">
        <v>4</v>
      </c>
      <c r="L828" t="s">
        <v>1746</v>
      </c>
      <c r="M828" t="s">
        <v>1746</v>
      </c>
      <c r="N828" s="2">
        <v>15173</v>
      </c>
      <c r="O828" t="s">
        <v>1720</v>
      </c>
      <c r="P828" t="s">
        <v>9</v>
      </c>
      <c r="Q828" t="s">
        <v>82</v>
      </c>
      <c r="R828" t="e">
        <f>VLOOKUP(Q828,#REF!,2,FALSE)</f>
        <v>#REF!</v>
      </c>
      <c r="S828">
        <v>1004</v>
      </c>
      <c r="T828" t="s">
        <v>2225</v>
      </c>
      <c r="U828" t="s">
        <v>1721</v>
      </c>
      <c r="V828" s="1">
        <v>46053</v>
      </c>
      <c r="W828" s="1">
        <v>46053</v>
      </c>
      <c r="X828" t="s">
        <v>77</v>
      </c>
      <c r="Y828" t="s">
        <v>646</v>
      </c>
      <c r="Z828" t="s">
        <v>6</v>
      </c>
      <c r="AA828" t="s">
        <v>646</v>
      </c>
      <c r="AB828" s="4">
        <f t="shared" si="67"/>
        <v>189662.5</v>
      </c>
      <c r="AC828" s="6">
        <v>0.1</v>
      </c>
      <c r="AD828" s="4">
        <f t="shared" si="68"/>
        <v>18966.25</v>
      </c>
      <c r="AE828" s="4">
        <f t="shared" si="62"/>
        <v>3793.25</v>
      </c>
    </row>
    <row r="829" spans="1:31" x14ac:dyDescent="0.25">
      <c r="A829" t="s">
        <v>0</v>
      </c>
      <c r="B829" s="3" t="s">
        <v>2219</v>
      </c>
      <c r="C829" t="s">
        <v>1718</v>
      </c>
      <c r="D829" t="s">
        <v>160</v>
      </c>
      <c r="E829" t="s">
        <v>1357</v>
      </c>
      <c r="F829" s="1">
        <v>46060</v>
      </c>
      <c r="G829" s="1">
        <v>46063</v>
      </c>
      <c r="H829" t="s">
        <v>901</v>
      </c>
      <c r="I829" t="s">
        <v>5</v>
      </c>
      <c r="J829" t="s">
        <v>6</v>
      </c>
      <c r="K829" t="s">
        <v>4</v>
      </c>
      <c r="L829" t="s">
        <v>1747</v>
      </c>
      <c r="M829" t="s">
        <v>1747</v>
      </c>
      <c r="N829" s="2">
        <v>17093</v>
      </c>
      <c r="O829" t="s">
        <v>1720</v>
      </c>
      <c r="P829" t="s">
        <v>9</v>
      </c>
      <c r="Q829" t="s">
        <v>82</v>
      </c>
      <c r="R829" t="e">
        <f>VLOOKUP(Q829,#REF!,2,FALSE)</f>
        <v>#REF!</v>
      </c>
      <c r="S829">
        <v>1004</v>
      </c>
      <c r="T829" t="s">
        <v>2225</v>
      </c>
      <c r="U829" t="s">
        <v>1721</v>
      </c>
      <c r="V829" s="1">
        <v>46053</v>
      </c>
      <c r="W829" s="1">
        <v>46053</v>
      </c>
      <c r="X829" t="s">
        <v>77</v>
      </c>
      <c r="Y829" t="s">
        <v>646</v>
      </c>
      <c r="Z829" t="s">
        <v>6</v>
      </c>
      <c r="AA829" t="s">
        <v>646</v>
      </c>
      <c r="AB829" s="4">
        <f t="shared" si="67"/>
        <v>213662.5</v>
      </c>
      <c r="AC829" s="6">
        <v>0.1</v>
      </c>
      <c r="AD829" s="4">
        <f t="shared" si="68"/>
        <v>21366.25</v>
      </c>
      <c r="AE829" s="4">
        <f t="shared" si="62"/>
        <v>4273.25</v>
      </c>
    </row>
    <row r="830" spans="1:31" x14ac:dyDescent="0.25">
      <c r="A830" t="s">
        <v>0</v>
      </c>
      <c r="B830" s="3" t="s">
        <v>2219</v>
      </c>
      <c r="C830" t="s">
        <v>1718</v>
      </c>
      <c r="D830" t="s">
        <v>160</v>
      </c>
      <c r="E830" t="s">
        <v>1359</v>
      </c>
      <c r="F830" s="1">
        <v>46060</v>
      </c>
      <c r="G830" s="1">
        <v>46063</v>
      </c>
      <c r="H830" t="s">
        <v>901</v>
      </c>
      <c r="I830" t="s">
        <v>5</v>
      </c>
      <c r="J830" t="s">
        <v>6</v>
      </c>
      <c r="K830" t="s">
        <v>4</v>
      </c>
      <c r="L830" t="s">
        <v>1748</v>
      </c>
      <c r="M830" t="s">
        <v>1748</v>
      </c>
      <c r="N830" s="2">
        <v>102396</v>
      </c>
      <c r="O830" t="s">
        <v>1720</v>
      </c>
      <c r="P830" t="s">
        <v>9</v>
      </c>
      <c r="Q830" t="s">
        <v>82</v>
      </c>
      <c r="R830" t="e">
        <f>VLOOKUP(Q830,#REF!,2,FALSE)</f>
        <v>#REF!</v>
      </c>
      <c r="S830">
        <v>1004</v>
      </c>
      <c r="T830" t="s">
        <v>2225</v>
      </c>
      <c r="U830" t="s">
        <v>1721</v>
      </c>
      <c r="V830" s="1">
        <v>46053</v>
      </c>
      <c r="W830" s="1">
        <v>46053</v>
      </c>
      <c r="X830" t="s">
        <v>77</v>
      </c>
      <c r="Y830" t="s">
        <v>646</v>
      </c>
      <c r="Z830" t="s">
        <v>6</v>
      </c>
      <c r="AA830" t="s">
        <v>646</v>
      </c>
      <c r="AB830" s="4">
        <f t="shared" si="67"/>
        <v>1279950</v>
      </c>
      <c r="AC830" s="6">
        <v>0.1</v>
      </c>
      <c r="AD830" s="4">
        <f t="shared" si="68"/>
        <v>127995</v>
      </c>
      <c r="AE830" s="4">
        <f t="shared" si="62"/>
        <v>25599</v>
      </c>
    </row>
    <row r="831" spans="1:31" x14ac:dyDescent="0.25">
      <c r="A831" t="s">
        <v>0</v>
      </c>
      <c r="B831" s="3" t="s">
        <v>2219</v>
      </c>
      <c r="C831" t="s">
        <v>1718</v>
      </c>
      <c r="D831" t="s">
        <v>160</v>
      </c>
      <c r="E831" t="s">
        <v>1361</v>
      </c>
      <c r="F831" s="1">
        <v>46060</v>
      </c>
      <c r="G831" s="1">
        <v>46063</v>
      </c>
      <c r="H831" t="s">
        <v>901</v>
      </c>
      <c r="I831" t="s">
        <v>5</v>
      </c>
      <c r="J831" t="s">
        <v>6</v>
      </c>
      <c r="K831" t="s">
        <v>4</v>
      </c>
      <c r="L831" t="s">
        <v>1749</v>
      </c>
      <c r="M831" t="s">
        <v>1749</v>
      </c>
      <c r="N831" s="2">
        <v>166405</v>
      </c>
      <c r="O831" t="s">
        <v>1720</v>
      </c>
      <c r="P831" t="s">
        <v>9</v>
      </c>
      <c r="Q831" t="s">
        <v>82</v>
      </c>
      <c r="R831" t="e">
        <f>VLOOKUP(Q831,#REF!,2,FALSE)</f>
        <v>#REF!</v>
      </c>
      <c r="S831">
        <v>1004</v>
      </c>
      <c r="T831" t="s">
        <v>2225</v>
      </c>
      <c r="U831" t="s">
        <v>1721</v>
      </c>
      <c r="V831" s="1">
        <v>46053</v>
      </c>
      <c r="W831" s="1">
        <v>46053</v>
      </c>
      <c r="X831" t="s">
        <v>77</v>
      </c>
      <c r="Y831" t="s">
        <v>646</v>
      </c>
      <c r="Z831" t="s">
        <v>6</v>
      </c>
      <c r="AA831" t="s">
        <v>646</v>
      </c>
      <c r="AB831" s="4">
        <f t="shared" si="67"/>
        <v>2080062.5</v>
      </c>
      <c r="AC831" s="6">
        <v>0.1</v>
      </c>
      <c r="AD831" s="4">
        <f t="shared" si="68"/>
        <v>208006.25</v>
      </c>
      <c r="AE831" s="4">
        <f t="shared" si="62"/>
        <v>41601.25</v>
      </c>
    </row>
    <row r="832" spans="1:31" x14ac:dyDescent="0.25">
      <c r="A832" t="s">
        <v>0</v>
      </c>
      <c r="B832" s="3" t="s">
        <v>2219</v>
      </c>
      <c r="C832" t="s">
        <v>1718</v>
      </c>
      <c r="D832" t="s">
        <v>160</v>
      </c>
      <c r="E832" t="s">
        <v>1363</v>
      </c>
      <c r="F832" s="1">
        <v>46060</v>
      </c>
      <c r="G832" s="1">
        <v>46063</v>
      </c>
      <c r="H832" t="s">
        <v>901</v>
      </c>
      <c r="I832" t="s">
        <v>5</v>
      </c>
      <c r="J832" t="s">
        <v>6</v>
      </c>
      <c r="K832" t="s">
        <v>4</v>
      </c>
      <c r="L832" t="s">
        <v>1750</v>
      </c>
      <c r="M832" t="s">
        <v>1750</v>
      </c>
      <c r="N832" s="2">
        <v>19832</v>
      </c>
      <c r="O832" t="s">
        <v>1720</v>
      </c>
      <c r="P832" t="s">
        <v>9</v>
      </c>
      <c r="Q832" t="s">
        <v>82</v>
      </c>
      <c r="R832" t="e">
        <f>VLOOKUP(Q832,#REF!,2,FALSE)</f>
        <v>#REF!</v>
      </c>
      <c r="S832">
        <v>1004</v>
      </c>
      <c r="T832" t="s">
        <v>2225</v>
      </c>
      <c r="U832" t="s">
        <v>1721</v>
      </c>
      <c r="V832" s="1">
        <v>46053</v>
      </c>
      <c r="W832" s="1">
        <v>46053</v>
      </c>
      <c r="X832" t="s">
        <v>77</v>
      </c>
      <c r="Y832" t="s">
        <v>646</v>
      </c>
      <c r="Z832" t="s">
        <v>6</v>
      </c>
      <c r="AA832" t="s">
        <v>646</v>
      </c>
      <c r="AB832" s="4">
        <f t="shared" si="67"/>
        <v>247900</v>
      </c>
      <c r="AC832" s="6">
        <v>0.1</v>
      </c>
      <c r="AD832" s="4">
        <f t="shared" si="68"/>
        <v>24790</v>
      </c>
      <c r="AE832" s="4">
        <f t="shared" si="62"/>
        <v>4958</v>
      </c>
    </row>
    <row r="833" spans="1:31" x14ac:dyDescent="0.25">
      <c r="A833" t="s">
        <v>0</v>
      </c>
      <c r="B833" s="3" t="s">
        <v>2219</v>
      </c>
      <c r="C833" t="s">
        <v>1718</v>
      </c>
      <c r="D833" t="s">
        <v>160</v>
      </c>
      <c r="E833" t="s">
        <v>1365</v>
      </c>
      <c r="F833" s="1">
        <v>46060</v>
      </c>
      <c r="G833" s="1">
        <v>46063</v>
      </c>
      <c r="H833" t="s">
        <v>901</v>
      </c>
      <c r="I833" t="s">
        <v>5</v>
      </c>
      <c r="J833" t="s">
        <v>6</v>
      </c>
      <c r="K833" t="s">
        <v>4</v>
      </c>
      <c r="L833" t="s">
        <v>1751</v>
      </c>
      <c r="M833" t="s">
        <v>1751</v>
      </c>
      <c r="N833" s="2">
        <v>22554</v>
      </c>
      <c r="O833" t="s">
        <v>1720</v>
      </c>
      <c r="P833" t="s">
        <v>9</v>
      </c>
      <c r="Q833" t="s">
        <v>82</v>
      </c>
      <c r="R833" t="e">
        <f>VLOOKUP(Q833,#REF!,2,FALSE)</f>
        <v>#REF!</v>
      </c>
      <c r="S833">
        <v>1004</v>
      </c>
      <c r="T833" t="s">
        <v>2225</v>
      </c>
      <c r="U833" t="s">
        <v>1721</v>
      </c>
      <c r="V833" s="1">
        <v>46053</v>
      </c>
      <c r="W833" s="1">
        <v>46053</v>
      </c>
      <c r="X833" t="s">
        <v>77</v>
      </c>
      <c r="Y833" t="s">
        <v>646</v>
      </c>
      <c r="Z833" t="s">
        <v>6</v>
      </c>
      <c r="AA833" t="s">
        <v>646</v>
      </c>
      <c r="AB833" s="4">
        <f t="shared" si="67"/>
        <v>281925</v>
      </c>
      <c r="AC833" s="6">
        <v>0.1</v>
      </c>
      <c r="AD833" s="4">
        <f t="shared" si="68"/>
        <v>28192.5</v>
      </c>
      <c r="AE833" s="4">
        <f t="shared" si="62"/>
        <v>5638.5</v>
      </c>
    </row>
    <row r="834" spans="1:31" x14ac:dyDescent="0.25">
      <c r="A834" t="s">
        <v>0</v>
      </c>
      <c r="B834" s="3" t="s">
        <v>2219</v>
      </c>
      <c r="C834" t="s">
        <v>1718</v>
      </c>
      <c r="D834" t="s">
        <v>160</v>
      </c>
      <c r="E834" t="s">
        <v>1367</v>
      </c>
      <c r="F834" s="1">
        <v>46060</v>
      </c>
      <c r="G834" s="1">
        <v>46063</v>
      </c>
      <c r="H834" t="s">
        <v>904</v>
      </c>
      <c r="I834" t="s">
        <v>5</v>
      </c>
      <c r="J834" t="s">
        <v>6</v>
      </c>
      <c r="K834" t="s">
        <v>4</v>
      </c>
      <c r="L834" t="s">
        <v>1752</v>
      </c>
      <c r="M834" t="s">
        <v>1752</v>
      </c>
      <c r="N834" s="2">
        <v>1726</v>
      </c>
      <c r="O834" t="s">
        <v>1720</v>
      </c>
      <c r="P834" t="s">
        <v>9</v>
      </c>
      <c r="Q834" t="s">
        <v>86</v>
      </c>
      <c r="R834" t="e">
        <f>VLOOKUP(Q834,#REF!,2,FALSE)</f>
        <v>#REF!</v>
      </c>
      <c r="S834">
        <v>1004</v>
      </c>
      <c r="T834" t="s">
        <v>2225</v>
      </c>
      <c r="U834" t="s">
        <v>1721</v>
      </c>
      <c r="V834" s="1">
        <v>46053</v>
      </c>
      <c r="W834" s="1">
        <v>46053</v>
      </c>
      <c r="X834" t="s">
        <v>77</v>
      </c>
      <c r="Y834" t="s">
        <v>646</v>
      </c>
      <c r="Z834" t="s">
        <v>6</v>
      </c>
      <c r="AA834" t="s">
        <v>646</v>
      </c>
      <c r="AB834" s="4">
        <f t="shared" ref="AB834:AB865" si="69">L834/0.03</f>
        <v>57533.333333333336</v>
      </c>
      <c r="AC834" s="6">
        <v>0.04</v>
      </c>
      <c r="AD834" s="4">
        <f t="shared" ref="AD834:AD897" si="70">AB834*AC834</f>
        <v>2301.3333333333335</v>
      </c>
      <c r="AE834" s="4">
        <f t="shared" ref="AE834:AE897" si="71">AD834-L834</f>
        <v>575.33333333333348</v>
      </c>
    </row>
    <row r="835" spans="1:31" x14ac:dyDescent="0.25">
      <c r="A835" t="s">
        <v>0</v>
      </c>
      <c r="B835" s="3" t="s">
        <v>2219</v>
      </c>
      <c r="C835" t="s">
        <v>1718</v>
      </c>
      <c r="D835" t="s">
        <v>160</v>
      </c>
      <c r="E835" t="s">
        <v>1369</v>
      </c>
      <c r="F835" s="1">
        <v>46060</v>
      </c>
      <c r="G835" s="1">
        <v>46063</v>
      </c>
      <c r="H835" t="s">
        <v>904</v>
      </c>
      <c r="I835" t="s">
        <v>5</v>
      </c>
      <c r="J835" t="s">
        <v>6</v>
      </c>
      <c r="K835" t="s">
        <v>4</v>
      </c>
      <c r="L835" t="s">
        <v>1753</v>
      </c>
      <c r="M835" t="s">
        <v>1753</v>
      </c>
      <c r="N835" s="2">
        <v>4811</v>
      </c>
      <c r="O835" t="s">
        <v>1720</v>
      </c>
      <c r="P835" t="s">
        <v>9</v>
      </c>
      <c r="Q835" t="s">
        <v>86</v>
      </c>
      <c r="R835" t="e">
        <f>VLOOKUP(Q835,#REF!,2,FALSE)</f>
        <v>#REF!</v>
      </c>
      <c r="S835">
        <v>1004</v>
      </c>
      <c r="T835" t="s">
        <v>2225</v>
      </c>
      <c r="U835" t="s">
        <v>1721</v>
      </c>
      <c r="V835" s="1">
        <v>46053</v>
      </c>
      <c r="W835" s="1">
        <v>46053</v>
      </c>
      <c r="X835" t="s">
        <v>77</v>
      </c>
      <c r="Y835" t="s">
        <v>646</v>
      </c>
      <c r="Z835" t="s">
        <v>6</v>
      </c>
      <c r="AA835" t="s">
        <v>646</v>
      </c>
      <c r="AB835" s="4">
        <f t="shared" si="69"/>
        <v>160366.66666666669</v>
      </c>
      <c r="AC835" s="6">
        <v>0.04</v>
      </c>
      <c r="AD835" s="4">
        <f t="shared" si="70"/>
        <v>6414.6666666666679</v>
      </c>
      <c r="AE835" s="4">
        <f t="shared" si="71"/>
        <v>1603.6666666666679</v>
      </c>
    </row>
    <row r="836" spans="1:31" x14ac:dyDescent="0.25">
      <c r="A836" t="s">
        <v>0</v>
      </c>
      <c r="B836" s="3" t="s">
        <v>2219</v>
      </c>
      <c r="C836" t="s">
        <v>1718</v>
      </c>
      <c r="D836" t="s">
        <v>160</v>
      </c>
      <c r="E836" t="s">
        <v>1371</v>
      </c>
      <c r="F836" s="1">
        <v>46060</v>
      </c>
      <c r="G836" s="1">
        <v>46063</v>
      </c>
      <c r="H836" t="s">
        <v>904</v>
      </c>
      <c r="I836" t="s">
        <v>5</v>
      </c>
      <c r="J836" t="s">
        <v>6</v>
      </c>
      <c r="K836" t="s">
        <v>4</v>
      </c>
      <c r="L836" t="s">
        <v>1754</v>
      </c>
      <c r="M836" t="s">
        <v>1754</v>
      </c>
      <c r="N836" s="2">
        <v>2542</v>
      </c>
      <c r="O836" t="s">
        <v>1720</v>
      </c>
      <c r="P836" t="s">
        <v>9</v>
      </c>
      <c r="Q836" t="s">
        <v>86</v>
      </c>
      <c r="R836" t="e">
        <f>VLOOKUP(Q836,#REF!,2,FALSE)</f>
        <v>#REF!</v>
      </c>
      <c r="S836">
        <v>1004</v>
      </c>
      <c r="T836" t="s">
        <v>2225</v>
      </c>
      <c r="U836" t="s">
        <v>1721</v>
      </c>
      <c r="V836" s="1">
        <v>46053</v>
      </c>
      <c r="W836" s="1">
        <v>46053</v>
      </c>
      <c r="X836" t="s">
        <v>77</v>
      </c>
      <c r="Y836" t="s">
        <v>646</v>
      </c>
      <c r="Z836" t="s">
        <v>6</v>
      </c>
      <c r="AA836" t="s">
        <v>646</v>
      </c>
      <c r="AB836" s="4">
        <f t="shared" si="69"/>
        <v>84733.333333333343</v>
      </c>
      <c r="AC836" s="6">
        <v>0.04</v>
      </c>
      <c r="AD836" s="4">
        <f t="shared" si="70"/>
        <v>3389.3333333333339</v>
      </c>
      <c r="AE836" s="4">
        <f t="shared" si="71"/>
        <v>847.33333333333394</v>
      </c>
    </row>
    <row r="837" spans="1:31" x14ac:dyDescent="0.25">
      <c r="A837" t="s">
        <v>0</v>
      </c>
      <c r="B837" s="3" t="s">
        <v>2219</v>
      </c>
      <c r="C837" t="s">
        <v>1718</v>
      </c>
      <c r="D837" t="s">
        <v>160</v>
      </c>
      <c r="E837" t="s">
        <v>1373</v>
      </c>
      <c r="F837" s="1">
        <v>46060</v>
      </c>
      <c r="G837" s="1">
        <v>46063</v>
      </c>
      <c r="H837" t="s">
        <v>904</v>
      </c>
      <c r="I837" t="s">
        <v>5</v>
      </c>
      <c r="J837" t="s">
        <v>6</v>
      </c>
      <c r="K837" t="s">
        <v>4</v>
      </c>
      <c r="L837" t="s">
        <v>1755</v>
      </c>
      <c r="M837" t="s">
        <v>1755</v>
      </c>
      <c r="N837" s="2">
        <v>1300</v>
      </c>
      <c r="O837" t="s">
        <v>1720</v>
      </c>
      <c r="P837" t="s">
        <v>9</v>
      </c>
      <c r="Q837" t="s">
        <v>86</v>
      </c>
      <c r="R837" t="e">
        <f>VLOOKUP(Q837,#REF!,2,FALSE)</f>
        <v>#REF!</v>
      </c>
      <c r="S837">
        <v>1004</v>
      </c>
      <c r="T837" t="s">
        <v>2225</v>
      </c>
      <c r="U837" t="s">
        <v>1721</v>
      </c>
      <c r="V837" s="1">
        <v>46053</v>
      </c>
      <c r="W837" s="1">
        <v>46053</v>
      </c>
      <c r="X837" t="s">
        <v>77</v>
      </c>
      <c r="Y837" t="s">
        <v>646</v>
      </c>
      <c r="Z837" t="s">
        <v>6</v>
      </c>
      <c r="AA837" t="s">
        <v>646</v>
      </c>
      <c r="AB837" s="4">
        <f t="shared" si="69"/>
        <v>43333.333333333336</v>
      </c>
      <c r="AC837" s="6">
        <v>0.04</v>
      </c>
      <c r="AD837" s="4">
        <f t="shared" si="70"/>
        <v>1733.3333333333335</v>
      </c>
      <c r="AE837" s="4">
        <f t="shared" si="71"/>
        <v>433.33333333333348</v>
      </c>
    </row>
    <row r="838" spans="1:31" x14ac:dyDescent="0.25">
      <c r="A838" t="s">
        <v>0</v>
      </c>
      <c r="B838" s="3" t="s">
        <v>2219</v>
      </c>
      <c r="C838" t="s">
        <v>1718</v>
      </c>
      <c r="D838" t="s">
        <v>160</v>
      </c>
      <c r="E838" t="s">
        <v>1375</v>
      </c>
      <c r="F838" s="1">
        <v>46060</v>
      </c>
      <c r="G838" s="1">
        <v>46063</v>
      </c>
      <c r="H838" t="s">
        <v>904</v>
      </c>
      <c r="I838" t="s">
        <v>5</v>
      </c>
      <c r="J838" t="s">
        <v>6</v>
      </c>
      <c r="K838" t="s">
        <v>4</v>
      </c>
      <c r="L838" t="s">
        <v>1756</v>
      </c>
      <c r="M838" t="s">
        <v>1756</v>
      </c>
      <c r="N838" s="2">
        <v>2724</v>
      </c>
      <c r="O838" t="s">
        <v>1720</v>
      </c>
      <c r="P838" t="s">
        <v>9</v>
      </c>
      <c r="Q838" t="s">
        <v>86</v>
      </c>
      <c r="R838" t="e">
        <f>VLOOKUP(Q838,#REF!,2,FALSE)</f>
        <v>#REF!</v>
      </c>
      <c r="S838">
        <v>1004</v>
      </c>
      <c r="T838" t="s">
        <v>2225</v>
      </c>
      <c r="U838" t="s">
        <v>1721</v>
      </c>
      <c r="V838" s="1">
        <v>46053</v>
      </c>
      <c r="W838" s="1">
        <v>46053</v>
      </c>
      <c r="X838" t="s">
        <v>77</v>
      </c>
      <c r="Y838" t="s">
        <v>646</v>
      </c>
      <c r="Z838" t="s">
        <v>6</v>
      </c>
      <c r="AA838" t="s">
        <v>646</v>
      </c>
      <c r="AB838" s="4">
        <f t="shared" si="69"/>
        <v>90800</v>
      </c>
      <c r="AC838" s="6">
        <v>0.04</v>
      </c>
      <c r="AD838" s="4">
        <f t="shared" si="70"/>
        <v>3632</v>
      </c>
      <c r="AE838" s="4">
        <f t="shared" si="71"/>
        <v>908</v>
      </c>
    </row>
    <row r="839" spans="1:31" x14ac:dyDescent="0.25">
      <c r="A839" t="s">
        <v>0</v>
      </c>
      <c r="B839" s="3" t="s">
        <v>2219</v>
      </c>
      <c r="C839" t="s">
        <v>1718</v>
      </c>
      <c r="D839" t="s">
        <v>160</v>
      </c>
      <c r="E839" t="s">
        <v>1377</v>
      </c>
      <c r="F839" s="1">
        <v>46060</v>
      </c>
      <c r="G839" s="1">
        <v>46063</v>
      </c>
      <c r="H839" t="s">
        <v>904</v>
      </c>
      <c r="I839" t="s">
        <v>5</v>
      </c>
      <c r="J839" t="s">
        <v>6</v>
      </c>
      <c r="K839" t="s">
        <v>4</v>
      </c>
      <c r="L839" t="s">
        <v>1757</v>
      </c>
      <c r="M839" t="s">
        <v>1757</v>
      </c>
      <c r="N839" s="2">
        <v>631</v>
      </c>
      <c r="O839" t="s">
        <v>1720</v>
      </c>
      <c r="P839" t="s">
        <v>9</v>
      </c>
      <c r="Q839" t="s">
        <v>86</v>
      </c>
      <c r="R839" t="e">
        <f>VLOOKUP(Q839,#REF!,2,FALSE)</f>
        <v>#REF!</v>
      </c>
      <c r="S839">
        <v>1004</v>
      </c>
      <c r="T839" t="s">
        <v>2225</v>
      </c>
      <c r="U839" t="s">
        <v>1721</v>
      </c>
      <c r="V839" s="1">
        <v>46053</v>
      </c>
      <c r="W839" s="1">
        <v>46053</v>
      </c>
      <c r="X839" t="s">
        <v>77</v>
      </c>
      <c r="Y839" t="s">
        <v>646</v>
      </c>
      <c r="Z839" t="s">
        <v>6</v>
      </c>
      <c r="AA839" t="s">
        <v>646</v>
      </c>
      <c r="AB839" s="4">
        <f t="shared" si="69"/>
        <v>21033.333333333336</v>
      </c>
      <c r="AC839" s="6">
        <v>0.04</v>
      </c>
      <c r="AD839" s="4">
        <f t="shared" si="70"/>
        <v>841.33333333333348</v>
      </c>
      <c r="AE839" s="4">
        <f t="shared" si="71"/>
        <v>210.33333333333348</v>
      </c>
    </row>
    <row r="840" spans="1:31" x14ac:dyDescent="0.25">
      <c r="A840" t="s">
        <v>0</v>
      </c>
      <c r="B840" s="3" t="s">
        <v>2219</v>
      </c>
      <c r="C840" t="s">
        <v>1718</v>
      </c>
      <c r="D840" t="s">
        <v>160</v>
      </c>
      <c r="E840" t="s">
        <v>1379</v>
      </c>
      <c r="F840" s="1">
        <v>46060</v>
      </c>
      <c r="G840" s="1">
        <v>46063</v>
      </c>
      <c r="H840" t="s">
        <v>904</v>
      </c>
      <c r="I840" t="s">
        <v>5</v>
      </c>
      <c r="J840" t="s">
        <v>6</v>
      </c>
      <c r="K840" t="s">
        <v>4</v>
      </c>
      <c r="L840" t="s">
        <v>1105</v>
      </c>
      <c r="M840" t="s">
        <v>1105</v>
      </c>
      <c r="N840" s="2">
        <v>687</v>
      </c>
      <c r="O840" t="s">
        <v>1720</v>
      </c>
      <c r="P840" t="s">
        <v>9</v>
      </c>
      <c r="Q840" t="s">
        <v>86</v>
      </c>
      <c r="R840" t="e">
        <f>VLOOKUP(Q840,#REF!,2,FALSE)</f>
        <v>#REF!</v>
      </c>
      <c r="S840">
        <v>1004</v>
      </c>
      <c r="T840" t="s">
        <v>2225</v>
      </c>
      <c r="U840" t="s">
        <v>1721</v>
      </c>
      <c r="V840" s="1">
        <v>46053</v>
      </c>
      <c r="W840" s="1">
        <v>46053</v>
      </c>
      <c r="X840" t="s">
        <v>77</v>
      </c>
      <c r="Y840" t="s">
        <v>646</v>
      </c>
      <c r="Z840" t="s">
        <v>6</v>
      </c>
      <c r="AA840" t="s">
        <v>646</v>
      </c>
      <c r="AB840" s="4">
        <f t="shared" si="69"/>
        <v>22900</v>
      </c>
      <c r="AC840" s="6">
        <v>0.04</v>
      </c>
      <c r="AD840" s="4">
        <f t="shared" si="70"/>
        <v>916</v>
      </c>
      <c r="AE840" s="4">
        <f t="shared" si="71"/>
        <v>229</v>
      </c>
    </row>
    <row r="841" spans="1:31" x14ac:dyDescent="0.25">
      <c r="A841" t="s">
        <v>0</v>
      </c>
      <c r="B841" s="3" t="s">
        <v>2219</v>
      </c>
      <c r="C841" t="s">
        <v>1718</v>
      </c>
      <c r="D841" t="s">
        <v>160</v>
      </c>
      <c r="E841" t="s">
        <v>1381</v>
      </c>
      <c r="F841" s="1">
        <v>46060</v>
      </c>
      <c r="G841" s="1">
        <v>46063</v>
      </c>
      <c r="H841" t="s">
        <v>904</v>
      </c>
      <c r="I841" t="s">
        <v>5</v>
      </c>
      <c r="J841" t="s">
        <v>6</v>
      </c>
      <c r="K841" t="s">
        <v>4</v>
      </c>
      <c r="L841" t="s">
        <v>1758</v>
      </c>
      <c r="M841" t="s">
        <v>1758</v>
      </c>
      <c r="N841" s="2">
        <v>8278</v>
      </c>
      <c r="O841" t="s">
        <v>1720</v>
      </c>
      <c r="P841" t="s">
        <v>9</v>
      </c>
      <c r="Q841" t="s">
        <v>86</v>
      </c>
      <c r="R841" t="e">
        <f>VLOOKUP(Q841,#REF!,2,FALSE)</f>
        <v>#REF!</v>
      </c>
      <c r="S841">
        <v>1004</v>
      </c>
      <c r="T841" t="s">
        <v>2225</v>
      </c>
      <c r="U841" t="s">
        <v>1721</v>
      </c>
      <c r="V841" s="1">
        <v>46053</v>
      </c>
      <c r="W841" s="1">
        <v>46053</v>
      </c>
      <c r="X841" t="s">
        <v>77</v>
      </c>
      <c r="Y841" t="s">
        <v>646</v>
      </c>
      <c r="Z841" t="s">
        <v>6</v>
      </c>
      <c r="AA841" t="s">
        <v>646</v>
      </c>
      <c r="AB841" s="4">
        <f t="shared" si="69"/>
        <v>275933.33333333337</v>
      </c>
      <c r="AC841" s="6">
        <v>0.04</v>
      </c>
      <c r="AD841" s="4">
        <f t="shared" si="70"/>
        <v>11037.333333333336</v>
      </c>
      <c r="AE841" s="4">
        <f t="shared" si="71"/>
        <v>2759.3333333333358</v>
      </c>
    </row>
    <row r="842" spans="1:31" x14ac:dyDescent="0.25">
      <c r="A842" t="s">
        <v>0</v>
      </c>
      <c r="B842" s="3" t="s">
        <v>2219</v>
      </c>
      <c r="C842" t="s">
        <v>1718</v>
      </c>
      <c r="D842" t="s">
        <v>160</v>
      </c>
      <c r="E842" t="s">
        <v>1382</v>
      </c>
      <c r="F842" s="1">
        <v>46060</v>
      </c>
      <c r="G842" s="1">
        <v>46063</v>
      </c>
      <c r="H842" t="s">
        <v>904</v>
      </c>
      <c r="I842" t="s">
        <v>5</v>
      </c>
      <c r="J842" t="s">
        <v>6</v>
      </c>
      <c r="K842" t="s">
        <v>4</v>
      </c>
      <c r="L842" t="s">
        <v>1759</v>
      </c>
      <c r="M842" t="s">
        <v>1759</v>
      </c>
      <c r="N842" s="2">
        <v>2258</v>
      </c>
      <c r="O842" t="s">
        <v>1720</v>
      </c>
      <c r="P842" t="s">
        <v>9</v>
      </c>
      <c r="Q842" t="s">
        <v>86</v>
      </c>
      <c r="R842" t="e">
        <f>VLOOKUP(Q842,#REF!,2,FALSE)</f>
        <v>#REF!</v>
      </c>
      <c r="S842">
        <v>1004</v>
      </c>
      <c r="T842" t="s">
        <v>2225</v>
      </c>
      <c r="U842" t="s">
        <v>1721</v>
      </c>
      <c r="V842" s="1">
        <v>46053</v>
      </c>
      <c r="W842" s="1">
        <v>46053</v>
      </c>
      <c r="X842" t="s">
        <v>77</v>
      </c>
      <c r="Y842" t="s">
        <v>646</v>
      </c>
      <c r="Z842" t="s">
        <v>6</v>
      </c>
      <c r="AA842" t="s">
        <v>646</v>
      </c>
      <c r="AB842" s="4">
        <f t="shared" si="69"/>
        <v>75266.666666666672</v>
      </c>
      <c r="AC842" s="6">
        <v>0.04</v>
      </c>
      <c r="AD842" s="4">
        <f t="shared" si="70"/>
        <v>3010.666666666667</v>
      </c>
      <c r="AE842" s="4">
        <f t="shared" si="71"/>
        <v>752.66666666666697</v>
      </c>
    </row>
    <row r="843" spans="1:31" x14ac:dyDescent="0.25">
      <c r="A843" t="s">
        <v>0</v>
      </c>
      <c r="B843" s="3" t="s">
        <v>2219</v>
      </c>
      <c r="C843" t="s">
        <v>1718</v>
      </c>
      <c r="D843" t="s">
        <v>160</v>
      </c>
      <c r="E843" t="s">
        <v>1760</v>
      </c>
      <c r="F843" s="1">
        <v>46060</v>
      </c>
      <c r="G843" s="1">
        <v>46063</v>
      </c>
      <c r="H843" t="s">
        <v>904</v>
      </c>
      <c r="I843" t="s">
        <v>5</v>
      </c>
      <c r="J843" t="s">
        <v>6</v>
      </c>
      <c r="K843" t="s">
        <v>4</v>
      </c>
      <c r="L843" t="s">
        <v>1761</v>
      </c>
      <c r="M843" t="s">
        <v>1761</v>
      </c>
      <c r="N843" s="2">
        <v>9416</v>
      </c>
      <c r="O843" t="s">
        <v>1720</v>
      </c>
      <c r="P843" t="s">
        <v>9</v>
      </c>
      <c r="Q843" t="s">
        <v>86</v>
      </c>
      <c r="R843" t="e">
        <f>VLOOKUP(Q843,#REF!,2,FALSE)</f>
        <v>#REF!</v>
      </c>
      <c r="S843">
        <v>1004</v>
      </c>
      <c r="T843" t="s">
        <v>2225</v>
      </c>
      <c r="U843" t="s">
        <v>1721</v>
      </c>
      <c r="V843" s="1">
        <v>46053</v>
      </c>
      <c r="W843" s="1">
        <v>46053</v>
      </c>
      <c r="X843" t="s">
        <v>77</v>
      </c>
      <c r="Y843" t="s">
        <v>646</v>
      </c>
      <c r="Z843" t="s">
        <v>6</v>
      </c>
      <c r="AA843" t="s">
        <v>646</v>
      </c>
      <c r="AB843" s="4">
        <f t="shared" si="69"/>
        <v>313866.66666666669</v>
      </c>
      <c r="AC843" s="6">
        <v>0.04</v>
      </c>
      <c r="AD843" s="4">
        <f t="shared" si="70"/>
        <v>12554.666666666668</v>
      </c>
      <c r="AE843" s="4">
        <f t="shared" si="71"/>
        <v>3138.6666666666679</v>
      </c>
    </row>
    <row r="844" spans="1:31" x14ac:dyDescent="0.25">
      <c r="A844" t="s">
        <v>0</v>
      </c>
      <c r="B844" s="3" t="s">
        <v>2219</v>
      </c>
      <c r="C844" t="s">
        <v>1718</v>
      </c>
      <c r="D844" t="s">
        <v>160</v>
      </c>
      <c r="E844" t="s">
        <v>1762</v>
      </c>
      <c r="F844" s="1">
        <v>46060</v>
      </c>
      <c r="G844" s="1">
        <v>46063</v>
      </c>
      <c r="H844" t="s">
        <v>904</v>
      </c>
      <c r="I844" t="s">
        <v>5</v>
      </c>
      <c r="J844" t="s">
        <v>6</v>
      </c>
      <c r="K844" t="s">
        <v>4</v>
      </c>
      <c r="L844" t="s">
        <v>1763</v>
      </c>
      <c r="M844" t="s">
        <v>1763</v>
      </c>
      <c r="N844" s="2">
        <v>6824</v>
      </c>
      <c r="O844" t="s">
        <v>1720</v>
      </c>
      <c r="P844" t="s">
        <v>9</v>
      </c>
      <c r="Q844" t="s">
        <v>86</v>
      </c>
      <c r="R844" t="e">
        <f>VLOOKUP(Q844,#REF!,2,FALSE)</f>
        <v>#REF!</v>
      </c>
      <c r="S844">
        <v>1004</v>
      </c>
      <c r="T844" t="s">
        <v>2225</v>
      </c>
      <c r="U844" t="s">
        <v>1721</v>
      </c>
      <c r="V844" s="1">
        <v>46053</v>
      </c>
      <c r="W844" s="1">
        <v>46053</v>
      </c>
      <c r="X844" t="s">
        <v>77</v>
      </c>
      <c r="Y844" t="s">
        <v>646</v>
      </c>
      <c r="Z844" t="s">
        <v>6</v>
      </c>
      <c r="AA844" t="s">
        <v>646</v>
      </c>
      <c r="AB844" s="4">
        <f t="shared" si="69"/>
        <v>227466.66666666669</v>
      </c>
      <c r="AC844" s="6">
        <v>0.04</v>
      </c>
      <c r="AD844" s="4">
        <f t="shared" si="70"/>
        <v>9098.6666666666679</v>
      </c>
      <c r="AE844" s="4">
        <f t="shared" si="71"/>
        <v>2274.6666666666679</v>
      </c>
    </row>
    <row r="845" spans="1:31" x14ac:dyDescent="0.25">
      <c r="A845" t="s">
        <v>0</v>
      </c>
      <c r="B845" s="3" t="s">
        <v>2219</v>
      </c>
      <c r="C845" t="s">
        <v>1718</v>
      </c>
      <c r="D845" t="s">
        <v>160</v>
      </c>
      <c r="E845" t="s">
        <v>1764</v>
      </c>
      <c r="F845" s="1">
        <v>46060</v>
      </c>
      <c r="G845" s="1">
        <v>46063</v>
      </c>
      <c r="H845" t="s">
        <v>904</v>
      </c>
      <c r="I845" t="s">
        <v>5</v>
      </c>
      <c r="J845" t="s">
        <v>6</v>
      </c>
      <c r="K845" t="s">
        <v>4</v>
      </c>
      <c r="L845" t="s">
        <v>1765</v>
      </c>
      <c r="M845" t="s">
        <v>1765</v>
      </c>
      <c r="N845" s="2">
        <v>18854</v>
      </c>
      <c r="O845" t="s">
        <v>1720</v>
      </c>
      <c r="P845" t="s">
        <v>9</v>
      </c>
      <c r="Q845" t="s">
        <v>86</v>
      </c>
      <c r="R845" t="e">
        <f>VLOOKUP(Q845,#REF!,2,FALSE)</f>
        <v>#REF!</v>
      </c>
      <c r="S845">
        <v>1004</v>
      </c>
      <c r="T845" t="s">
        <v>2225</v>
      </c>
      <c r="U845" t="s">
        <v>1721</v>
      </c>
      <c r="V845" s="1">
        <v>46053</v>
      </c>
      <c r="W845" s="1">
        <v>46053</v>
      </c>
      <c r="X845" t="s">
        <v>77</v>
      </c>
      <c r="Y845" t="s">
        <v>646</v>
      </c>
      <c r="Z845" t="s">
        <v>6</v>
      </c>
      <c r="AA845" t="s">
        <v>646</v>
      </c>
      <c r="AB845" s="4">
        <f t="shared" si="69"/>
        <v>628466.66666666674</v>
      </c>
      <c r="AC845" s="6">
        <v>0.04</v>
      </c>
      <c r="AD845" s="4">
        <f t="shared" si="70"/>
        <v>25138.666666666672</v>
      </c>
      <c r="AE845" s="4">
        <f t="shared" si="71"/>
        <v>6284.6666666666715</v>
      </c>
    </row>
    <row r="846" spans="1:31" x14ac:dyDescent="0.25">
      <c r="A846" t="s">
        <v>0</v>
      </c>
      <c r="B846" s="3" t="s">
        <v>2219</v>
      </c>
      <c r="C846" t="s">
        <v>1718</v>
      </c>
      <c r="D846" t="s">
        <v>160</v>
      </c>
      <c r="E846" t="s">
        <v>1766</v>
      </c>
      <c r="F846" s="1">
        <v>46060</v>
      </c>
      <c r="G846" s="1">
        <v>46063</v>
      </c>
      <c r="H846" t="s">
        <v>904</v>
      </c>
      <c r="I846" t="s">
        <v>5</v>
      </c>
      <c r="J846" t="s">
        <v>6</v>
      </c>
      <c r="K846" t="s">
        <v>4</v>
      </c>
      <c r="L846" t="s">
        <v>1767</v>
      </c>
      <c r="M846" t="s">
        <v>1767</v>
      </c>
      <c r="N846" s="2">
        <v>35248</v>
      </c>
      <c r="O846" t="s">
        <v>1720</v>
      </c>
      <c r="P846" t="s">
        <v>9</v>
      </c>
      <c r="Q846" t="s">
        <v>86</v>
      </c>
      <c r="R846" t="e">
        <f>VLOOKUP(Q846,#REF!,2,FALSE)</f>
        <v>#REF!</v>
      </c>
      <c r="S846">
        <v>1004</v>
      </c>
      <c r="T846" t="s">
        <v>2225</v>
      </c>
      <c r="U846" t="s">
        <v>1721</v>
      </c>
      <c r="V846" s="1">
        <v>46053</v>
      </c>
      <c r="W846" s="1">
        <v>46053</v>
      </c>
      <c r="X846" t="s">
        <v>77</v>
      </c>
      <c r="Y846" t="s">
        <v>646</v>
      </c>
      <c r="Z846" t="s">
        <v>6</v>
      </c>
      <c r="AA846" t="s">
        <v>646</v>
      </c>
      <c r="AB846" s="4">
        <f t="shared" si="69"/>
        <v>1174933.3333333335</v>
      </c>
      <c r="AC846" s="6">
        <v>0.04</v>
      </c>
      <c r="AD846" s="4">
        <f t="shared" si="70"/>
        <v>46997.333333333343</v>
      </c>
      <c r="AE846" s="4">
        <f t="shared" si="71"/>
        <v>11749.333333333343</v>
      </c>
    </row>
    <row r="847" spans="1:31" x14ac:dyDescent="0.25">
      <c r="A847" t="s">
        <v>0</v>
      </c>
      <c r="B847" s="3" t="s">
        <v>2219</v>
      </c>
      <c r="C847" t="s">
        <v>1718</v>
      </c>
      <c r="D847" t="s">
        <v>160</v>
      </c>
      <c r="E847" t="s">
        <v>1768</v>
      </c>
      <c r="F847" s="1">
        <v>46060</v>
      </c>
      <c r="G847" s="1">
        <v>46063</v>
      </c>
      <c r="H847" t="s">
        <v>904</v>
      </c>
      <c r="I847" t="s">
        <v>5</v>
      </c>
      <c r="J847" t="s">
        <v>6</v>
      </c>
      <c r="K847" t="s">
        <v>4</v>
      </c>
      <c r="L847" t="s">
        <v>1769</v>
      </c>
      <c r="M847" t="s">
        <v>1769</v>
      </c>
      <c r="N847" s="2">
        <v>2553</v>
      </c>
      <c r="O847" t="s">
        <v>1720</v>
      </c>
      <c r="P847" t="s">
        <v>9</v>
      </c>
      <c r="Q847" t="s">
        <v>86</v>
      </c>
      <c r="R847" t="e">
        <f>VLOOKUP(Q847,#REF!,2,FALSE)</f>
        <v>#REF!</v>
      </c>
      <c r="S847">
        <v>1004</v>
      </c>
      <c r="T847" t="s">
        <v>2225</v>
      </c>
      <c r="U847" t="s">
        <v>1721</v>
      </c>
      <c r="V847" s="1">
        <v>46053</v>
      </c>
      <c r="W847" s="1">
        <v>46053</v>
      </c>
      <c r="X847" t="s">
        <v>77</v>
      </c>
      <c r="Y847" t="s">
        <v>646</v>
      </c>
      <c r="Z847" t="s">
        <v>6</v>
      </c>
      <c r="AA847" t="s">
        <v>646</v>
      </c>
      <c r="AB847" s="4">
        <f t="shared" si="69"/>
        <v>85100</v>
      </c>
      <c r="AC847" s="6">
        <v>0.04</v>
      </c>
      <c r="AD847" s="4">
        <f t="shared" si="70"/>
        <v>3404</v>
      </c>
      <c r="AE847" s="4">
        <f t="shared" si="71"/>
        <v>851</v>
      </c>
    </row>
    <row r="848" spans="1:31" x14ac:dyDescent="0.25">
      <c r="A848" t="s">
        <v>0</v>
      </c>
      <c r="B848" s="3" t="s">
        <v>2219</v>
      </c>
      <c r="C848" t="s">
        <v>1718</v>
      </c>
      <c r="D848" t="s">
        <v>160</v>
      </c>
      <c r="E848" t="s">
        <v>1770</v>
      </c>
      <c r="F848" s="1">
        <v>46060</v>
      </c>
      <c r="G848" s="1">
        <v>46063</v>
      </c>
      <c r="H848" t="s">
        <v>904</v>
      </c>
      <c r="I848" t="s">
        <v>5</v>
      </c>
      <c r="J848" t="s">
        <v>6</v>
      </c>
      <c r="K848" t="s">
        <v>4</v>
      </c>
      <c r="L848" t="s">
        <v>1771</v>
      </c>
      <c r="M848" t="s">
        <v>1771</v>
      </c>
      <c r="N848" s="2">
        <v>31014</v>
      </c>
      <c r="O848" t="s">
        <v>1720</v>
      </c>
      <c r="P848" t="s">
        <v>9</v>
      </c>
      <c r="Q848" t="s">
        <v>86</v>
      </c>
      <c r="R848" t="e">
        <f>VLOOKUP(Q848,#REF!,2,FALSE)</f>
        <v>#REF!</v>
      </c>
      <c r="S848">
        <v>1004</v>
      </c>
      <c r="T848" t="s">
        <v>2225</v>
      </c>
      <c r="U848" t="s">
        <v>1721</v>
      </c>
      <c r="V848" s="1">
        <v>46053</v>
      </c>
      <c r="W848" s="1">
        <v>46053</v>
      </c>
      <c r="X848" t="s">
        <v>77</v>
      </c>
      <c r="Y848" t="s">
        <v>646</v>
      </c>
      <c r="Z848" t="s">
        <v>6</v>
      </c>
      <c r="AA848" t="s">
        <v>646</v>
      </c>
      <c r="AB848" s="4">
        <f t="shared" si="69"/>
        <v>1033800</v>
      </c>
      <c r="AC848" s="6">
        <v>0.04</v>
      </c>
      <c r="AD848" s="4">
        <f t="shared" si="70"/>
        <v>41352</v>
      </c>
      <c r="AE848" s="4">
        <f t="shared" si="71"/>
        <v>10338</v>
      </c>
    </row>
    <row r="849" spans="1:31" x14ac:dyDescent="0.25">
      <c r="A849" t="s">
        <v>0</v>
      </c>
      <c r="B849" s="3" t="s">
        <v>2219</v>
      </c>
      <c r="C849" t="s">
        <v>1718</v>
      </c>
      <c r="D849" t="s">
        <v>160</v>
      </c>
      <c r="E849" t="s">
        <v>1772</v>
      </c>
      <c r="F849" s="1">
        <v>46060</v>
      </c>
      <c r="G849" s="1">
        <v>46063</v>
      </c>
      <c r="H849" t="s">
        <v>904</v>
      </c>
      <c r="I849" t="s">
        <v>5</v>
      </c>
      <c r="J849" t="s">
        <v>6</v>
      </c>
      <c r="K849" t="s">
        <v>4</v>
      </c>
      <c r="L849" t="s">
        <v>1773</v>
      </c>
      <c r="M849" t="s">
        <v>1773</v>
      </c>
      <c r="N849" s="2">
        <v>1898</v>
      </c>
      <c r="O849" t="s">
        <v>1720</v>
      </c>
      <c r="P849" t="s">
        <v>9</v>
      </c>
      <c r="Q849" t="s">
        <v>86</v>
      </c>
      <c r="R849" t="e">
        <f>VLOOKUP(Q849,#REF!,2,FALSE)</f>
        <v>#REF!</v>
      </c>
      <c r="S849">
        <v>1004</v>
      </c>
      <c r="T849" t="s">
        <v>2225</v>
      </c>
      <c r="U849" t="s">
        <v>1721</v>
      </c>
      <c r="V849" s="1">
        <v>46053</v>
      </c>
      <c r="W849" s="1">
        <v>46053</v>
      </c>
      <c r="X849" t="s">
        <v>77</v>
      </c>
      <c r="Y849" t="s">
        <v>646</v>
      </c>
      <c r="Z849" t="s">
        <v>6</v>
      </c>
      <c r="AA849" t="s">
        <v>646</v>
      </c>
      <c r="AB849" s="4">
        <f t="shared" si="69"/>
        <v>63266.666666666672</v>
      </c>
      <c r="AC849" s="6">
        <v>0.04</v>
      </c>
      <c r="AD849" s="4">
        <f t="shared" si="70"/>
        <v>2530.666666666667</v>
      </c>
      <c r="AE849" s="4">
        <f t="shared" si="71"/>
        <v>632.66666666666697</v>
      </c>
    </row>
    <row r="850" spans="1:31" x14ac:dyDescent="0.25">
      <c r="A850" t="s">
        <v>0</v>
      </c>
      <c r="B850" s="3" t="s">
        <v>2219</v>
      </c>
      <c r="C850" t="s">
        <v>1718</v>
      </c>
      <c r="D850" t="s">
        <v>160</v>
      </c>
      <c r="E850" t="s">
        <v>1774</v>
      </c>
      <c r="F850" s="1">
        <v>46060</v>
      </c>
      <c r="G850" s="1">
        <v>46063</v>
      </c>
      <c r="H850" t="s">
        <v>904</v>
      </c>
      <c r="I850" t="s">
        <v>5</v>
      </c>
      <c r="J850" t="s">
        <v>6</v>
      </c>
      <c r="K850" t="s">
        <v>4</v>
      </c>
      <c r="L850" t="s">
        <v>1775</v>
      </c>
      <c r="M850" t="s">
        <v>1775</v>
      </c>
      <c r="N850" s="2">
        <v>19091</v>
      </c>
      <c r="O850" t="s">
        <v>1720</v>
      </c>
      <c r="P850" t="s">
        <v>9</v>
      </c>
      <c r="Q850" t="s">
        <v>86</v>
      </c>
      <c r="R850" t="e">
        <f>VLOOKUP(Q850,#REF!,2,FALSE)</f>
        <v>#REF!</v>
      </c>
      <c r="S850">
        <v>1004</v>
      </c>
      <c r="T850" t="s">
        <v>2225</v>
      </c>
      <c r="U850" t="s">
        <v>1721</v>
      </c>
      <c r="V850" s="1">
        <v>46053</v>
      </c>
      <c r="W850" s="1">
        <v>46053</v>
      </c>
      <c r="X850" t="s">
        <v>77</v>
      </c>
      <c r="Y850" t="s">
        <v>646</v>
      </c>
      <c r="Z850" t="s">
        <v>6</v>
      </c>
      <c r="AA850" t="s">
        <v>646</v>
      </c>
      <c r="AB850" s="4">
        <f t="shared" si="69"/>
        <v>636366.66666666674</v>
      </c>
      <c r="AC850" s="6">
        <v>0.04</v>
      </c>
      <c r="AD850" s="4">
        <f t="shared" si="70"/>
        <v>25454.666666666672</v>
      </c>
      <c r="AE850" s="4">
        <f t="shared" si="71"/>
        <v>6363.6666666666715</v>
      </c>
    </row>
    <row r="851" spans="1:31" x14ac:dyDescent="0.25">
      <c r="A851" t="s">
        <v>0</v>
      </c>
      <c r="B851" s="3" t="s">
        <v>2219</v>
      </c>
      <c r="C851" t="s">
        <v>1718</v>
      </c>
      <c r="D851" t="s">
        <v>160</v>
      </c>
      <c r="E851" t="s">
        <v>1776</v>
      </c>
      <c r="F851" s="1">
        <v>46060</v>
      </c>
      <c r="G851" s="1">
        <v>46063</v>
      </c>
      <c r="H851" t="s">
        <v>904</v>
      </c>
      <c r="I851" t="s">
        <v>5</v>
      </c>
      <c r="J851" t="s">
        <v>6</v>
      </c>
      <c r="K851" t="s">
        <v>4</v>
      </c>
      <c r="L851" t="s">
        <v>1777</v>
      </c>
      <c r="M851" t="s">
        <v>1777</v>
      </c>
      <c r="N851" s="2">
        <v>1035</v>
      </c>
      <c r="O851" t="s">
        <v>1720</v>
      </c>
      <c r="P851" t="s">
        <v>9</v>
      </c>
      <c r="Q851" t="s">
        <v>86</v>
      </c>
      <c r="R851" t="e">
        <f>VLOOKUP(Q851,#REF!,2,FALSE)</f>
        <v>#REF!</v>
      </c>
      <c r="S851">
        <v>1004</v>
      </c>
      <c r="T851" t="s">
        <v>2225</v>
      </c>
      <c r="U851" t="s">
        <v>1721</v>
      </c>
      <c r="V851" s="1">
        <v>46053</v>
      </c>
      <c r="W851" s="1">
        <v>46053</v>
      </c>
      <c r="X851" t="s">
        <v>77</v>
      </c>
      <c r="Y851" t="s">
        <v>646</v>
      </c>
      <c r="Z851" t="s">
        <v>6</v>
      </c>
      <c r="AA851" t="s">
        <v>646</v>
      </c>
      <c r="AB851" s="4">
        <f t="shared" si="69"/>
        <v>34500</v>
      </c>
      <c r="AC851" s="6">
        <v>0.04</v>
      </c>
      <c r="AD851" s="4">
        <f t="shared" si="70"/>
        <v>1380</v>
      </c>
      <c r="AE851" s="4">
        <f t="shared" si="71"/>
        <v>345</v>
      </c>
    </row>
    <row r="852" spans="1:31" x14ac:dyDescent="0.25">
      <c r="A852" t="s">
        <v>0</v>
      </c>
      <c r="B852" s="3" t="s">
        <v>2219</v>
      </c>
      <c r="C852" t="s">
        <v>1718</v>
      </c>
      <c r="D852" t="s">
        <v>160</v>
      </c>
      <c r="E852" t="s">
        <v>1778</v>
      </c>
      <c r="F852" s="1">
        <v>46060</v>
      </c>
      <c r="G852" s="1">
        <v>46063</v>
      </c>
      <c r="H852" t="s">
        <v>904</v>
      </c>
      <c r="I852" t="s">
        <v>5</v>
      </c>
      <c r="J852" t="s">
        <v>6</v>
      </c>
      <c r="K852" t="s">
        <v>4</v>
      </c>
      <c r="L852" t="s">
        <v>1779</v>
      </c>
      <c r="M852" t="s">
        <v>1779</v>
      </c>
      <c r="N852" s="2">
        <v>16749</v>
      </c>
      <c r="O852" t="s">
        <v>1720</v>
      </c>
      <c r="P852" t="s">
        <v>9</v>
      </c>
      <c r="Q852" t="s">
        <v>86</v>
      </c>
      <c r="R852" t="e">
        <f>VLOOKUP(Q852,#REF!,2,FALSE)</f>
        <v>#REF!</v>
      </c>
      <c r="S852">
        <v>1004</v>
      </c>
      <c r="T852" t="s">
        <v>2225</v>
      </c>
      <c r="U852" t="s">
        <v>1721</v>
      </c>
      <c r="V852" s="1">
        <v>46053</v>
      </c>
      <c r="W852" s="1">
        <v>46053</v>
      </c>
      <c r="X852" t="s">
        <v>77</v>
      </c>
      <c r="Y852" t="s">
        <v>646</v>
      </c>
      <c r="Z852" t="s">
        <v>6</v>
      </c>
      <c r="AA852" t="s">
        <v>646</v>
      </c>
      <c r="AB852" s="4">
        <f t="shared" si="69"/>
        <v>558300</v>
      </c>
      <c r="AC852" s="6">
        <v>0.04</v>
      </c>
      <c r="AD852" s="4">
        <f t="shared" si="70"/>
        <v>22332</v>
      </c>
      <c r="AE852" s="4">
        <f t="shared" si="71"/>
        <v>5583</v>
      </c>
    </row>
    <row r="853" spans="1:31" x14ac:dyDescent="0.25">
      <c r="A853" t="s">
        <v>0</v>
      </c>
      <c r="B853" s="3" t="s">
        <v>2219</v>
      </c>
      <c r="C853" t="s">
        <v>1718</v>
      </c>
      <c r="D853" t="s">
        <v>160</v>
      </c>
      <c r="E853" t="s">
        <v>1780</v>
      </c>
      <c r="F853" s="1">
        <v>46060</v>
      </c>
      <c r="G853" s="1">
        <v>46063</v>
      </c>
      <c r="H853" t="s">
        <v>904</v>
      </c>
      <c r="I853" t="s">
        <v>5</v>
      </c>
      <c r="J853" t="s">
        <v>6</v>
      </c>
      <c r="K853" t="s">
        <v>4</v>
      </c>
      <c r="L853" t="s">
        <v>1781</v>
      </c>
      <c r="M853" t="s">
        <v>1781</v>
      </c>
      <c r="N853" s="2">
        <v>68802</v>
      </c>
      <c r="O853" t="s">
        <v>1720</v>
      </c>
      <c r="P853" t="s">
        <v>9</v>
      </c>
      <c r="Q853" t="s">
        <v>86</v>
      </c>
      <c r="R853" t="e">
        <f>VLOOKUP(Q853,#REF!,2,FALSE)</f>
        <v>#REF!</v>
      </c>
      <c r="S853">
        <v>1004</v>
      </c>
      <c r="T853" t="s">
        <v>2225</v>
      </c>
      <c r="U853" t="s">
        <v>1721</v>
      </c>
      <c r="V853" s="1">
        <v>46053</v>
      </c>
      <c r="W853" s="1">
        <v>46053</v>
      </c>
      <c r="X853" t="s">
        <v>77</v>
      </c>
      <c r="Y853" t="s">
        <v>646</v>
      </c>
      <c r="Z853" t="s">
        <v>6</v>
      </c>
      <c r="AA853" t="s">
        <v>646</v>
      </c>
      <c r="AB853" s="4">
        <f t="shared" si="69"/>
        <v>2293400</v>
      </c>
      <c r="AC853" s="6">
        <v>0.04</v>
      </c>
      <c r="AD853" s="4">
        <f t="shared" si="70"/>
        <v>91736</v>
      </c>
      <c r="AE853" s="4">
        <f t="shared" si="71"/>
        <v>22934</v>
      </c>
    </row>
    <row r="854" spans="1:31" x14ac:dyDescent="0.25">
      <c r="A854" t="s">
        <v>0</v>
      </c>
      <c r="B854" s="3" t="s">
        <v>2219</v>
      </c>
      <c r="C854" t="s">
        <v>1718</v>
      </c>
      <c r="D854" t="s">
        <v>160</v>
      </c>
      <c r="E854" t="s">
        <v>1782</v>
      </c>
      <c r="F854" s="1">
        <v>46060</v>
      </c>
      <c r="G854" s="1">
        <v>46063</v>
      </c>
      <c r="H854" t="s">
        <v>904</v>
      </c>
      <c r="I854" t="s">
        <v>5</v>
      </c>
      <c r="J854" t="s">
        <v>6</v>
      </c>
      <c r="K854" t="s">
        <v>4</v>
      </c>
      <c r="L854" t="s">
        <v>1783</v>
      </c>
      <c r="M854" t="s">
        <v>1783</v>
      </c>
      <c r="N854" s="2">
        <v>8042</v>
      </c>
      <c r="O854" t="s">
        <v>1720</v>
      </c>
      <c r="P854" t="s">
        <v>9</v>
      </c>
      <c r="Q854" t="s">
        <v>86</v>
      </c>
      <c r="R854" t="e">
        <f>VLOOKUP(Q854,#REF!,2,FALSE)</f>
        <v>#REF!</v>
      </c>
      <c r="S854">
        <v>1004</v>
      </c>
      <c r="T854" t="s">
        <v>2225</v>
      </c>
      <c r="U854" t="s">
        <v>1721</v>
      </c>
      <c r="V854" s="1">
        <v>46053</v>
      </c>
      <c r="W854" s="1">
        <v>46053</v>
      </c>
      <c r="X854" t="s">
        <v>77</v>
      </c>
      <c r="Y854" t="s">
        <v>646</v>
      </c>
      <c r="Z854" t="s">
        <v>6</v>
      </c>
      <c r="AA854" t="s">
        <v>646</v>
      </c>
      <c r="AB854" s="4">
        <f t="shared" si="69"/>
        <v>268066.66666666669</v>
      </c>
      <c r="AC854" s="6">
        <v>0.04</v>
      </c>
      <c r="AD854" s="4">
        <f t="shared" si="70"/>
        <v>10722.666666666668</v>
      </c>
      <c r="AE854" s="4">
        <f t="shared" si="71"/>
        <v>2680.6666666666679</v>
      </c>
    </row>
    <row r="855" spans="1:31" x14ac:dyDescent="0.25">
      <c r="A855" t="s">
        <v>0</v>
      </c>
      <c r="B855" s="3" t="s">
        <v>2219</v>
      </c>
      <c r="C855" t="s">
        <v>1718</v>
      </c>
      <c r="D855" t="s">
        <v>160</v>
      </c>
      <c r="E855" t="s">
        <v>1784</v>
      </c>
      <c r="F855" s="1">
        <v>46060</v>
      </c>
      <c r="G855" s="1">
        <v>46063</v>
      </c>
      <c r="H855" t="s">
        <v>904</v>
      </c>
      <c r="I855" t="s">
        <v>5</v>
      </c>
      <c r="J855" t="s">
        <v>6</v>
      </c>
      <c r="K855" t="s">
        <v>4</v>
      </c>
      <c r="L855" t="s">
        <v>1785</v>
      </c>
      <c r="M855" t="s">
        <v>1785</v>
      </c>
      <c r="N855" s="2">
        <v>2804</v>
      </c>
      <c r="O855" t="s">
        <v>1720</v>
      </c>
      <c r="P855" t="s">
        <v>9</v>
      </c>
      <c r="Q855" t="s">
        <v>86</v>
      </c>
      <c r="R855" t="e">
        <f>VLOOKUP(Q855,#REF!,2,FALSE)</f>
        <v>#REF!</v>
      </c>
      <c r="S855">
        <v>1004</v>
      </c>
      <c r="T855" t="s">
        <v>2225</v>
      </c>
      <c r="U855" t="s">
        <v>1721</v>
      </c>
      <c r="V855" s="1">
        <v>46053</v>
      </c>
      <c r="W855" s="1">
        <v>46053</v>
      </c>
      <c r="X855" t="s">
        <v>77</v>
      </c>
      <c r="Y855" t="s">
        <v>646</v>
      </c>
      <c r="Z855" t="s">
        <v>6</v>
      </c>
      <c r="AA855" t="s">
        <v>646</v>
      </c>
      <c r="AB855" s="4">
        <f t="shared" si="69"/>
        <v>93466.666666666672</v>
      </c>
      <c r="AC855" s="6">
        <v>0.04</v>
      </c>
      <c r="AD855" s="4">
        <f t="shared" si="70"/>
        <v>3738.666666666667</v>
      </c>
      <c r="AE855" s="4">
        <f t="shared" si="71"/>
        <v>934.66666666666697</v>
      </c>
    </row>
    <row r="856" spans="1:31" x14ac:dyDescent="0.25">
      <c r="A856" t="s">
        <v>0</v>
      </c>
      <c r="B856" s="3" t="s">
        <v>2219</v>
      </c>
      <c r="C856" t="s">
        <v>1718</v>
      </c>
      <c r="D856" t="s">
        <v>160</v>
      </c>
      <c r="E856" t="s">
        <v>1786</v>
      </c>
      <c r="F856" s="1">
        <v>46060</v>
      </c>
      <c r="G856" s="1">
        <v>46063</v>
      </c>
      <c r="H856" t="s">
        <v>904</v>
      </c>
      <c r="I856" t="s">
        <v>5</v>
      </c>
      <c r="J856" t="s">
        <v>6</v>
      </c>
      <c r="K856" t="s">
        <v>4</v>
      </c>
      <c r="L856" t="s">
        <v>1787</v>
      </c>
      <c r="M856" t="s">
        <v>1787</v>
      </c>
      <c r="N856" s="2">
        <v>8977</v>
      </c>
      <c r="O856" t="s">
        <v>1720</v>
      </c>
      <c r="P856" t="s">
        <v>9</v>
      </c>
      <c r="Q856" t="s">
        <v>86</v>
      </c>
      <c r="R856" t="e">
        <f>VLOOKUP(Q856,#REF!,2,FALSE)</f>
        <v>#REF!</v>
      </c>
      <c r="S856">
        <v>1004</v>
      </c>
      <c r="T856" t="s">
        <v>2225</v>
      </c>
      <c r="U856" t="s">
        <v>1721</v>
      </c>
      <c r="V856" s="1">
        <v>46053</v>
      </c>
      <c r="W856" s="1">
        <v>46053</v>
      </c>
      <c r="X856" t="s">
        <v>77</v>
      </c>
      <c r="Y856" t="s">
        <v>646</v>
      </c>
      <c r="Z856" t="s">
        <v>6</v>
      </c>
      <c r="AA856" t="s">
        <v>646</v>
      </c>
      <c r="AB856" s="4">
        <f t="shared" si="69"/>
        <v>299233.33333333337</v>
      </c>
      <c r="AC856" s="6">
        <v>0.04</v>
      </c>
      <c r="AD856" s="4">
        <f t="shared" si="70"/>
        <v>11969.333333333336</v>
      </c>
      <c r="AE856" s="4">
        <f t="shared" si="71"/>
        <v>2992.3333333333358</v>
      </c>
    </row>
    <row r="857" spans="1:31" x14ac:dyDescent="0.25">
      <c r="A857" t="s">
        <v>0</v>
      </c>
      <c r="B857" s="3" t="s">
        <v>2219</v>
      </c>
      <c r="C857" t="s">
        <v>1718</v>
      </c>
      <c r="D857" t="s">
        <v>160</v>
      </c>
      <c r="E857" t="s">
        <v>1788</v>
      </c>
      <c r="F857" s="1">
        <v>46060</v>
      </c>
      <c r="G857" s="1">
        <v>46063</v>
      </c>
      <c r="H857" t="s">
        <v>904</v>
      </c>
      <c r="I857" t="s">
        <v>5</v>
      </c>
      <c r="J857" t="s">
        <v>6</v>
      </c>
      <c r="K857" t="s">
        <v>4</v>
      </c>
      <c r="L857" t="s">
        <v>1789</v>
      </c>
      <c r="M857" t="s">
        <v>1789</v>
      </c>
      <c r="N857" s="2">
        <v>2394</v>
      </c>
      <c r="O857" t="s">
        <v>1720</v>
      </c>
      <c r="P857" t="s">
        <v>9</v>
      </c>
      <c r="Q857" t="s">
        <v>86</v>
      </c>
      <c r="R857" t="e">
        <f>VLOOKUP(Q857,#REF!,2,FALSE)</f>
        <v>#REF!</v>
      </c>
      <c r="S857">
        <v>1004</v>
      </c>
      <c r="T857" t="s">
        <v>2225</v>
      </c>
      <c r="U857" t="s">
        <v>1721</v>
      </c>
      <c r="V857" s="1">
        <v>46053</v>
      </c>
      <c r="W857" s="1">
        <v>46053</v>
      </c>
      <c r="X857" t="s">
        <v>77</v>
      </c>
      <c r="Y857" t="s">
        <v>646</v>
      </c>
      <c r="Z857" t="s">
        <v>6</v>
      </c>
      <c r="AA857" t="s">
        <v>646</v>
      </c>
      <c r="AB857" s="4">
        <f t="shared" si="69"/>
        <v>79800</v>
      </c>
      <c r="AC857" s="6">
        <v>0.04</v>
      </c>
      <c r="AD857" s="4">
        <f t="shared" si="70"/>
        <v>3192</v>
      </c>
      <c r="AE857" s="4">
        <f t="shared" si="71"/>
        <v>798</v>
      </c>
    </row>
    <row r="858" spans="1:31" x14ac:dyDescent="0.25">
      <c r="A858" t="s">
        <v>0</v>
      </c>
      <c r="B858" s="3" t="s">
        <v>2219</v>
      </c>
      <c r="C858" t="s">
        <v>1718</v>
      </c>
      <c r="D858" t="s">
        <v>160</v>
      </c>
      <c r="E858" t="s">
        <v>1790</v>
      </c>
      <c r="F858" s="1">
        <v>46060</v>
      </c>
      <c r="G858" s="1">
        <v>46063</v>
      </c>
      <c r="H858" t="s">
        <v>904</v>
      </c>
      <c r="I858" t="s">
        <v>5</v>
      </c>
      <c r="J858" t="s">
        <v>6</v>
      </c>
      <c r="K858" t="s">
        <v>4</v>
      </c>
      <c r="L858" t="s">
        <v>1791</v>
      </c>
      <c r="M858" t="s">
        <v>1791</v>
      </c>
      <c r="N858" s="2">
        <v>2876</v>
      </c>
      <c r="O858" t="s">
        <v>1720</v>
      </c>
      <c r="P858" t="s">
        <v>9</v>
      </c>
      <c r="Q858" t="s">
        <v>86</v>
      </c>
      <c r="R858" t="e">
        <f>VLOOKUP(Q858,#REF!,2,FALSE)</f>
        <v>#REF!</v>
      </c>
      <c r="S858">
        <v>1004</v>
      </c>
      <c r="T858" t="s">
        <v>2225</v>
      </c>
      <c r="U858" t="s">
        <v>1721</v>
      </c>
      <c r="V858" s="1">
        <v>46053</v>
      </c>
      <c r="W858" s="1">
        <v>46053</v>
      </c>
      <c r="X858" t="s">
        <v>77</v>
      </c>
      <c r="Y858" t="s">
        <v>646</v>
      </c>
      <c r="Z858" t="s">
        <v>6</v>
      </c>
      <c r="AA858" t="s">
        <v>646</v>
      </c>
      <c r="AB858" s="4">
        <f t="shared" si="69"/>
        <v>95866.666666666672</v>
      </c>
      <c r="AC858" s="6">
        <v>0.04</v>
      </c>
      <c r="AD858" s="4">
        <f t="shared" si="70"/>
        <v>3834.666666666667</v>
      </c>
      <c r="AE858" s="4">
        <f t="shared" si="71"/>
        <v>958.66666666666697</v>
      </c>
    </row>
    <row r="859" spans="1:31" x14ac:dyDescent="0.25">
      <c r="A859" t="s">
        <v>0</v>
      </c>
      <c r="B859" s="3" t="s">
        <v>2219</v>
      </c>
      <c r="C859" t="s">
        <v>1718</v>
      </c>
      <c r="D859" t="s">
        <v>160</v>
      </c>
      <c r="E859" t="s">
        <v>1792</v>
      </c>
      <c r="F859" s="1">
        <v>46060</v>
      </c>
      <c r="G859" s="1">
        <v>46063</v>
      </c>
      <c r="H859" t="s">
        <v>904</v>
      </c>
      <c r="I859" t="s">
        <v>5</v>
      </c>
      <c r="J859" t="s">
        <v>6</v>
      </c>
      <c r="K859" t="s">
        <v>4</v>
      </c>
      <c r="L859" t="s">
        <v>1793</v>
      </c>
      <c r="M859" t="s">
        <v>1793</v>
      </c>
      <c r="N859" s="2">
        <v>4042</v>
      </c>
      <c r="O859" t="s">
        <v>1720</v>
      </c>
      <c r="P859" t="s">
        <v>9</v>
      </c>
      <c r="Q859" t="s">
        <v>86</v>
      </c>
      <c r="R859" t="e">
        <f>VLOOKUP(Q859,#REF!,2,FALSE)</f>
        <v>#REF!</v>
      </c>
      <c r="S859">
        <v>1004</v>
      </c>
      <c r="T859" t="s">
        <v>2225</v>
      </c>
      <c r="U859" t="s">
        <v>1721</v>
      </c>
      <c r="V859" s="1">
        <v>46053</v>
      </c>
      <c r="W859" s="1">
        <v>46053</v>
      </c>
      <c r="X859" t="s">
        <v>77</v>
      </c>
      <c r="Y859" t="s">
        <v>646</v>
      </c>
      <c r="Z859" t="s">
        <v>6</v>
      </c>
      <c r="AA859" t="s">
        <v>646</v>
      </c>
      <c r="AB859" s="4">
        <f t="shared" si="69"/>
        <v>134733.33333333334</v>
      </c>
      <c r="AC859" s="6">
        <v>0.04</v>
      </c>
      <c r="AD859" s="4">
        <f t="shared" si="70"/>
        <v>5389.3333333333339</v>
      </c>
      <c r="AE859" s="4">
        <f t="shared" si="71"/>
        <v>1347.3333333333339</v>
      </c>
    </row>
    <row r="860" spans="1:31" x14ac:dyDescent="0.25">
      <c r="A860" t="s">
        <v>0</v>
      </c>
      <c r="B860" s="3" t="s">
        <v>2219</v>
      </c>
      <c r="C860" t="s">
        <v>1718</v>
      </c>
      <c r="D860" t="s">
        <v>160</v>
      </c>
      <c r="E860" t="s">
        <v>1794</v>
      </c>
      <c r="F860" s="1">
        <v>46060</v>
      </c>
      <c r="G860" s="1">
        <v>46063</v>
      </c>
      <c r="H860" t="s">
        <v>904</v>
      </c>
      <c r="I860" t="s">
        <v>5</v>
      </c>
      <c r="J860" t="s">
        <v>6</v>
      </c>
      <c r="K860" t="s">
        <v>4</v>
      </c>
      <c r="L860" t="s">
        <v>1795</v>
      </c>
      <c r="M860" t="s">
        <v>1795</v>
      </c>
      <c r="N860" s="2">
        <v>4221</v>
      </c>
      <c r="O860" t="s">
        <v>1720</v>
      </c>
      <c r="P860" t="s">
        <v>9</v>
      </c>
      <c r="Q860" t="s">
        <v>86</v>
      </c>
      <c r="R860" t="e">
        <f>VLOOKUP(Q860,#REF!,2,FALSE)</f>
        <v>#REF!</v>
      </c>
      <c r="S860">
        <v>1004</v>
      </c>
      <c r="T860" t="s">
        <v>2225</v>
      </c>
      <c r="U860" t="s">
        <v>1721</v>
      </c>
      <c r="V860" s="1">
        <v>46053</v>
      </c>
      <c r="W860" s="1">
        <v>46053</v>
      </c>
      <c r="X860" t="s">
        <v>77</v>
      </c>
      <c r="Y860" t="s">
        <v>646</v>
      </c>
      <c r="Z860" t="s">
        <v>6</v>
      </c>
      <c r="AA860" t="s">
        <v>646</v>
      </c>
      <c r="AB860" s="4">
        <f t="shared" si="69"/>
        <v>140700</v>
      </c>
      <c r="AC860" s="6">
        <v>0.04</v>
      </c>
      <c r="AD860" s="4">
        <f t="shared" si="70"/>
        <v>5628</v>
      </c>
      <c r="AE860" s="4">
        <f t="shared" si="71"/>
        <v>1407</v>
      </c>
    </row>
    <row r="861" spans="1:31" x14ac:dyDescent="0.25">
      <c r="A861" t="s">
        <v>0</v>
      </c>
      <c r="B861" s="3" t="s">
        <v>2219</v>
      </c>
      <c r="C861" t="s">
        <v>1718</v>
      </c>
      <c r="D861" t="s">
        <v>160</v>
      </c>
      <c r="E861" t="s">
        <v>1796</v>
      </c>
      <c r="F861" s="1">
        <v>46060</v>
      </c>
      <c r="G861" s="1">
        <v>46063</v>
      </c>
      <c r="H861" t="s">
        <v>904</v>
      </c>
      <c r="I861" t="s">
        <v>5</v>
      </c>
      <c r="J861" t="s">
        <v>6</v>
      </c>
      <c r="K861" t="s">
        <v>4</v>
      </c>
      <c r="L861" t="s">
        <v>1797</v>
      </c>
      <c r="M861" t="s">
        <v>1797</v>
      </c>
      <c r="N861" s="2">
        <v>2357</v>
      </c>
      <c r="O861" t="s">
        <v>1720</v>
      </c>
      <c r="P861" t="s">
        <v>9</v>
      </c>
      <c r="Q861" t="s">
        <v>86</v>
      </c>
      <c r="R861" t="e">
        <f>VLOOKUP(Q861,#REF!,2,FALSE)</f>
        <v>#REF!</v>
      </c>
      <c r="S861">
        <v>1004</v>
      </c>
      <c r="T861" t="s">
        <v>2225</v>
      </c>
      <c r="U861" t="s">
        <v>1721</v>
      </c>
      <c r="V861" s="1">
        <v>46053</v>
      </c>
      <c r="W861" s="1">
        <v>46053</v>
      </c>
      <c r="X861" t="s">
        <v>77</v>
      </c>
      <c r="Y861" t="s">
        <v>646</v>
      </c>
      <c r="Z861" t="s">
        <v>6</v>
      </c>
      <c r="AA861" t="s">
        <v>646</v>
      </c>
      <c r="AB861" s="4">
        <f t="shared" si="69"/>
        <v>78566.666666666672</v>
      </c>
      <c r="AC861" s="6">
        <v>0.04</v>
      </c>
      <c r="AD861" s="4">
        <f t="shared" si="70"/>
        <v>3142.666666666667</v>
      </c>
      <c r="AE861" s="4">
        <f t="shared" si="71"/>
        <v>785.66666666666697</v>
      </c>
    </row>
    <row r="862" spans="1:31" x14ac:dyDescent="0.25">
      <c r="A862" t="s">
        <v>0</v>
      </c>
      <c r="B862" s="3" t="s">
        <v>2219</v>
      </c>
      <c r="C862" t="s">
        <v>1718</v>
      </c>
      <c r="D862" t="s">
        <v>160</v>
      </c>
      <c r="E862" t="s">
        <v>1798</v>
      </c>
      <c r="F862" s="1">
        <v>46060</v>
      </c>
      <c r="G862" s="1">
        <v>46063</v>
      </c>
      <c r="H862" t="s">
        <v>904</v>
      </c>
      <c r="I862" t="s">
        <v>5</v>
      </c>
      <c r="J862" t="s">
        <v>6</v>
      </c>
      <c r="K862" t="s">
        <v>4</v>
      </c>
      <c r="L862" t="s">
        <v>1799</v>
      </c>
      <c r="M862" t="s">
        <v>1799</v>
      </c>
      <c r="N862" s="2">
        <v>3014</v>
      </c>
      <c r="O862" t="s">
        <v>1720</v>
      </c>
      <c r="P862" t="s">
        <v>9</v>
      </c>
      <c r="Q862" t="s">
        <v>86</v>
      </c>
      <c r="R862" t="e">
        <f>VLOOKUP(Q862,#REF!,2,FALSE)</f>
        <v>#REF!</v>
      </c>
      <c r="S862">
        <v>1004</v>
      </c>
      <c r="T862" t="s">
        <v>2225</v>
      </c>
      <c r="U862" t="s">
        <v>1721</v>
      </c>
      <c r="V862" s="1">
        <v>46053</v>
      </c>
      <c r="W862" s="1">
        <v>46053</v>
      </c>
      <c r="X862" t="s">
        <v>77</v>
      </c>
      <c r="Y862" t="s">
        <v>646</v>
      </c>
      <c r="Z862" t="s">
        <v>6</v>
      </c>
      <c r="AA862" t="s">
        <v>646</v>
      </c>
      <c r="AB862" s="4">
        <f t="shared" si="69"/>
        <v>100466.66666666667</v>
      </c>
      <c r="AC862" s="6">
        <v>0.04</v>
      </c>
      <c r="AD862" s="4">
        <f t="shared" si="70"/>
        <v>4018.666666666667</v>
      </c>
      <c r="AE862" s="4">
        <f t="shared" si="71"/>
        <v>1004.666666666667</v>
      </c>
    </row>
    <row r="863" spans="1:31" x14ac:dyDescent="0.25">
      <c r="A863" t="s">
        <v>0</v>
      </c>
      <c r="B863" s="3" t="s">
        <v>2219</v>
      </c>
      <c r="C863" t="s">
        <v>1718</v>
      </c>
      <c r="D863" t="s">
        <v>160</v>
      </c>
      <c r="E863" t="s">
        <v>1800</v>
      </c>
      <c r="F863" s="1">
        <v>46060</v>
      </c>
      <c r="G863" s="1">
        <v>46063</v>
      </c>
      <c r="H863" t="s">
        <v>904</v>
      </c>
      <c r="I863" t="s">
        <v>5</v>
      </c>
      <c r="J863" t="s">
        <v>6</v>
      </c>
      <c r="K863" t="s">
        <v>4</v>
      </c>
      <c r="L863" t="s">
        <v>1801</v>
      </c>
      <c r="M863" t="s">
        <v>1801</v>
      </c>
      <c r="N863" s="2">
        <v>3555</v>
      </c>
      <c r="O863" t="s">
        <v>1720</v>
      </c>
      <c r="P863" t="s">
        <v>9</v>
      </c>
      <c r="Q863" t="s">
        <v>86</v>
      </c>
      <c r="R863" t="e">
        <f>VLOOKUP(Q863,#REF!,2,FALSE)</f>
        <v>#REF!</v>
      </c>
      <c r="S863">
        <v>1004</v>
      </c>
      <c r="T863" t="s">
        <v>2225</v>
      </c>
      <c r="U863" t="s">
        <v>1721</v>
      </c>
      <c r="V863" s="1">
        <v>46053</v>
      </c>
      <c r="W863" s="1">
        <v>46053</v>
      </c>
      <c r="X863" t="s">
        <v>77</v>
      </c>
      <c r="Y863" t="s">
        <v>646</v>
      </c>
      <c r="Z863" t="s">
        <v>6</v>
      </c>
      <c r="AA863" t="s">
        <v>646</v>
      </c>
      <c r="AB863" s="4">
        <f t="shared" si="69"/>
        <v>118500</v>
      </c>
      <c r="AC863" s="6">
        <v>0.04</v>
      </c>
      <c r="AD863" s="4">
        <f t="shared" si="70"/>
        <v>4740</v>
      </c>
      <c r="AE863" s="4">
        <f t="shared" si="71"/>
        <v>1185</v>
      </c>
    </row>
    <row r="864" spans="1:31" x14ac:dyDescent="0.25">
      <c r="A864" t="s">
        <v>0</v>
      </c>
      <c r="B864" s="3" t="s">
        <v>2219</v>
      </c>
      <c r="C864" t="s">
        <v>1718</v>
      </c>
      <c r="D864" t="s">
        <v>160</v>
      </c>
      <c r="E864" t="s">
        <v>1802</v>
      </c>
      <c r="F864" s="1">
        <v>46060</v>
      </c>
      <c r="G864" s="1">
        <v>46063</v>
      </c>
      <c r="H864" t="s">
        <v>904</v>
      </c>
      <c r="I864" t="s">
        <v>5</v>
      </c>
      <c r="J864" t="s">
        <v>6</v>
      </c>
      <c r="K864" t="s">
        <v>4</v>
      </c>
      <c r="L864" t="s">
        <v>1803</v>
      </c>
      <c r="M864" t="s">
        <v>1803</v>
      </c>
      <c r="N864" s="2">
        <v>5567</v>
      </c>
      <c r="O864" t="s">
        <v>1720</v>
      </c>
      <c r="P864" t="s">
        <v>9</v>
      </c>
      <c r="Q864" t="s">
        <v>86</v>
      </c>
      <c r="R864" t="e">
        <f>VLOOKUP(Q864,#REF!,2,FALSE)</f>
        <v>#REF!</v>
      </c>
      <c r="S864">
        <v>1004</v>
      </c>
      <c r="T864" t="s">
        <v>2225</v>
      </c>
      <c r="U864" t="s">
        <v>1721</v>
      </c>
      <c r="V864" s="1">
        <v>46053</v>
      </c>
      <c r="W864" s="1">
        <v>46053</v>
      </c>
      <c r="X864" t="s">
        <v>77</v>
      </c>
      <c r="Y864" t="s">
        <v>646</v>
      </c>
      <c r="Z864" t="s">
        <v>6</v>
      </c>
      <c r="AA864" t="s">
        <v>646</v>
      </c>
      <c r="AB864" s="4">
        <f t="shared" si="69"/>
        <v>185566.66666666669</v>
      </c>
      <c r="AC864" s="6">
        <v>0.04</v>
      </c>
      <c r="AD864" s="4">
        <f t="shared" si="70"/>
        <v>7422.6666666666679</v>
      </c>
      <c r="AE864" s="4">
        <f t="shared" si="71"/>
        <v>1855.6666666666679</v>
      </c>
    </row>
    <row r="865" spans="1:31" x14ac:dyDescent="0.25">
      <c r="A865" t="s">
        <v>0</v>
      </c>
      <c r="B865" s="3" t="s">
        <v>2219</v>
      </c>
      <c r="C865" t="s">
        <v>1718</v>
      </c>
      <c r="D865" t="s">
        <v>160</v>
      </c>
      <c r="E865" t="s">
        <v>1804</v>
      </c>
      <c r="F865" s="1">
        <v>46060</v>
      </c>
      <c r="G865" s="1">
        <v>46063</v>
      </c>
      <c r="H865" t="s">
        <v>904</v>
      </c>
      <c r="I865" t="s">
        <v>5</v>
      </c>
      <c r="J865" t="s">
        <v>6</v>
      </c>
      <c r="K865" t="s">
        <v>4</v>
      </c>
      <c r="L865" t="s">
        <v>1805</v>
      </c>
      <c r="M865" t="s">
        <v>1805</v>
      </c>
      <c r="N865" s="2">
        <v>5372</v>
      </c>
      <c r="O865" t="s">
        <v>1720</v>
      </c>
      <c r="P865" t="s">
        <v>9</v>
      </c>
      <c r="Q865" t="s">
        <v>86</v>
      </c>
      <c r="R865" t="e">
        <f>VLOOKUP(Q865,#REF!,2,FALSE)</f>
        <v>#REF!</v>
      </c>
      <c r="S865">
        <v>1004</v>
      </c>
      <c r="T865" t="s">
        <v>2225</v>
      </c>
      <c r="U865" t="s">
        <v>1721</v>
      </c>
      <c r="V865" s="1">
        <v>46053</v>
      </c>
      <c r="W865" s="1">
        <v>46053</v>
      </c>
      <c r="X865" t="s">
        <v>77</v>
      </c>
      <c r="Y865" t="s">
        <v>646</v>
      </c>
      <c r="Z865" t="s">
        <v>6</v>
      </c>
      <c r="AA865" t="s">
        <v>646</v>
      </c>
      <c r="AB865" s="4">
        <f t="shared" si="69"/>
        <v>179066.66666666669</v>
      </c>
      <c r="AC865" s="6">
        <v>0.04</v>
      </c>
      <c r="AD865" s="4">
        <f t="shared" si="70"/>
        <v>7162.6666666666679</v>
      </c>
      <c r="AE865" s="4">
        <f t="shared" si="71"/>
        <v>1790.6666666666679</v>
      </c>
    </row>
    <row r="866" spans="1:31" x14ac:dyDescent="0.25">
      <c r="A866" t="s">
        <v>0</v>
      </c>
      <c r="B866" s="3" t="s">
        <v>2219</v>
      </c>
      <c r="C866" t="s">
        <v>1718</v>
      </c>
      <c r="D866" t="s">
        <v>160</v>
      </c>
      <c r="E866" t="s">
        <v>1806</v>
      </c>
      <c r="F866" s="1">
        <v>46060</v>
      </c>
      <c r="G866" s="1">
        <v>46063</v>
      </c>
      <c r="H866" t="s">
        <v>904</v>
      </c>
      <c r="I866" t="s">
        <v>5</v>
      </c>
      <c r="J866" t="s">
        <v>6</v>
      </c>
      <c r="K866" t="s">
        <v>4</v>
      </c>
      <c r="L866" t="s">
        <v>1807</v>
      </c>
      <c r="M866" t="s">
        <v>1807</v>
      </c>
      <c r="N866" s="2">
        <v>5188</v>
      </c>
      <c r="O866" t="s">
        <v>1720</v>
      </c>
      <c r="P866" t="s">
        <v>9</v>
      </c>
      <c r="Q866" t="s">
        <v>86</v>
      </c>
      <c r="R866" t="e">
        <f>VLOOKUP(Q866,#REF!,2,FALSE)</f>
        <v>#REF!</v>
      </c>
      <c r="S866">
        <v>1004</v>
      </c>
      <c r="T866" t="s">
        <v>2225</v>
      </c>
      <c r="U866" t="s">
        <v>1721</v>
      </c>
      <c r="V866" s="1">
        <v>46053</v>
      </c>
      <c r="W866" s="1">
        <v>46053</v>
      </c>
      <c r="X866" t="s">
        <v>77</v>
      </c>
      <c r="Y866" t="s">
        <v>646</v>
      </c>
      <c r="Z866" t="s">
        <v>6</v>
      </c>
      <c r="AA866" t="s">
        <v>646</v>
      </c>
      <c r="AB866" s="4">
        <f t="shared" ref="AB866:AB897" si="72">L866/0.03</f>
        <v>172933.33333333334</v>
      </c>
      <c r="AC866" s="6">
        <v>0.04</v>
      </c>
      <c r="AD866" s="4">
        <f t="shared" si="70"/>
        <v>6917.3333333333339</v>
      </c>
      <c r="AE866" s="4">
        <f t="shared" si="71"/>
        <v>1729.3333333333339</v>
      </c>
    </row>
    <row r="867" spans="1:31" x14ac:dyDescent="0.25">
      <c r="A867" t="s">
        <v>0</v>
      </c>
      <c r="B867" s="3" t="s">
        <v>2219</v>
      </c>
      <c r="C867" t="s">
        <v>1718</v>
      </c>
      <c r="D867" t="s">
        <v>160</v>
      </c>
      <c r="E867" t="s">
        <v>1808</v>
      </c>
      <c r="F867" s="1">
        <v>46060</v>
      </c>
      <c r="G867" s="1">
        <v>46063</v>
      </c>
      <c r="H867" t="s">
        <v>904</v>
      </c>
      <c r="I867" t="s">
        <v>5</v>
      </c>
      <c r="J867" t="s">
        <v>6</v>
      </c>
      <c r="K867" t="s">
        <v>4</v>
      </c>
      <c r="L867" t="s">
        <v>1809</v>
      </c>
      <c r="M867" t="s">
        <v>1809</v>
      </c>
      <c r="N867" s="2">
        <v>2649</v>
      </c>
      <c r="O867" t="s">
        <v>1720</v>
      </c>
      <c r="P867" t="s">
        <v>9</v>
      </c>
      <c r="Q867" t="s">
        <v>86</v>
      </c>
      <c r="R867" t="e">
        <f>VLOOKUP(Q867,#REF!,2,FALSE)</f>
        <v>#REF!</v>
      </c>
      <c r="S867">
        <v>1004</v>
      </c>
      <c r="T867" t="s">
        <v>2225</v>
      </c>
      <c r="U867" t="s">
        <v>1721</v>
      </c>
      <c r="V867" s="1">
        <v>46053</v>
      </c>
      <c r="W867" s="1">
        <v>46053</v>
      </c>
      <c r="X867" t="s">
        <v>77</v>
      </c>
      <c r="Y867" t="s">
        <v>646</v>
      </c>
      <c r="Z867" t="s">
        <v>6</v>
      </c>
      <c r="AA867" t="s">
        <v>646</v>
      </c>
      <c r="AB867" s="4">
        <f t="shared" si="72"/>
        <v>88300</v>
      </c>
      <c r="AC867" s="6">
        <v>0.04</v>
      </c>
      <c r="AD867" s="4">
        <f t="shared" si="70"/>
        <v>3532</v>
      </c>
      <c r="AE867" s="4">
        <f t="shared" si="71"/>
        <v>883</v>
      </c>
    </row>
    <row r="868" spans="1:31" x14ac:dyDescent="0.25">
      <c r="A868" t="s">
        <v>0</v>
      </c>
      <c r="B868" s="3" t="s">
        <v>2219</v>
      </c>
      <c r="C868" t="s">
        <v>1718</v>
      </c>
      <c r="D868" t="s">
        <v>160</v>
      </c>
      <c r="E868" t="s">
        <v>1810</v>
      </c>
      <c r="F868" s="1">
        <v>46060</v>
      </c>
      <c r="G868" s="1">
        <v>46063</v>
      </c>
      <c r="H868" t="s">
        <v>904</v>
      </c>
      <c r="I868" t="s">
        <v>5</v>
      </c>
      <c r="J868" t="s">
        <v>6</v>
      </c>
      <c r="K868" t="s">
        <v>4</v>
      </c>
      <c r="L868" t="s">
        <v>1811</v>
      </c>
      <c r="M868" t="s">
        <v>1811</v>
      </c>
      <c r="N868" s="2">
        <v>5704</v>
      </c>
      <c r="O868" t="s">
        <v>1720</v>
      </c>
      <c r="P868" t="s">
        <v>9</v>
      </c>
      <c r="Q868" t="s">
        <v>86</v>
      </c>
      <c r="R868" t="e">
        <f>VLOOKUP(Q868,#REF!,2,FALSE)</f>
        <v>#REF!</v>
      </c>
      <c r="S868">
        <v>1004</v>
      </c>
      <c r="T868" t="s">
        <v>2225</v>
      </c>
      <c r="U868" t="s">
        <v>1721</v>
      </c>
      <c r="V868" s="1">
        <v>46053</v>
      </c>
      <c r="W868" s="1">
        <v>46053</v>
      </c>
      <c r="X868" t="s">
        <v>77</v>
      </c>
      <c r="Y868" t="s">
        <v>646</v>
      </c>
      <c r="Z868" t="s">
        <v>6</v>
      </c>
      <c r="AA868" t="s">
        <v>646</v>
      </c>
      <c r="AB868" s="4">
        <f t="shared" si="72"/>
        <v>190133.33333333334</v>
      </c>
      <c r="AC868" s="6">
        <v>0.04</v>
      </c>
      <c r="AD868" s="4">
        <f t="shared" si="70"/>
        <v>7605.3333333333339</v>
      </c>
      <c r="AE868" s="4">
        <f t="shared" si="71"/>
        <v>1901.3333333333339</v>
      </c>
    </row>
    <row r="869" spans="1:31" x14ac:dyDescent="0.25">
      <c r="A869" t="s">
        <v>0</v>
      </c>
      <c r="B869" s="3" t="s">
        <v>2219</v>
      </c>
      <c r="C869" t="s">
        <v>1718</v>
      </c>
      <c r="D869" t="s">
        <v>160</v>
      </c>
      <c r="E869" t="s">
        <v>1812</v>
      </c>
      <c r="F869" s="1">
        <v>46060</v>
      </c>
      <c r="G869" s="1">
        <v>46063</v>
      </c>
      <c r="H869" t="s">
        <v>904</v>
      </c>
      <c r="I869" t="s">
        <v>5</v>
      </c>
      <c r="J869" t="s">
        <v>6</v>
      </c>
      <c r="K869" t="s">
        <v>4</v>
      </c>
      <c r="L869" t="s">
        <v>1813</v>
      </c>
      <c r="M869" t="s">
        <v>1813</v>
      </c>
      <c r="N869" s="2">
        <v>1089</v>
      </c>
      <c r="O869" t="s">
        <v>1720</v>
      </c>
      <c r="P869" t="s">
        <v>9</v>
      </c>
      <c r="Q869" t="s">
        <v>86</v>
      </c>
      <c r="R869" t="e">
        <f>VLOOKUP(Q869,#REF!,2,FALSE)</f>
        <v>#REF!</v>
      </c>
      <c r="S869">
        <v>1004</v>
      </c>
      <c r="T869" t="s">
        <v>2225</v>
      </c>
      <c r="U869" t="s">
        <v>1721</v>
      </c>
      <c r="V869" s="1">
        <v>46053</v>
      </c>
      <c r="W869" s="1">
        <v>46053</v>
      </c>
      <c r="X869" t="s">
        <v>77</v>
      </c>
      <c r="Y869" t="s">
        <v>646</v>
      </c>
      <c r="Z869" t="s">
        <v>6</v>
      </c>
      <c r="AA869" t="s">
        <v>646</v>
      </c>
      <c r="AB869" s="4">
        <f t="shared" si="72"/>
        <v>36300</v>
      </c>
      <c r="AC869" s="6">
        <v>0.04</v>
      </c>
      <c r="AD869" s="4">
        <f t="shared" si="70"/>
        <v>1452</v>
      </c>
      <c r="AE869" s="4">
        <f t="shared" si="71"/>
        <v>363</v>
      </c>
    </row>
    <row r="870" spans="1:31" x14ac:dyDescent="0.25">
      <c r="A870" t="s">
        <v>0</v>
      </c>
      <c r="B870" s="3" t="s">
        <v>2219</v>
      </c>
      <c r="C870" t="s">
        <v>1718</v>
      </c>
      <c r="D870" t="s">
        <v>160</v>
      </c>
      <c r="E870" t="s">
        <v>1814</v>
      </c>
      <c r="F870" s="1">
        <v>46060</v>
      </c>
      <c r="G870" s="1">
        <v>46063</v>
      </c>
      <c r="H870" t="s">
        <v>904</v>
      </c>
      <c r="I870" t="s">
        <v>5</v>
      </c>
      <c r="J870" t="s">
        <v>6</v>
      </c>
      <c r="K870" t="s">
        <v>4</v>
      </c>
      <c r="L870" t="s">
        <v>1815</v>
      </c>
      <c r="M870" t="s">
        <v>1815</v>
      </c>
      <c r="N870" s="2">
        <v>4029</v>
      </c>
      <c r="O870" t="s">
        <v>1720</v>
      </c>
      <c r="P870" t="s">
        <v>9</v>
      </c>
      <c r="Q870" t="s">
        <v>86</v>
      </c>
      <c r="R870" t="e">
        <f>VLOOKUP(Q870,#REF!,2,FALSE)</f>
        <v>#REF!</v>
      </c>
      <c r="S870">
        <v>1004</v>
      </c>
      <c r="T870" t="s">
        <v>2225</v>
      </c>
      <c r="U870" t="s">
        <v>1721</v>
      </c>
      <c r="V870" s="1">
        <v>46053</v>
      </c>
      <c r="W870" s="1">
        <v>46053</v>
      </c>
      <c r="X870" t="s">
        <v>77</v>
      </c>
      <c r="Y870" t="s">
        <v>646</v>
      </c>
      <c r="Z870" t="s">
        <v>6</v>
      </c>
      <c r="AA870" t="s">
        <v>646</v>
      </c>
      <c r="AB870" s="4">
        <f t="shared" si="72"/>
        <v>134300</v>
      </c>
      <c r="AC870" s="6">
        <v>0.04</v>
      </c>
      <c r="AD870" s="4">
        <f t="shared" si="70"/>
        <v>5372</v>
      </c>
      <c r="AE870" s="4">
        <f t="shared" si="71"/>
        <v>1343</v>
      </c>
    </row>
    <row r="871" spans="1:31" x14ac:dyDescent="0.25">
      <c r="A871" t="s">
        <v>0</v>
      </c>
      <c r="B871" s="3" t="s">
        <v>2219</v>
      </c>
      <c r="C871" t="s">
        <v>1718</v>
      </c>
      <c r="D871" t="s">
        <v>160</v>
      </c>
      <c r="E871" t="s">
        <v>1816</v>
      </c>
      <c r="F871" s="1">
        <v>46060</v>
      </c>
      <c r="G871" s="1">
        <v>46063</v>
      </c>
      <c r="H871" t="s">
        <v>904</v>
      </c>
      <c r="I871" t="s">
        <v>5</v>
      </c>
      <c r="J871" t="s">
        <v>6</v>
      </c>
      <c r="K871" t="s">
        <v>4</v>
      </c>
      <c r="L871" t="s">
        <v>17</v>
      </c>
      <c r="M871" t="s">
        <v>17</v>
      </c>
      <c r="N871" s="2">
        <v>724</v>
      </c>
      <c r="O871" t="s">
        <v>1720</v>
      </c>
      <c r="P871" t="s">
        <v>9</v>
      </c>
      <c r="Q871" t="s">
        <v>86</v>
      </c>
      <c r="R871" t="e">
        <f>VLOOKUP(Q871,#REF!,2,FALSE)</f>
        <v>#REF!</v>
      </c>
      <c r="S871">
        <v>1004</v>
      </c>
      <c r="T871" t="s">
        <v>2225</v>
      </c>
      <c r="U871" t="s">
        <v>1721</v>
      </c>
      <c r="V871" s="1">
        <v>46053</v>
      </c>
      <c r="W871" s="1">
        <v>46053</v>
      </c>
      <c r="X871" t="s">
        <v>77</v>
      </c>
      <c r="Y871" t="s">
        <v>646</v>
      </c>
      <c r="Z871" t="s">
        <v>6</v>
      </c>
      <c r="AA871" t="s">
        <v>646</v>
      </c>
      <c r="AB871" s="4">
        <f t="shared" si="72"/>
        <v>24133.333333333336</v>
      </c>
      <c r="AC871" s="6">
        <v>0.04</v>
      </c>
      <c r="AD871" s="4">
        <f t="shared" si="70"/>
        <v>965.33333333333348</v>
      </c>
      <c r="AE871" s="4">
        <f t="shared" si="71"/>
        <v>241.33333333333348</v>
      </c>
    </row>
    <row r="872" spans="1:31" x14ac:dyDescent="0.25">
      <c r="A872" t="s">
        <v>0</v>
      </c>
      <c r="B872" s="3" t="s">
        <v>2219</v>
      </c>
      <c r="C872" t="s">
        <v>1718</v>
      </c>
      <c r="D872" t="s">
        <v>160</v>
      </c>
      <c r="E872" t="s">
        <v>1817</v>
      </c>
      <c r="F872" s="1">
        <v>46060</v>
      </c>
      <c r="G872" s="1">
        <v>46063</v>
      </c>
      <c r="H872" t="s">
        <v>904</v>
      </c>
      <c r="I872" t="s">
        <v>5</v>
      </c>
      <c r="J872" t="s">
        <v>6</v>
      </c>
      <c r="K872" t="s">
        <v>4</v>
      </c>
      <c r="L872" t="s">
        <v>1818</v>
      </c>
      <c r="M872" t="s">
        <v>1818</v>
      </c>
      <c r="N872" s="2">
        <v>1740</v>
      </c>
      <c r="O872" t="s">
        <v>1720</v>
      </c>
      <c r="P872" t="s">
        <v>9</v>
      </c>
      <c r="Q872" t="s">
        <v>86</v>
      </c>
      <c r="R872" t="e">
        <f>VLOOKUP(Q872,#REF!,2,FALSE)</f>
        <v>#REF!</v>
      </c>
      <c r="S872">
        <v>1004</v>
      </c>
      <c r="T872" t="s">
        <v>2225</v>
      </c>
      <c r="U872" t="s">
        <v>1721</v>
      </c>
      <c r="V872" s="1">
        <v>46053</v>
      </c>
      <c r="W872" s="1">
        <v>46053</v>
      </c>
      <c r="X872" t="s">
        <v>77</v>
      </c>
      <c r="Y872" t="s">
        <v>646</v>
      </c>
      <c r="Z872" t="s">
        <v>6</v>
      </c>
      <c r="AA872" t="s">
        <v>646</v>
      </c>
      <c r="AB872" s="4">
        <f t="shared" si="72"/>
        <v>58000</v>
      </c>
      <c r="AC872" s="6">
        <v>0.04</v>
      </c>
      <c r="AD872" s="4">
        <f t="shared" si="70"/>
        <v>2320</v>
      </c>
      <c r="AE872" s="4">
        <f t="shared" si="71"/>
        <v>580</v>
      </c>
    </row>
    <row r="873" spans="1:31" x14ac:dyDescent="0.25">
      <c r="A873" t="s">
        <v>0</v>
      </c>
      <c r="B873" s="3" t="s">
        <v>2219</v>
      </c>
      <c r="C873" t="s">
        <v>1718</v>
      </c>
      <c r="D873" t="s">
        <v>160</v>
      </c>
      <c r="E873" t="s">
        <v>1819</v>
      </c>
      <c r="F873" s="1">
        <v>46060</v>
      </c>
      <c r="G873" s="1">
        <v>46063</v>
      </c>
      <c r="H873" t="s">
        <v>904</v>
      </c>
      <c r="I873" t="s">
        <v>5</v>
      </c>
      <c r="J873" t="s">
        <v>6</v>
      </c>
      <c r="K873" t="s">
        <v>4</v>
      </c>
      <c r="L873" t="s">
        <v>1820</v>
      </c>
      <c r="M873" t="s">
        <v>1820</v>
      </c>
      <c r="N873" s="2">
        <v>16294</v>
      </c>
      <c r="O873" t="s">
        <v>1720</v>
      </c>
      <c r="P873" t="s">
        <v>9</v>
      </c>
      <c r="Q873" t="s">
        <v>86</v>
      </c>
      <c r="R873" t="e">
        <f>VLOOKUP(Q873,#REF!,2,FALSE)</f>
        <v>#REF!</v>
      </c>
      <c r="S873">
        <v>1004</v>
      </c>
      <c r="T873" t="s">
        <v>2225</v>
      </c>
      <c r="U873" t="s">
        <v>1721</v>
      </c>
      <c r="V873" s="1">
        <v>46053</v>
      </c>
      <c r="W873" s="1">
        <v>46053</v>
      </c>
      <c r="X873" t="s">
        <v>77</v>
      </c>
      <c r="Y873" t="s">
        <v>646</v>
      </c>
      <c r="Z873" t="s">
        <v>6</v>
      </c>
      <c r="AA873" t="s">
        <v>646</v>
      </c>
      <c r="AB873" s="4">
        <f t="shared" si="72"/>
        <v>543133.33333333337</v>
      </c>
      <c r="AC873" s="6">
        <v>0.04</v>
      </c>
      <c r="AD873" s="4">
        <f t="shared" si="70"/>
        <v>21725.333333333336</v>
      </c>
      <c r="AE873" s="4">
        <f t="shared" si="71"/>
        <v>5431.3333333333358</v>
      </c>
    </row>
    <row r="874" spans="1:31" x14ac:dyDescent="0.25">
      <c r="A874" t="s">
        <v>0</v>
      </c>
      <c r="B874" s="3" t="s">
        <v>2219</v>
      </c>
      <c r="C874" t="s">
        <v>1718</v>
      </c>
      <c r="D874" t="s">
        <v>160</v>
      </c>
      <c r="E874" t="s">
        <v>1821</v>
      </c>
      <c r="F874" s="1">
        <v>46060</v>
      </c>
      <c r="G874" s="1">
        <v>46063</v>
      </c>
      <c r="H874" t="s">
        <v>904</v>
      </c>
      <c r="I874" t="s">
        <v>5</v>
      </c>
      <c r="J874" t="s">
        <v>6</v>
      </c>
      <c r="K874" t="s">
        <v>4</v>
      </c>
      <c r="L874" t="s">
        <v>1822</v>
      </c>
      <c r="M874" t="s">
        <v>1822</v>
      </c>
      <c r="N874" s="2">
        <v>42651</v>
      </c>
      <c r="O874" t="s">
        <v>1720</v>
      </c>
      <c r="P874" t="s">
        <v>9</v>
      </c>
      <c r="Q874" t="s">
        <v>86</v>
      </c>
      <c r="R874" t="e">
        <f>VLOOKUP(Q874,#REF!,2,FALSE)</f>
        <v>#REF!</v>
      </c>
      <c r="S874">
        <v>1004</v>
      </c>
      <c r="T874" t="s">
        <v>2225</v>
      </c>
      <c r="U874" t="s">
        <v>1721</v>
      </c>
      <c r="V874" s="1">
        <v>46053</v>
      </c>
      <c r="W874" s="1">
        <v>46053</v>
      </c>
      <c r="X874" t="s">
        <v>77</v>
      </c>
      <c r="Y874" t="s">
        <v>646</v>
      </c>
      <c r="Z874" t="s">
        <v>6</v>
      </c>
      <c r="AA874" t="s">
        <v>646</v>
      </c>
      <c r="AB874" s="4">
        <f t="shared" si="72"/>
        <v>1421700</v>
      </c>
      <c r="AC874" s="6">
        <v>0.04</v>
      </c>
      <c r="AD874" s="4">
        <f t="shared" si="70"/>
        <v>56868</v>
      </c>
      <c r="AE874" s="4">
        <f t="shared" si="71"/>
        <v>14217</v>
      </c>
    </row>
    <row r="875" spans="1:31" x14ac:dyDescent="0.25">
      <c r="A875" t="s">
        <v>0</v>
      </c>
      <c r="B875" s="3" t="s">
        <v>2219</v>
      </c>
      <c r="C875" t="s">
        <v>1718</v>
      </c>
      <c r="D875" t="s">
        <v>160</v>
      </c>
      <c r="E875" t="s">
        <v>1823</v>
      </c>
      <c r="F875" s="1">
        <v>46060</v>
      </c>
      <c r="G875" s="1">
        <v>46063</v>
      </c>
      <c r="H875" t="s">
        <v>904</v>
      </c>
      <c r="I875" t="s">
        <v>5</v>
      </c>
      <c r="J875" t="s">
        <v>6</v>
      </c>
      <c r="K875" t="s">
        <v>4</v>
      </c>
      <c r="L875" t="s">
        <v>1824</v>
      </c>
      <c r="M875" t="s">
        <v>1824</v>
      </c>
      <c r="N875" s="2">
        <v>5521</v>
      </c>
      <c r="O875" t="s">
        <v>1720</v>
      </c>
      <c r="P875" t="s">
        <v>9</v>
      </c>
      <c r="Q875" t="s">
        <v>86</v>
      </c>
      <c r="R875" t="e">
        <f>VLOOKUP(Q875,#REF!,2,FALSE)</f>
        <v>#REF!</v>
      </c>
      <c r="S875">
        <v>1004</v>
      </c>
      <c r="T875" t="s">
        <v>2225</v>
      </c>
      <c r="U875" t="s">
        <v>1721</v>
      </c>
      <c r="V875" s="1">
        <v>46053</v>
      </c>
      <c r="W875" s="1">
        <v>46053</v>
      </c>
      <c r="X875" t="s">
        <v>77</v>
      </c>
      <c r="Y875" t="s">
        <v>646</v>
      </c>
      <c r="Z875" t="s">
        <v>6</v>
      </c>
      <c r="AA875" t="s">
        <v>646</v>
      </c>
      <c r="AB875" s="4">
        <f t="shared" si="72"/>
        <v>184033.33333333334</v>
      </c>
      <c r="AC875" s="6">
        <v>0.04</v>
      </c>
      <c r="AD875" s="4">
        <f t="shared" si="70"/>
        <v>7361.3333333333339</v>
      </c>
      <c r="AE875" s="4">
        <f t="shared" si="71"/>
        <v>1840.3333333333339</v>
      </c>
    </row>
    <row r="876" spans="1:31" x14ac:dyDescent="0.25">
      <c r="A876" t="s">
        <v>0</v>
      </c>
      <c r="B876" s="3" t="s">
        <v>2219</v>
      </c>
      <c r="C876" t="s">
        <v>1718</v>
      </c>
      <c r="D876" t="s">
        <v>160</v>
      </c>
      <c r="E876" t="s">
        <v>1825</v>
      </c>
      <c r="F876" s="1">
        <v>46060</v>
      </c>
      <c r="G876" s="1">
        <v>46063</v>
      </c>
      <c r="H876" t="s">
        <v>904</v>
      </c>
      <c r="I876" t="s">
        <v>5</v>
      </c>
      <c r="J876" t="s">
        <v>6</v>
      </c>
      <c r="K876" t="s">
        <v>4</v>
      </c>
      <c r="L876" t="s">
        <v>1826</v>
      </c>
      <c r="M876" t="s">
        <v>1826</v>
      </c>
      <c r="N876" s="2">
        <v>51691</v>
      </c>
      <c r="O876" t="s">
        <v>1720</v>
      </c>
      <c r="P876" t="s">
        <v>9</v>
      </c>
      <c r="Q876" t="s">
        <v>86</v>
      </c>
      <c r="R876" t="e">
        <f>VLOOKUP(Q876,#REF!,2,FALSE)</f>
        <v>#REF!</v>
      </c>
      <c r="S876">
        <v>1004</v>
      </c>
      <c r="T876" t="s">
        <v>2225</v>
      </c>
      <c r="U876" t="s">
        <v>1721</v>
      </c>
      <c r="V876" s="1">
        <v>46053</v>
      </c>
      <c r="W876" s="1">
        <v>46053</v>
      </c>
      <c r="X876" t="s">
        <v>77</v>
      </c>
      <c r="Y876" t="s">
        <v>646</v>
      </c>
      <c r="Z876" t="s">
        <v>6</v>
      </c>
      <c r="AA876" t="s">
        <v>646</v>
      </c>
      <c r="AB876" s="4">
        <f t="shared" si="72"/>
        <v>1723033.3333333335</v>
      </c>
      <c r="AC876" s="6">
        <v>0.04</v>
      </c>
      <c r="AD876" s="4">
        <f t="shared" si="70"/>
        <v>68921.333333333343</v>
      </c>
      <c r="AE876" s="4">
        <f t="shared" si="71"/>
        <v>17230.333333333343</v>
      </c>
    </row>
    <row r="877" spans="1:31" x14ac:dyDescent="0.25">
      <c r="A877" t="s">
        <v>0</v>
      </c>
      <c r="B877" s="3" t="s">
        <v>2219</v>
      </c>
      <c r="C877" t="s">
        <v>1718</v>
      </c>
      <c r="D877" t="s">
        <v>160</v>
      </c>
      <c r="E877" t="s">
        <v>1827</v>
      </c>
      <c r="F877" s="1">
        <v>46060</v>
      </c>
      <c r="G877" s="1">
        <v>46063</v>
      </c>
      <c r="H877" t="s">
        <v>904</v>
      </c>
      <c r="I877" t="s">
        <v>5</v>
      </c>
      <c r="J877" t="s">
        <v>6</v>
      </c>
      <c r="K877" t="s">
        <v>4</v>
      </c>
      <c r="L877" t="s">
        <v>1828</v>
      </c>
      <c r="M877" t="s">
        <v>1828</v>
      </c>
      <c r="N877" s="2">
        <v>11965</v>
      </c>
      <c r="O877" t="s">
        <v>1720</v>
      </c>
      <c r="P877" t="s">
        <v>9</v>
      </c>
      <c r="Q877" t="s">
        <v>86</v>
      </c>
      <c r="R877" t="e">
        <f>VLOOKUP(Q877,#REF!,2,FALSE)</f>
        <v>#REF!</v>
      </c>
      <c r="S877">
        <v>1004</v>
      </c>
      <c r="T877" t="s">
        <v>2225</v>
      </c>
      <c r="U877" t="s">
        <v>1721</v>
      </c>
      <c r="V877" s="1">
        <v>46053</v>
      </c>
      <c r="W877" s="1">
        <v>46053</v>
      </c>
      <c r="X877" t="s">
        <v>77</v>
      </c>
      <c r="Y877" t="s">
        <v>646</v>
      </c>
      <c r="Z877" t="s">
        <v>6</v>
      </c>
      <c r="AA877" t="s">
        <v>646</v>
      </c>
      <c r="AB877" s="4">
        <f t="shared" si="72"/>
        <v>398833.33333333337</v>
      </c>
      <c r="AC877" s="6">
        <v>0.04</v>
      </c>
      <c r="AD877" s="4">
        <f t="shared" si="70"/>
        <v>15953.333333333336</v>
      </c>
      <c r="AE877" s="4">
        <f t="shared" si="71"/>
        <v>3988.3333333333358</v>
      </c>
    </row>
    <row r="878" spans="1:31" x14ac:dyDescent="0.25">
      <c r="A878" t="s">
        <v>0</v>
      </c>
      <c r="B878" s="3" t="s">
        <v>2219</v>
      </c>
      <c r="C878" t="s">
        <v>1718</v>
      </c>
      <c r="D878" t="s">
        <v>160</v>
      </c>
      <c r="E878" t="s">
        <v>1829</v>
      </c>
      <c r="F878" s="1">
        <v>46060</v>
      </c>
      <c r="G878" s="1">
        <v>46063</v>
      </c>
      <c r="H878" t="s">
        <v>904</v>
      </c>
      <c r="I878" t="s">
        <v>5</v>
      </c>
      <c r="J878" t="s">
        <v>6</v>
      </c>
      <c r="K878" t="s">
        <v>4</v>
      </c>
      <c r="L878" t="s">
        <v>1830</v>
      </c>
      <c r="M878" t="s">
        <v>1830</v>
      </c>
      <c r="N878" s="2">
        <v>59547</v>
      </c>
      <c r="O878" t="s">
        <v>1720</v>
      </c>
      <c r="P878" t="s">
        <v>9</v>
      </c>
      <c r="Q878" t="s">
        <v>86</v>
      </c>
      <c r="R878" t="e">
        <f>VLOOKUP(Q878,#REF!,2,FALSE)</f>
        <v>#REF!</v>
      </c>
      <c r="S878">
        <v>1004</v>
      </c>
      <c r="T878" t="s">
        <v>2225</v>
      </c>
      <c r="U878" t="s">
        <v>1721</v>
      </c>
      <c r="V878" s="1">
        <v>46053</v>
      </c>
      <c r="W878" s="1">
        <v>46053</v>
      </c>
      <c r="X878" t="s">
        <v>77</v>
      </c>
      <c r="Y878" t="s">
        <v>646</v>
      </c>
      <c r="Z878" t="s">
        <v>6</v>
      </c>
      <c r="AA878" t="s">
        <v>646</v>
      </c>
      <c r="AB878" s="4">
        <f t="shared" si="72"/>
        <v>1984900</v>
      </c>
      <c r="AC878" s="6">
        <v>0.04</v>
      </c>
      <c r="AD878" s="4">
        <f t="shared" si="70"/>
        <v>79396</v>
      </c>
      <c r="AE878" s="4">
        <f t="shared" si="71"/>
        <v>19849</v>
      </c>
    </row>
    <row r="879" spans="1:31" x14ac:dyDescent="0.25">
      <c r="A879" t="s">
        <v>0</v>
      </c>
      <c r="B879" s="3" t="s">
        <v>2219</v>
      </c>
      <c r="C879" t="s">
        <v>1718</v>
      </c>
      <c r="D879" t="s">
        <v>160</v>
      </c>
      <c r="E879" t="s">
        <v>1831</v>
      </c>
      <c r="F879" s="1">
        <v>46060</v>
      </c>
      <c r="G879" s="1">
        <v>46063</v>
      </c>
      <c r="H879" t="s">
        <v>904</v>
      </c>
      <c r="I879" t="s">
        <v>5</v>
      </c>
      <c r="J879" t="s">
        <v>6</v>
      </c>
      <c r="K879" t="s">
        <v>4</v>
      </c>
      <c r="L879" t="s">
        <v>1832</v>
      </c>
      <c r="M879" t="s">
        <v>1832</v>
      </c>
      <c r="N879" s="2">
        <v>66609</v>
      </c>
      <c r="O879" t="s">
        <v>1720</v>
      </c>
      <c r="P879" t="s">
        <v>9</v>
      </c>
      <c r="Q879" t="s">
        <v>86</v>
      </c>
      <c r="R879" t="e">
        <f>VLOOKUP(Q879,#REF!,2,FALSE)</f>
        <v>#REF!</v>
      </c>
      <c r="S879">
        <v>1004</v>
      </c>
      <c r="T879" t="s">
        <v>2225</v>
      </c>
      <c r="U879" t="s">
        <v>1721</v>
      </c>
      <c r="V879" s="1">
        <v>46053</v>
      </c>
      <c r="W879" s="1">
        <v>46053</v>
      </c>
      <c r="X879" t="s">
        <v>77</v>
      </c>
      <c r="Y879" t="s">
        <v>646</v>
      </c>
      <c r="Z879" t="s">
        <v>6</v>
      </c>
      <c r="AA879" t="s">
        <v>646</v>
      </c>
      <c r="AB879" s="4">
        <f t="shared" si="72"/>
        <v>2220300</v>
      </c>
      <c r="AC879" s="6">
        <v>0.04</v>
      </c>
      <c r="AD879" s="4">
        <f t="shared" si="70"/>
        <v>88812</v>
      </c>
      <c r="AE879" s="4">
        <f t="shared" si="71"/>
        <v>22203</v>
      </c>
    </row>
    <row r="880" spans="1:31" x14ac:dyDescent="0.25">
      <c r="A880" t="s">
        <v>0</v>
      </c>
      <c r="B880" s="3" t="s">
        <v>2219</v>
      </c>
      <c r="C880" t="s">
        <v>1718</v>
      </c>
      <c r="D880" t="s">
        <v>160</v>
      </c>
      <c r="E880" t="s">
        <v>1833</v>
      </c>
      <c r="F880" s="1">
        <v>46060</v>
      </c>
      <c r="G880" s="1">
        <v>46063</v>
      </c>
      <c r="H880" t="s">
        <v>904</v>
      </c>
      <c r="I880" t="s">
        <v>5</v>
      </c>
      <c r="J880" t="s">
        <v>6</v>
      </c>
      <c r="K880" t="s">
        <v>4</v>
      </c>
      <c r="L880" t="s">
        <v>1834</v>
      </c>
      <c r="M880" t="s">
        <v>1834</v>
      </c>
      <c r="N880" s="2">
        <v>9877</v>
      </c>
      <c r="O880" t="s">
        <v>1720</v>
      </c>
      <c r="P880" t="s">
        <v>9</v>
      </c>
      <c r="Q880" t="s">
        <v>86</v>
      </c>
      <c r="R880" t="e">
        <f>VLOOKUP(Q880,#REF!,2,FALSE)</f>
        <v>#REF!</v>
      </c>
      <c r="S880">
        <v>1004</v>
      </c>
      <c r="T880" t="s">
        <v>2225</v>
      </c>
      <c r="U880" t="s">
        <v>1721</v>
      </c>
      <c r="V880" s="1">
        <v>46053</v>
      </c>
      <c r="W880" s="1">
        <v>46053</v>
      </c>
      <c r="X880" t="s">
        <v>77</v>
      </c>
      <c r="Y880" t="s">
        <v>646</v>
      </c>
      <c r="Z880" t="s">
        <v>6</v>
      </c>
      <c r="AA880" t="s">
        <v>646</v>
      </c>
      <c r="AB880" s="4">
        <f t="shared" si="72"/>
        <v>329233.33333333337</v>
      </c>
      <c r="AC880" s="6">
        <v>0.04</v>
      </c>
      <c r="AD880" s="4">
        <f t="shared" si="70"/>
        <v>13169.333333333336</v>
      </c>
      <c r="AE880" s="4">
        <f t="shared" si="71"/>
        <v>3292.3333333333358</v>
      </c>
    </row>
    <row r="881" spans="1:31" x14ac:dyDescent="0.25">
      <c r="A881" t="s">
        <v>0</v>
      </c>
      <c r="B881" s="3" t="s">
        <v>2219</v>
      </c>
      <c r="C881" t="s">
        <v>1718</v>
      </c>
      <c r="D881" t="s">
        <v>160</v>
      </c>
      <c r="E881" t="s">
        <v>1835</v>
      </c>
      <c r="F881" s="1">
        <v>46060</v>
      </c>
      <c r="G881" s="1">
        <v>46063</v>
      </c>
      <c r="H881" t="s">
        <v>904</v>
      </c>
      <c r="I881" t="s">
        <v>5</v>
      </c>
      <c r="J881" t="s">
        <v>6</v>
      </c>
      <c r="K881" t="s">
        <v>4</v>
      </c>
      <c r="L881" t="s">
        <v>1836</v>
      </c>
      <c r="M881" t="s">
        <v>1836</v>
      </c>
      <c r="N881" s="2">
        <v>2119</v>
      </c>
      <c r="O881" t="s">
        <v>1720</v>
      </c>
      <c r="P881" t="s">
        <v>9</v>
      </c>
      <c r="Q881" t="s">
        <v>86</v>
      </c>
      <c r="R881" t="e">
        <f>VLOOKUP(Q881,#REF!,2,FALSE)</f>
        <v>#REF!</v>
      </c>
      <c r="S881">
        <v>1004</v>
      </c>
      <c r="T881" t="s">
        <v>2225</v>
      </c>
      <c r="U881" t="s">
        <v>1721</v>
      </c>
      <c r="V881" s="1">
        <v>46053</v>
      </c>
      <c r="W881" s="1">
        <v>46053</v>
      </c>
      <c r="X881" t="s">
        <v>77</v>
      </c>
      <c r="Y881" t="s">
        <v>646</v>
      </c>
      <c r="Z881" t="s">
        <v>6</v>
      </c>
      <c r="AA881" t="s">
        <v>646</v>
      </c>
      <c r="AB881" s="4">
        <f t="shared" si="72"/>
        <v>70633.333333333343</v>
      </c>
      <c r="AC881" s="6">
        <v>0.04</v>
      </c>
      <c r="AD881" s="4">
        <f t="shared" si="70"/>
        <v>2825.3333333333339</v>
      </c>
      <c r="AE881" s="4">
        <f t="shared" si="71"/>
        <v>706.33333333333394</v>
      </c>
    </row>
    <row r="882" spans="1:31" x14ac:dyDescent="0.25">
      <c r="A882" t="s">
        <v>0</v>
      </c>
      <c r="B882" s="3" t="s">
        <v>2219</v>
      </c>
      <c r="C882" t="s">
        <v>1718</v>
      </c>
      <c r="D882" t="s">
        <v>160</v>
      </c>
      <c r="E882" t="s">
        <v>1837</v>
      </c>
      <c r="F882" s="1">
        <v>46060</v>
      </c>
      <c r="G882" s="1">
        <v>46063</v>
      </c>
      <c r="H882" t="s">
        <v>904</v>
      </c>
      <c r="I882" t="s">
        <v>5</v>
      </c>
      <c r="J882" t="s">
        <v>6</v>
      </c>
      <c r="K882" t="s">
        <v>4</v>
      </c>
      <c r="L882" t="s">
        <v>1838</v>
      </c>
      <c r="M882" t="s">
        <v>1838</v>
      </c>
      <c r="N882" s="2">
        <v>608</v>
      </c>
      <c r="O882" t="s">
        <v>1720</v>
      </c>
      <c r="P882" t="s">
        <v>9</v>
      </c>
      <c r="Q882" t="s">
        <v>86</v>
      </c>
      <c r="R882" t="e">
        <f>VLOOKUP(Q882,#REF!,2,FALSE)</f>
        <v>#REF!</v>
      </c>
      <c r="S882">
        <v>1004</v>
      </c>
      <c r="T882" t="s">
        <v>2225</v>
      </c>
      <c r="U882" t="s">
        <v>1721</v>
      </c>
      <c r="V882" s="1">
        <v>46053</v>
      </c>
      <c r="W882" s="1">
        <v>46053</v>
      </c>
      <c r="X882" t="s">
        <v>77</v>
      </c>
      <c r="Y882" t="s">
        <v>646</v>
      </c>
      <c r="Z882" t="s">
        <v>6</v>
      </c>
      <c r="AA882" t="s">
        <v>646</v>
      </c>
      <c r="AB882" s="4">
        <f t="shared" si="72"/>
        <v>20266.666666666668</v>
      </c>
      <c r="AC882" s="6">
        <v>0.04</v>
      </c>
      <c r="AD882" s="4">
        <f t="shared" si="70"/>
        <v>810.66666666666674</v>
      </c>
      <c r="AE882" s="4">
        <f t="shared" si="71"/>
        <v>202.66666666666674</v>
      </c>
    </row>
    <row r="883" spans="1:31" x14ac:dyDescent="0.25">
      <c r="A883" t="s">
        <v>0</v>
      </c>
      <c r="B883" s="3" t="s">
        <v>2219</v>
      </c>
      <c r="C883" t="s">
        <v>1718</v>
      </c>
      <c r="D883" t="s">
        <v>160</v>
      </c>
      <c r="E883" t="s">
        <v>1839</v>
      </c>
      <c r="F883" s="1">
        <v>46060</v>
      </c>
      <c r="G883" s="1">
        <v>46063</v>
      </c>
      <c r="H883" t="s">
        <v>904</v>
      </c>
      <c r="I883" t="s">
        <v>5</v>
      </c>
      <c r="J883" t="s">
        <v>6</v>
      </c>
      <c r="K883" t="s">
        <v>4</v>
      </c>
      <c r="L883" t="s">
        <v>1840</v>
      </c>
      <c r="M883" t="s">
        <v>1840</v>
      </c>
      <c r="N883" s="2">
        <v>9049</v>
      </c>
      <c r="O883" t="s">
        <v>1720</v>
      </c>
      <c r="P883" t="s">
        <v>9</v>
      </c>
      <c r="Q883" t="s">
        <v>86</v>
      </c>
      <c r="R883" t="e">
        <f>VLOOKUP(Q883,#REF!,2,FALSE)</f>
        <v>#REF!</v>
      </c>
      <c r="S883">
        <v>1004</v>
      </c>
      <c r="T883" t="s">
        <v>2225</v>
      </c>
      <c r="U883" t="s">
        <v>1721</v>
      </c>
      <c r="V883" s="1">
        <v>46053</v>
      </c>
      <c r="W883" s="1">
        <v>46053</v>
      </c>
      <c r="X883" t="s">
        <v>77</v>
      </c>
      <c r="Y883" t="s">
        <v>646</v>
      </c>
      <c r="Z883" t="s">
        <v>6</v>
      </c>
      <c r="AA883" t="s">
        <v>646</v>
      </c>
      <c r="AB883" s="4">
        <f t="shared" si="72"/>
        <v>301633.33333333337</v>
      </c>
      <c r="AC883" s="6">
        <v>0.04</v>
      </c>
      <c r="AD883" s="4">
        <f t="shared" si="70"/>
        <v>12065.333333333336</v>
      </c>
      <c r="AE883" s="4">
        <f t="shared" si="71"/>
        <v>3016.3333333333358</v>
      </c>
    </row>
    <row r="884" spans="1:31" x14ac:dyDescent="0.25">
      <c r="A884" t="s">
        <v>0</v>
      </c>
      <c r="B884" s="3" t="s">
        <v>2219</v>
      </c>
      <c r="C884" t="s">
        <v>1718</v>
      </c>
      <c r="D884" t="s">
        <v>160</v>
      </c>
      <c r="E884" t="s">
        <v>1841</v>
      </c>
      <c r="F884" s="1">
        <v>46060</v>
      </c>
      <c r="G884" s="1">
        <v>46063</v>
      </c>
      <c r="H884" t="s">
        <v>904</v>
      </c>
      <c r="I884" t="s">
        <v>5</v>
      </c>
      <c r="J884" t="s">
        <v>6</v>
      </c>
      <c r="K884" t="s">
        <v>4</v>
      </c>
      <c r="L884" t="s">
        <v>1842</v>
      </c>
      <c r="M884" t="s">
        <v>1842</v>
      </c>
      <c r="N884" s="2">
        <v>15512</v>
      </c>
      <c r="O884" t="s">
        <v>1720</v>
      </c>
      <c r="P884" t="s">
        <v>9</v>
      </c>
      <c r="Q884" t="s">
        <v>86</v>
      </c>
      <c r="R884" t="e">
        <f>VLOOKUP(Q884,#REF!,2,FALSE)</f>
        <v>#REF!</v>
      </c>
      <c r="S884">
        <v>1004</v>
      </c>
      <c r="T884" t="s">
        <v>2225</v>
      </c>
      <c r="U884" t="s">
        <v>1721</v>
      </c>
      <c r="V884" s="1">
        <v>46053</v>
      </c>
      <c r="W884" s="1">
        <v>46053</v>
      </c>
      <c r="X884" t="s">
        <v>77</v>
      </c>
      <c r="Y884" t="s">
        <v>646</v>
      </c>
      <c r="Z884" t="s">
        <v>6</v>
      </c>
      <c r="AA884" t="s">
        <v>646</v>
      </c>
      <c r="AB884" s="4">
        <f t="shared" si="72"/>
        <v>517066.66666666669</v>
      </c>
      <c r="AC884" s="6">
        <v>0.04</v>
      </c>
      <c r="AD884" s="4">
        <f t="shared" si="70"/>
        <v>20682.666666666668</v>
      </c>
      <c r="AE884" s="4">
        <f t="shared" si="71"/>
        <v>5170.6666666666679</v>
      </c>
    </row>
    <row r="885" spans="1:31" x14ac:dyDescent="0.25">
      <c r="A885" t="s">
        <v>0</v>
      </c>
      <c r="B885" s="3" t="s">
        <v>2219</v>
      </c>
      <c r="C885" t="s">
        <v>1718</v>
      </c>
      <c r="D885" t="s">
        <v>160</v>
      </c>
      <c r="E885" t="s">
        <v>1843</v>
      </c>
      <c r="F885" s="1">
        <v>46060</v>
      </c>
      <c r="G885" s="1">
        <v>46063</v>
      </c>
      <c r="H885" t="s">
        <v>904</v>
      </c>
      <c r="I885" t="s">
        <v>5</v>
      </c>
      <c r="J885" t="s">
        <v>6</v>
      </c>
      <c r="K885" t="s">
        <v>4</v>
      </c>
      <c r="L885" t="s">
        <v>1844</v>
      </c>
      <c r="M885" t="s">
        <v>1844</v>
      </c>
      <c r="N885" s="2">
        <v>23127</v>
      </c>
      <c r="O885" t="s">
        <v>1720</v>
      </c>
      <c r="P885" t="s">
        <v>9</v>
      </c>
      <c r="Q885" t="s">
        <v>86</v>
      </c>
      <c r="R885" t="e">
        <f>VLOOKUP(Q885,#REF!,2,FALSE)</f>
        <v>#REF!</v>
      </c>
      <c r="S885">
        <v>1004</v>
      </c>
      <c r="T885" t="s">
        <v>2225</v>
      </c>
      <c r="U885" t="s">
        <v>1721</v>
      </c>
      <c r="V885" s="1">
        <v>46053</v>
      </c>
      <c r="W885" s="1">
        <v>46053</v>
      </c>
      <c r="X885" t="s">
        <v>77</v>
      </c>
      <c r="Y885" t="s">
        <v>646</v>
      </c>
      <c r="Z885" t="s">
        <v>6</v>
      </c>
      <c r="AA885" t="s">
        <v>646</v>
      </c>
      <c r="AB885" s="4">
        <f t="shared" si="72"/>
        <v>770900</v>
      </c>
      <c r="AC885" s="6">
        <v>0.04</v>
      </c>
      <c r="AD885" s="4">
        <f t="shared" si="70"/>
        <v>30836</v>
      </c>
      <c r="AE885" s="4">
        <f t="shared" si="71"/>
        <v>7709</v>
      </c>
    </row>
    <row r="886" spans="1:31" x14ac:dyDescent="0.25">
      <c r="A886" t="s">
        <v>0</v>
      </c>
      <c r="B886" s="3" t="s">
        <v>2219</v>
      </c>
      <c r="C886" t="s">
        <v>1718</v>
      </c>
      <c r="D886" t="s">
        <v>160</v>
      </c>
      <c r="E886" t="s">
        <v>1845</v>
      </c>
      <c r="F886" s="1">
        <v>46060</v>
      </c>
      <c r="G886" s="1">
        <v>46063</v>
      </c>
      <c r="H886" t="s">
        <v>904</v>
      </c>
      <c r="I886" t="s">
        <v>5</v>
      </c>
      <c r="J886" t="s">
        <v>6</v>
      </c>
      <c r="K886" t="s">
        <v>4</v>
      </c>
      <c r="L886" t="s">
        <v>1846</v>
      </c>
      <c r="M886" t="s">
        <v>1846</v>
      </c>
      <c r="N886" s="2">
        <v>39539</v>
      </c>
      <c r="O886" t="s">
        <v>1720</v>
      </c>
      <c r="P886" t="s">
        <v>9</v>
      </c>
      <c r="Q886" t="s">
        <v>86</v>
      </c>
      <c r="R886" t="e">
        <f>VLOOKUP(Q886,#REF!,2,FALSE)</f>
        <v>#REF!</v>
      </c>
      <c r="S886">
        <v>1004</v>
      </c>
      <c r="T886" t="s">
        <v>2225</v>
      </c>
      <c r="U886" t="s">
        <v>1721</v>
      </c>
      <c r="V886" s="1">
        <v>46053</v>
      </c>
      <c r="W886" s="1">
        <v>46053</v>
      </c>
      <c r="X886" t="s">
        <v>77</v>
      </c>
      <c r="Y886" t="s">
        <v>646</v>
      </c>
      <c r="Z886" t="s">
        <v>6</v>
      </c>
      <c r="AA886" t="s">
        <v>646</v>
      </c>
      <c r="AB886" s="4">
        <f t="shared" si="72"/>
        <v>1317966.6666666667</v>
      </c>
      <c r="AC886" s="6">
        <v>0.04</v>
      </c>
      <c r="AD886" s="4">
        <f t="shared" si="70"/>
        <v>52718.666666666672</v>
      </c>
      <c r="AE886" s="4">
        <f t="shared" si="71"/>
        <v>13179.666666666672</v>
      </c>
    </row>
    <row r="887" spans="1:31" x14ac:dyDescent="0.25">
      <c r="A887" t="s">
        <v>0</v>
      </c>
      <c r="B887" s="3" t="s">
        <v>2219</v>
      </c>
      <c r="C887" t="s">
        <v>1718</v>
      </c>
      <c r="D887" t="s">
        <v>160</v>
      </c>
      <c r="E887" t="s">
        <v>921</v>
      </c>
      <c r="F887" s="1">
        <v>46060</v>
      </c>
      <c r="G887" s="1">
        <v>46063</v>
      </c>
      <c r="H887" t="s">
        <v>904</v>
      </c>
      <c r="I887" t="s">
        <v>5</v>
      </c>
      <c r="J887" t="s">
        <v>6</v>
      </c>
      <c r="K887" t="s">
        <v>4</v>
      </c>
      <c r="L887" t="s">
        <v>1847</v>
      </c>
      <c r="M887" t="s">
        <v>1847</v>
      </c>
      <c r="N887" s="2">
        <v>5374</v>
      </c>
      <c r="O887" t="s">
        <v>1720</v>
      </c>
      <c r="P887" t="s">
        <v>9</v>
      </c>
      <c r="Q887" t="s">
        <v>86</v>
      </c>
      <c r="R887" t="e">
        <f>VLOOKUP(Q887,#REF!,2,FALSE)</f>
        <v>#REF!</v>
      </c>
      <c r="S887">
        <v>1004</v>
      </c>
      <c r="T887" t="s">
        <v>2225</v>
      </c>
      <c r="U887" t="s">
        <v>1721</v>
      </c>
      <c r="V887" s="1">
        <v>46053</v>
      </c>
      <c r="W887" s="1">
        <v>46053</v>
      </c>
      <c r="X887" t="s">
        <v>77</v>
      </c>
      <c r="Y887" t="s">
        <v>646</v>
      </c>
      <c r="Z887" t="s">
        <v>6</v>
      </c>
      <c r="AA887" t="s">
        <v>646</v>
      </c>
      <c r="AB887" s="4">
        <f t="shared" si="72"/>
        <v>179133.33333333334</v>
      </c>
      <c r="AC887" s="6">
        <v>0.04</v>
      </c>
      <c r="AD887" s="4">
        <f t="shared" si="70"/>
        <v>7165.3333333333339</v>
      </c>
      <c r="AE887" s="4">
        <f t="shared" si="71"/>
        <v>1791.3333333333339</v>
      </c>
    </row>
    <row r="888" spans="1:31" x14ac:dyDescent="0.25">
      <c r="A888" t="s">
        <v>0</v>
      </c>
      <c r="B888" s="3" t="s">
        <v>2219</v>
      </c>
      <c r="C888" t="s">
        <v>1718</v>
      </c>
      <c r="D888" t="s">
        <v>160</v>
      </c>
      <c r="E888" t="s">
        <v>925</v>
      </c>
      <c r="F888" s="1">
        <v>46060</v>
      </c>
      <c r="G888" s="1">
        <v>46063</v>
      </c>
      <c r="H888" t="s">
        <v>904</v>
      </c>
      <c r="I888" t="s">
        <v>5</v>
      </c>
      <c r="J888" t="s">
        <v>6</v>
      </c>
      <c r="K888" t="s">
        <v>4</v>
      </c>
      <c r="L888" t="s">
        <v>1848</v>
      </c>
      <c r="M888" t="s">
        <v>1848</v>
      </c>
      <c r="N888" s="2">
        <v>432</v>
      </c>
      <c r="O888" t="s">
        <v>1720</v>
      </c>
      <c r="P888" t="s">
        <v>9</v>
      </c>
      <c r="Q888" t="s">
        <v>86</v>
      </c>
      <c r="R888" t="e">
        <f>VLOOKUP(Q888,#REF!,2,FALSE)</f>
        <v>#REF!</v>
      </c>
      <c r="S888">
        <v>1004</v>
      </c>
      <c r="T888" t="s">
        <v>2225</v>
      </c>
      <c r="U888" t="s">
        <v>1721</v>
      </c>
      <c r="V888" s="1">
        <v>46053</v>
      </c>
      <c r="W888" s="1">
        <v>46053</v>
      </c>
      <c r="X888" t="s">
        <v>77</v>
      </c>
      <c r="Y888" t="s">
        <v>646</v>
      </c>
      <c r="Z888" t="s">
        <v>6</v>
      </c>
      <c r="AA888" t="s">
        <v>646</v>
      </c>
      <c r="AB888" s="4">
        <f t="shared" si="72"/>
        <v>14400</v>
      </c>
      <c r="AC888" s="6">
        <v>0.04</v>
      </c>
      <c r="AD888" s="4">
        <f t="shared" si="70"/>
        <v>576</v>
      </c>
      <c r="AE888" s="4">
        <f t="shared" si="71"/>
        <v>144</v>
      </c>
    </row>
    <row r="889" spans="1:31" x14ac:dyDescent="0.25">
      <c r="A889" t="s">
        <v>0</v>
      </c>
      <c r="B889" s="3" t="s">
        <v>2219</v>
      </c>
      <c r="C889" t="s">
        <v>1718</v>
      </c>
      <c r="D889" t="s">
        <v>160</v>
      </c>
      <c r="E889" t="s">
        <v>927</v>
      </c>
      <c r="F889" s="1">
        <v>46060</v>
      </c>
      <c r="G889" s="1">
        <v>46063</v>
      </c>
      <c r="H889" t="s">
        <v>904</v>
      </c>
      <c r="I889" t="s">
        <v>5</v>
      </c>
      <c r="J889" t="s">
        <v>6</v>
      </c>
      <c r="K889" t="s">
        <v>4</v>
      </c>
      <c r="L889" t="s">
        <v>1849</v>
      </c>
      <c r="M889" t="s">
        <v>1849</v>
      </c>
      <c r="N889" s="2">
        <v>5377</v>
      </c>
      <c r="O889" t="s">
        <v>1720</v>
      </c>
      <c r="P889" t="s">
        <v>9</v>
      </c>
      <c r="Q889" t="s">
        <v>86</v>
      </c>
      <c r="R889" t="e">
        <f>VLOOKUP(Q889,#REF!,2,FALSE)</f>
        <v>#REF!</v>
      </c>
      <c r="S889">
        <v>1004</v>
      </c>
      <c r="T889" t="s">
        <v>2225</v>
      </c>
      <c r="U889" t="s">
        <v>1721</v>
      </c>
      <c r="V889" s="1">
        <v>46053</v>
      </c>
      <c r="W889" s="1">
        <v>46053</v>
      </c>
      <c r="X889" t="s">
        <v>77</v>
      </c>
      <c r="Y889" t="s">
        <v>646</v>
      </c>
      <c r="Z889" t="s">
        <v>6</v>
      </c>
      <c r="AA889" t="s">
        <v>646</v>
      </c>
      <c r="AB889" s="4">
        <f t="shared" si="72"/>
        <v>179233.33333333334</v>
      </c>
      <c r="AC889" s="6">
        <v>0.04</v>
      </c>
      <c r="AD889" s="4">
        <f t="shared" si="70"/>
        <v>7169.3333333333339</v>
      </c>
      <c r="AE889" s="4">
        <f t="shared" si="71"/>
        <v>1792.3333333333339</v>
      </c>
    </row>
    <row r="890" spans="1:31" x14ac:dyDescent="0.25">
      <c r="A890" t="s">
        <v>0</v>
      </c>
      <c r="B890" s="3" t="s">
        <v>2219</v>
      </c>
      <c r="C890" t="s">
        <v>1718</v>
      </c>
      <c r="D890" t="s">
        <v>160</v>
      </c>
      <c r="E890" t="s">
        <v>929</v>
      </c>
      <c r="F890" s="1">
        <v>46060</v>
      </c>
      <c r="G890" s="1">
        <v>46063</v>
      </c>
      <c r="H890" t="s">
        <v>904</v>
      </c>
      <c r="I890" t="s">
        <v>5</v>
      </c>
      <c r="J890" t="s">
        <v>6</v>
      </c>
      <c r="K890" t="s">
        <v>4</v>
      </c>
      <c r="L890" t="s">
        <v>1850</v>
      </c>
      <c r="M890" t="s">
        <v>1850</v>
      </c>
      <c r="N890" s="2">
        <v>430</v>
      </c>
      <c r="O890" t="s">
        <v>1720</v>
      </c>
      <c r="P890" t="s">
        <v>9</v>
      </c>
      <c r="Q890" t="s">
        <v>86</v>
      </c>
      <c r="R890" t="e">
        <f>VLOOKUP(Q890,#REF!,2,FALSE)</f>
        <v>#REF!</v>
      </c>
      <c r="S890">
        <v>1004</v>
      </c>
      <c r="T890" t="s">
        <v>2225</v>
      </c>
      <c r="U890" t="s">
        <v>1721</v>
      </c>
      <c r="V890" s="1">
        <v>46053</v>
      </c>
      <c r="W890" s="1">
        <v>46053</v>
      </c>
      <c r="X890" t="s">
        <v>77</v>
      </c>
      <c r="Y890" t="s">
        <v>646</v>
      </c>
      <c r="Z890" t="s">
        <v>6</v>
      </c>
      <c r="AA890" t="s">
        <v>646</v>
      </c>
      <c r="AB890" s="4">
        <f t="shared" si="72"/>
        <v>14333.333333333334</v>
      </c>
      <c r="AC890" s="6">
        <v>0.04</v>
      </c>
      <c r="AD890" s="4">
        <f t="shared" si="70"/>
        <v>573.33333333333337</v>
      </c>
      <c r="AE890" s="4">
        <f t="shared" si="71"/>
        <v>143.33333333333337</v>
      </c>
    </row>
    <row r="891" spans="1:31" x14ac:dyDescent="0.25">
      <c r="A891" t="s">
        <v>0</v>
      </c>
      <c r="B891" s="3" t="s">
        <v>2219</v>
      </c>
      <c r="C891" t="s">
        <v>1718</v>
      </c>
      <c r="D891" t="s">
        <v>160</v>
      </c>
      <c r="E891" t="s">
        <v>931</v>
      </c>
      <c r="F891" s="1">
        <v>46060</v>
      </c>
      <c r="G891" s="1">
        <v>46063</v>
      </c>
      <c r="H891" t="s">
        <v>904</v>
      </c>
      <c r="I891" t="s">
        <v>5</v>
      </c>
      <c r="J891" t="s">
        <v>6</v>
      </c>
      <c r="K891" t="s">
        <v>4</v>
      </c>
      <c r="L891" t="s">
        <v>1851</v>
      </c>
      <c r="M891" t="s">
        <v>1851</v>
      </c>
      <c r="N891" s="2">
        <v>42</v>
      </c>
      <c r="O891" t="s">
        <v>1720</v>
      </c>
      <c r="P891" t="s">
        <v>9</v>
      </c>
      <c r="Q891" t="s">
        <v>86</v>
      </c>
      <c r="R891" t="e">
        <f>VLOOKUP(Q891,#REF!,2,FALSE)</f>
        <v>#REF!</v>
      </c>
      <c r="S891">
        <v>1004</v>
      </c>
      <c r="T891" t="s">
        <v>2225</v>
      </c>
      <c r="U891" t="s">
        <v>1721</v>
      </c>
      <c r="V891" s="1">
        <v>46053</v>
      </c>
      <c r="W891" s="1">
        <v>46053</v>
      </c>
      <c r="X891" t="s">
        <v>77</v>
      </c>
      <c r="Y891" t="s">
        <v>646</v>
      </c>
      <c r="Z891" t="s">
        <v>6</v>
      </c>
      <c r="AA891" t="s">
        <v>646</v>
      </c>
      <c r="AB891" s="4">
        <f t="shared" si="72"/>
        <v>1400</v>
      </c>
      <c r="AC891" s="6">
        <v>0.04</v>
      </c>
      <c r="AD891" s="4">
        <f t="shared" si="70"/>
        <v>56</v>
      </c>
      <c r="AE891" s="4">
        <f t="shared" si="71"/>
        <v>14</v>
      </c>
    </row>
    <row r="892" spans="1:31" x14ac:dyDescent="0.25">
      <c r="A892" t="s">
        <v>0</v>
      </c>
      <c r="B892" s="3" t="s">
        <v>2219</v>
      </c>
      <c r="C892" t="s">
        <v>1718</v>
      </c>
      <c r="D892" t="s">
        <v>160</v>
      </c>
      <c r="E892" t="s">
        <v>933</v>
      </c>
      <c r="F892" s="1">
        <v>46060</v>
      </c>
      <c r="G892" s="1">
        <v>46063</v>
      </c>
      <c r="H892" t="s">
        <v>904</v>
      </c>
      <c r="I892" t="s">
        <v>5</v>
      </c>
      <c r="J892" t="s">
        <v>6</v>
      </c>
      <c r="K892" t="s">
        <v>4</v>
      </c>
      <c r="L892" t="s">
        <v>1852</v>
      </c>
      <c r="M892" t="s">
        <v>1852</v>
      </c>
      <c r="N892" s="2">
        <v>55082</v>
      </c>
      <c r="O892" t="s">
        <v>1720</v>
      </c>
      <c r="P892" t="s">
        <v>9</v>
      </c>
      <c r="Q892" t="s">
        <v>86</v>
      </c>
      <c r="R892" t="e">
        <f>VLOOKUP(Q892,#REF!,2,FALSE)</f>
        <v>#REF!</v>
      </c>
      <c r="S892">
        <v>1004</v>
      </c>
      <c r="T892" t="s">
        <v>2225</v>
      </c>
      <c r="U892" t="s">
        <v>1721</v>
      </c>
      <c r="V892" s="1">
        <v>46053</v>
      </c>
      <c r="W892" s="1">
        <v>46053</v>
      </c>
      <c r="X892" t="s">
        <v>77</v>
      </c>
      <c r="Y892" t="s">
        <v>646</v>
      </c>
      <c r="Z892" t="s">
        <v>6</v>
      </c>
      <c r="AA892" t="s">
        <v>646</v>
      </c>
      <c r="AB892" s="4">
        <f t="shared" si="72"/>
        <v>1836066.6666666667</v>
      </c>
      <c r="AC892" s="6">
        <v>0.04</v>
      </c>
      <c r="AD892" s="4">
        <f t="shared" si="70"/>
        <v>73442.666666666672</v>
      </c>
      <c r="AE892" s="4">
        <f t="shared" si="71"/>
        <v>18360.666666666672</v>
      </c>
    </row>
    <row r="893" spans="1:31" x14ac:dyDescent="0.25">
      <c r="A893" t="s">
        <v>0</v>
      </c>
      <c r="B893" s="3" t="s">
        <v>2219</v>
      </c>
      <c r="C893" t="s">
        <v>1718</v>
      </c>
      <c r="D893" t="s">
        <v>160</v>
      </c>
      <c r="E893" t="s">
        <v>935</v>
      </c>
      <c r="F893" s="1">
        <v>46060</v>
      </c>
      <c r="G893" s="1">
        <v>46063</v>
      </c>
      <c r="H893" t="s">
        <v>904</v>
      </c>
      <c r="I893" t="s">
        <v>5</v>
      </c>
      <c r="J893" t="s">
        <v>6</v>
      </c>
      <c r="K893" t="s">
        <v>4</v>
      </c>
      <c r="L893" t="s">
        <v>1853</v>
      </c>
      <c r="M893" t="s">
        <v>1853</v>
      </c>
      <c r="N893" s="2">
        <v>8376</v>
      </c>
      <c r="O893" t="s">
        <v>1720</v>
      </c>
      <c r="P893" t="s">
        <v>9</v>
      </c>
      <c r="Q893" t="s">
        <v>86</v>
      </c>
      <c r="R893" t="e">
        <f>VLOOKUP(Q893,#REF!,2,FALSE)</f>
        <v>#REF!</v>
      </c>
      <c r="S893">
        <v>1004</v>
      </c>
      <c r="T893" t="s">
        <v>2225</v>
      </c>
      <c r="U893" t="s">
        <v>1721</v>
      </c>
      <c r="V893" s="1">
        <v>46053</v>
      </c>
      <c r="W893" s="1">
        <v>46053</v>
      </c>
      <c r="X893" t="s">
        <v>77</v>
      </c>
      <c r="Y893" t="s">
        <v>646</v>
      </c>
      <c r="Z893" t="s">
        <v>6</v>
      </c>
      <c r="AA893" t="s">
        <v>646</v>
      </c>
      <c r="AB893" s="4">
        <f t="shared" si="72"/>
        <v>279200</v>
      </c>
      <c r="AC893" s="6">
        <v>0.04</v>
      </c>
      <c r="AD893" s="4">
        <f t="shared" si="70"/>
        <v>11168</v>
      </c>
      <c r="AE893" s="4">
        <f t="shared" si="71"/>
        <v>2792</v>
      </c>
    </row>
    <row r="894" spans="1:31" x14ac:dyDescent="0.25">
      <c r="A894" t="s">
        <v>0</v>
      </c>
      <c r="B894" s="3" t="s">
        <v>2219</v>
      </c>
      <c r="C894" t="s">
        <v>1718</v>
      </c>
      <c r="D894" t="s">
        <v>160</v>
      </c>
      <c r="E894" t="s">
        <v>937</v>
      </c>
      <c r="F894" s="1">
        <v>46060</v>
      </c>
      <c r="G894" s="1">
        <v>46063</v>
      </c>
      <c r="H894" t="s">
        <v>904</v>
      </c>
      <c r="I894" t="s">
        <v>5</v>
      </c>
      <c r="J894" t="s">
        <v>6</v>
      </c>
      <c r="K894" t="s">
        <v>4</v>
      </c>
      <c r="L894" t="s">
        <v>1854</v>
      </c>
      <c r="M894" t="s">
        <v>1854</v>
      </c>
      <c r="N894" s="2">
        <v>35895</v>
      </c>
      <c r="O894" t="s">
        <v>1720</v>
      </c>
      <c r="P894" t="s">
        <v>9</v>
      </c>
      <c r="Q894" t="s">
        <v>86</v>
      </c>
      <c r="R894" t="e">
        <f>VLOOKUP(Q894,#REF!,2,FALSE)</f>
        <v>#REF!</v>
      </c>
      <c r="S894">
        <v>1004</v>
      </c>
      <c r="T894" t="s">
        <v>2225</v>
      </c>
      <c r="U894" t="s">
        <v>1721</v>
      </c>
      <c r="V894" s="1">
        <v>46053</v>
      </c>
      <c r="W894" s="1">
        <v>46053</v>
      </c>
      <c r="X894" t="s">
        <v>77</v>
      </c>
      <c r="Y894" t="s">
        <v>646</v>
      </c>
      <c r="Z894" t="s">
        <v>6</v>
      </c>
      <c r="AA894" t="s">
        <v>646</v>
      </c>
      <c r="AB894" s="4">
        <f t="shared" si="72"/>
        <v>1196500</v>
      </c>
      <c r="AC894" s="6">
        <v>0.04</v>
      </c>
      <c r="AD894" s="4">
        <f t="shared" si="70"/>
        <v>47860</v>
      </c>
      <c r="AE894" s="4">
        <f t="shared" si="71"/>
        <v>11965</v>
      </c>
    </row>
    <row r="895" spans="1:31" x14ac:dyDescent="0.25">
      <c r="A895" t="s">
        <v>0</v>
      </c>
      <c r="B895" s="3" t="s">
        <v>2219</v>
      </c>
      <c r="C895" t="s">
        <v>1718</v>
      </c>
      <c r="D895" t="s">
        <v>160</v>
      </c>
      <c r="E895" t="s">
        <v>939</v>
      </c>
      <c r="F895" s="1">
        <v>46060</v>
      </c>
      <c r="G895" s="1">
        <v>46063</v>
      </c>
      <c r="H895" t="s">
        <v>904</v>
      </c>
      <c r="I895" t="s">
        <v>5</v>
      </c>
      <c r="J895" t="s">
        <v>6</v>
      </c>
      <c r="K895" t="s">
        <v>4</v>
      </c>
      <c r="L895" t="s">
        <v>1855</v>
      </c>
      <c r="M895" t="s">
        <v>1855</v>
      </c>
      <c r="N895" s="2">
        <v>8310</v>
      </c>
      <c r="O895" t="s">
        <v>1720</v>
      </c>
      <c r="P895" t="s">
        <v>9</v>
      </c>
      <c r="Q895" t="s">
        <v>86</v>
      </c>
      <c r="R895" t="e">
        <f>VLOOKUP(Q895,#REF!,2,FALSE)</f>
        <v>#REF!</v>
      </c>
      <c r="S895">
        <v>1004</v>
      </c>
      <c r="T895" t="s">
        <v>2225</v>
      </c>
      <c r="U895" t="s">
        <v>1721</v>
      </c>
      <c r="V895" s="1">
        <v>46053</v>
      </c>
      <c r="W895" s="1">
        <v>46053</v>
      </c>
      <c r="X895" t="s">
        <v>77</v>
      </c>
      <c r="Y895" t="s">
        <v>646</v>
      </c>
      <c r="Z895" t="s">
        <v>6</v>
      </c>
      <c r="AA895" t="s">
        <v>646</v>
      </c>
      <c r="AB895" s="4">
        <f t="shared" si="72"/>
        <v>277000</v>
      </c>
      <c r="AC895" s="6">
        <v>0.04</v>
      </c>
      <c r="AD895" s="4">
        <f t="shared" si="70"/>
        <v>11080</v>
      </c>
      <c r="AE895" s="4">
        <f t="shared" si="71"/>
        <v>2770</v>
      </c>
    </row>
    <row r="896" spans="1:31" x14ac:dyDescent="0.25">
      <c r="A896" t="s">
        <v>0</v>
      </c>
      <c r="B896" s="3" t="s">
        <v>2219</v>
      </c>
      <c r="C896" t="s">
        <v>1718</v>
      </c>
      <c r="D896" t="s">
        <v>160</v>
      </c>
      <c r="E896" t="s">
        <v>941</v>
      </c>
      <c r="F896" s="1">
        <v>46060</v>
      </c>
      <c r="G896" s="1">
        <v>46063</v>
      </c>
      <c r="H896" t="s">
        <v>904</v>
      </c>
      <c r="I896" t="s">
        <v>5</v>
      </c>
      <c r="J896" t="s">
        <v>6</v>
      </c>
      <c r="K896" t="s">
        <v>4</v>
      </c>
      <c r="L896" t="s">
        <v>1856</v>
      </c>
      <c r="M896" t="s">
        <v>1856</v>
      </c>
      <c r="N896" s="2">
        <v>24879</v>
      </c>
      <c r="O896" t="s">
        <v>1720</v>
      </c>
      <c r="P896" t="s">
        <v>9</v>
      </c>
      <c r="Q896" t="s">
        <v>86</v>
      </c>
      <c r="R896" t="e">
        <f>VLOOKUP(Q896,#REF!,2,FALSE)</f>
        <v>#REF!</v>
      </c>
      <c r="S896">
        <v>1004</v>
      </c>
      <c r="T896" t="s">
        <v>2225</v>
      </c>
      <c r="U896" t="s">
        <v>1721</v>
      </c>
      <c r="V896" s="1">
        <v>46053</v>
      </c>
      <c r="W896" s="1">
        <v>46053</v>
      </c>
      <c r="X896" t="s">
        <v>77</v>
      </c>
      <c r="Y896" t="s">
        <v>646</v>
      </c>
      <c r="Z896" t="s">
        <v>6</v>
      </c>
      <c r="AA896" t="s">
        <v>646</v>
      </c>
      <c r="AB896" s="4">
        <f t="shared" si="72"/>
        <v>829300</v>
      </c>
      <c r="AC896" s="6">
        <v>0.04</v>
      </c>
      <c r="AD896" s="4">
        <f t="shared" si="70"/>
        <v>33172</v>
      </c>
      <c r="AE896" s="4">
        <f t="shared" si="71"/>
        <v>8293</v>
      </c>
    </row>
    <row r="897" spans="1:31" x14ac:dyDescent="0.25">
      <c r="A897" t="s">
        <v>0</v>
      </c>
      <c r="B897" s="3" t="s">
        <v>2219</v>
      </c>
      <c r="C897" t="s">
        <v>1718</v>
      </c>
      <c r="D897" t="s">
        <v>160</v>
      </c>
      <c r="E897" t="s">
        <v>943</v>
      </c>
      <c r="F897" s="1">
        <v>46060</v>
      </c>
      <c r="G897" s="1">
        <v>46063</v>
      </c>
      <c r="H897" t="s">
        <v>904</v>
      </c>
      <c r="I897" t="s">
        <v>5</v>
      </c>
      <c r="J897" t="s">
        <v>6</v>
      </c>
      <c r="K897" t="s">
        <v>4</v>
      </c>
      <c r="L897" t="s">
        <v>1857</v>
      </c>
      <c r="M897" t="s">
        <v>1857</v>
      </c>
      <c r="N897" s="2">
        <v>4491</v>
      </c>
      <c r="O897" t="s">
        <v>1720</v>
      </c>
      <c r="P897" t="s">
        <v>9</v>
      </c>
      <c r="Q897" t="s">
        <v>86</v>
      </c>
      <c r="R897" t="e">
        <f>VLOOKUP(Q897,#REF!,2,FALSE)</f>
        <v>#REF!</v>
      </c>
      <c r="S897">
        <v>1004</v>
      </c>
      <c r="T897" t="s">
        <v>2225</v>
      </c>
      <c r="U897" t="s">
        <v>1721</v>
      </c>
      <c r="V897" s="1">
        <v>46053</v>
      </c>
      <c r="W897" s="1">
        <v>46053</v>
      </c>
      <c r="X897" t="s">
        <v>77</v>
      </c>
      <c r="Y897" t="s">
        <v>646</v>
      </c>
      <c r="Z897" t="s">
        <v>6</v>
      </c>
      <c r="AA897" t="s">
        <v>646</v>
      </c>
      <c r="AB897" s="4">
        <f t="shared" si="72"/>
        <v>149700</v>
      </c>
      <c r="AC897" s="6">
        <v>0.04</v>
      </c>
      <c r="AD897" s="4">
        <f t="shared" si="70"/>
        <v>5988</v>
      </c>
      <c r="AE897" s="4">
        <f t="shared" si="71"/>
        <v>1497</v>
      </c>
    </row>
    <row r="898" spans="1:31" x14ac:dyDescent="0.25">
      <c r="A898" t="s">
        <v>0</v>
      </c>
      <c r="B898" s="3" t="s">
        <v>2219</v>
      </c>
      <c r="C898" t="s">
        <v>1718</v>
      </c>
      <c r="D898" t="s">
        <v>160</v>
      </c>
      <c r="E898" t="s">
        <v>945</v>
      </c>
      <c r="F898" s="1">
        <v>46060</v>
      </c>
      <c r="G898" s="1">
        <v>46063</v>
      </c>
      <c r="H898" t="s">
        <v>904</v>
      </c>
      <c r="I898" t="s">
        <v>5</v>
      </c>
      <c r="J898" t="s">
        <v>6</v>
      </c>
      <c r="K898" t="s">
        <v>4</v>
      </c>
      <c r="L898" t="s">
        <v>1858</v>
      </c>
      <c r="M898" t="s">
        <v>1858</v>
      </c>
      <c r="N898" s="2">
        <v>29858</v>
      </c>
      <c r="O898" t="s">
        <v>1720</v>
      </c>
      <c r="P898" t="s">
        <v>9</v>
      </c>
      <c r="Q898" t="s">
        <v>86</v>
      </c>
      <c r="R898" t="e">
        <f>VLOOKUP(Q898,#REF!,2,FALSE)</f>
        <v>#REF!</v>
      </c>
      <c r="S898">
        <v>1004</v>
      </c>
      <c r="T898" t="s">
        <v>2225</v>
      </c>
      <c r="U898" t="s">
        <v>1721</v>
      </c>
      <c r="V898" s="1">
        <v>46053</v>
      </c>
      <c r="W898" s="1">
        <v>46053</v>
      </c>
      <c r="X898" t="s">
        <v>77</v>
      </c>
      <c r="Y898" t="s">
        <v>646</v>
      </c>
      <c r="Z898" t="s">
        <v>6</v>
      </c>
      <c r="AA898" t="s">
        <v>646</v>
      </c>
      <c r="AB898" s="4">
        <f t="shared" ref="AB898:AB913" si="73">L898/0.03</f>
        <v>995266.66666666674</v>
      </c>
      <c r="AC898" s="6">
        <v>0.04</v>
      </c>
      <c r="AD898" s="4">
        <f t="shared" ref="AD898:AD913" si="74">AB898*AC898</f>
        <v>39810.666666666672</v>
      </c>
      <c r="AE898" s="4">
        <f t="shared" ref="AE898:AE961" si="75">AD898-L898</f>
        <v>9952.6666666666715</v>
      </c>
    </row>
    <row r="899" spans="1:31" x14ac:dyDescent="0.25">
      <c r="A899" t="s">
        <v>0</v>
      </c>
      <c r="B899" s="3" t="s">
        <v>2219</v>
      </c>
      <c r="C899" t="s">
        <v>1718</v>
      </c>
      <c r="D899" t="s">
        <v>160</v>
      </c>
      <c r="E899" t="s">
        <v>947</v>
      </c>
      <c r="F899" s="1">
        <v>46060</v>
      </c>
      <c r="G899" s="1">
        <v>46063</v>
      </c>
      <c r="H899" t="s">
        <v>904</v>
      </c>
      <c r="I899" t="s">
        <v>5</v>
      </c>
      <c r="J899" t="s">
        <v>6</v>
      </c>
      <c r="K899" t="s">
        <v>4</v>
      </c>
      <c r="L899" t="s">
        <v>1859</v>
      </c>
      <c r="M899" t="s">
        <v>1859</v>
      </c>
      <c r="N899" s="2">
        <v>17476</v>
      </c>
      <c r="O899" t="s">
        <v>1720</v>
      </c>
      <c r="P899" t="s">
        <v>9</v>
      </c>
      <c r="Q899" t="s">
        <v>86</v>
      </c>
      <c r="R899" t="e">
        <f>VLOOKUP(Q899,#REF!,2,FALSE)</f>
        <v>#REF!</v>
      </c>
      <c r="S899">
        <v>1004</v>
      </c>
      <c r="T899" t="s">
        <v>2225</v>
      </c>
      <c r="U899" t="s">
        <v>1721</v>
      </c>
      <c r="V899" s="1">
        <v>46053</v>
      </c>
      <c r="W899" s="1">
        <v>46053</v>
      </c>
      <c r="X899" t="s">
        <v>77</v>
      </c>
      <c r="Y899" t="s">
        <v>646</v>
      </c>
      <c r="Z899" t="s">
        <v>6</v>
      </c>
      <c r="AA899" t="s">
        <v>646</v>
      </c>
      <c r="AB899" s="4">
        <f t="shared" si="73"/>
        <v>582533.33333333337</v>
      </c>
      <c r="AC899" s="6">
        <v>0.04</v>
      </c>
      <c r="AD899" s="4">
        <f t="shared" si="74"/>
        <v>23301.333333333336</v>
      </c>
      <c r="AE899" s="4">
        <f t="shared" si="75"/>
        <v>5825.3333333333358</v>
      </c>
    </row>
    <row r="900" spans="1:31" x14ac:dyDescent="0.25">
      <c r="A900" t="s">
        <v>0</v>
      </c>
      <c r="B900" s="3" t="s">
        <v>2219</v>
      </c>
      <c r="C900" t="s">
        <v>1718</v>
      </c>
      <c r="D900" t="s">
        <v>160</v>
      </c>
      <c r="E900" t="s">
        <v>949</v>
      </c>
      <c r="F900" s="1">
        <v>46060</v>
      </c>
      <c r="G900" s="1">
        <v>46063</v>
      </c>
      <c r="H900" t="s">
        <v>904</v>
      </c>
      <c r="I900" t="s">
        <v>5</v>
      </c>
      <c r="J900" t="s">
        <v>6</v>
      </c>
      <c r="K900" t="s">
        <v>4</v>
      </c>
      <c r="L900" t="s">
        <v>1860</v>
      </c>
      <c r="M900" t="s">
        <v>1860</v>
      </c>
      <c r="N900" s="2">
        <v>31402</v>
      </c>
      <c r="O900" t="s">
        <v>1720</v>
      </c>
      <c r="P900" t="s">
        <v>9</v>
      </c>
      <c r="Q900" t="s">
        <v>86</v>
      </c>
      <c r="R900" t="e">
        <f>VLOOKUP(Q900,#REF!,2,FALSE)</f>
        <v>#REF!</v>
      </c>
      <c r="S900">
        <v>1004</v>
      </c>
      <c r="T900" t="s">
        <v>2225</v>
      </c>
      <c r="U900" t="s">
        <v>1721</v>
      </c>
      <c r="V900" s="1">
        <v>46053</v>
      </c>
      <c r="W900" s="1">
        <v>46053</v>
      </c>
      <c r="X900" t="s">
        <v>77</v>
      </c>
      <c r="Y900" t="s">
        <v>646</v>
      </c>
      <c r="Z900" t="s">
        <v>6</v>
      </c>
      <c r="AA900" t="s">
        <v>646</v>
      </c>
      <c r="AB900" s="4">
        <f t="shared" si="73"/>
        <v>1046733.3333333334</v>
      </c>
      <c r="AC900" s="6">
        <v>0.04</v>
      </c>
      <c r="AD900" s="4">
        <f t="shared" si="74"/>
        <v>41869.333333333336</v>
      </c>
      <c r="AE900" s="4">
        <f t="shared" si="75"/>
        <v>10467.333333333336</v>
      </c>
    </row>
    <row r="901" spans="1:31" x14ac:dyDescent="0.25">
      <c r="A901" t="s">
        <v>0</v>
      </c>
      <c r="B901" s="3" t="s">
        <v>2219</v>
      </c>
      <c r="C901" t="s">
        <v>1718</v>
      </c>
      <c r="D901" t="s">
        <v>160</v>
      </c>
      <c r="E901" t="s">
        <v>951</v>
      </c>
      <c r="F901" s="1">
        <v>46060</v>
      </c>
      <c r="G901" s="1">
        <v>46063</v>
      </c>
      <c r="H901" t="s">
        <v>904</v>
      </c>
      <c r="I901" t="s">
        <v>5</v>
      </c>
      <c r="J901" t="s">
        <v>6</v>
      </c>
      <c r="K901" t="s">
        <v>4</v>
      </c>
      <c r="L901" t="s">
        <v>1861</v>
      </c>
      <c r="M901" t="s">
        <v>1861</v>
      </c>
      <c r="N901" s="2">
        <v>2894</v>
      </c>
      <c r="O901" t="s">
        <v>1720</v>
      </c>
      <c r="P901" t="s">
        <v>9</v>
      </c>
      <c r="Q901" t="s">
        <v>86</v>
      </c>
      <c r="R901" t="e">
        <f>VLOOKUP(Q901,#REF!,2,FALSE)</f>
        <v>#REF!</v>
      </c>
      <c r="S901">
        <v>1004</v>
      </c>
      <c r="T901" t="s">
        <v>2225</v>
      </c>
      <c r="U901" t="s">
        <v>1721</v>
      </c>
      <c r="V901" s="1">
        <v>46053</v>
      </c>
      <c r="W901" s="1">
        <v>46053</v>
      </c>
      <c r="X901" t="s">
        <v>77</v>
      </c>
      <c r="Y901" t="s">
        <v>646</v>
      </c>
      <c r="Z901" t="s">
        <v>6</v>
      </c>
      <c r="AA901" t="s">
        <v>646</v>
      </c>
      <c r="AB901" s="4">
        <f t="shared" si="73"/>
        <v>96466.666666666672</v>
      </c>
      <c r="AC901" s="6">
        <v>0.04</v>
      </c>
      <c r="AD901" s="4">
        <f t="shared" si="74"/>
        <v>3858.666666666667</v>
      </c>
      <c r="AE901" s="4">
        <f t="shared" si="75"/>
        <v>964.66666666666697</v>
      </c>
    </row>
    <row r="902" spans="1:31" x14ac:dyDescent="0.25">
      <c r="A902" t="s">
        <v>0</v>
      </c>
      <c r="B902" s="3" t="s">
        <v>2219</v>
      </c>
      <c r="C902" t="s">
        <v>1718</v>
      </c>
      <c r="D902" t="s">
        <v>160</v>
      </c>
      <c r="E902" t="s">
        <v>953</v>
      </c>
      <c r="F902" s="1">
        <v>46060</v>
      </c>
      <c r="G902" s="1">
        <v>46063</v>
      </c>
      <c r="H902" t="s">
        <v>904</v>
      </c>
      <c r="I902" t="s">
        <v>5</v>
      </c>
      <c r="J902" t="s">
        <v>6</v>
      </c>
      <c r="K902" t="s">
        <v>4</v>
      </c>
      <c r="L902" t="s">
        <v>1862</v>
      </c>
      <c r="M902" t="s">
        <v>1862</v>
      </c>
      <c r="N902" s="2">
        <v>2161</v>
      </c>
      <c r="O902" t="s">
        <v>1720</v>
      </c>
      <c r="P902" t="s">
        <v>9</v>
      </c>
      <c r="Q902" t="s">
        <v>86</v>
      </c>
      <c r="R902" t="e">
        <f>VLOOKUP(Q902,#REF!,2,FALSE)</f>
        <v>#REF!</v>
      </c>
      <c r="S902">
        <v>1004</v>
      </c>
      <c r="T902" t="s">
        <v>2225</v>
      </c>
      <c r="U902" t="s">
        <v>1721</v>
      </c>
      <c r="V902" s="1">
        <v>46053</v>
      </c>
      <c r="W902" s="1">
        <v>46053</v>
      </c>
      <c r="X902" t="s">
        <v>77</v>
      </c>
      <c r="Y902" t="s">
        <v>646</v>
      </c>
      <c r="Z902" t="s">
        <v>6</v>
      </c>
      <c r="AA902" t="s">
        <v>646</v>
      </c>
      <c r="AB902" s="4">
        <f t="shared" si="73"/>
        <v>72033.333333333343</v>
      </c>
      <c r="AC902" s="6">
        <v>0.04</v>
      </c>
      <c r="AD902" s="4">
        <f t="shared" si="74"/>
        <v>2881.3333333333339</v>
      </c>
      <c r="AE902" s="4">
        <f t="shared" si="75"/>
        <v>720.33333333333394</v>
      </c>
    </row>
    <row r="903" spans="1:31" x14ac:dyDescent="0.25">
      <c r="A903" t="s">
        <v>0</v>
      </c>
      <c r="B903" s="3" t="s">
        <v>2219</v>
      </c>
      <c r="C903" t="s">
        <v>1718</v>
      </c>
      <c r="D903" t="s">
        <v>160</v>
      </c>
      <c r="E903" t="s">
        <v>955</v>
      </c>
      <c r="F903" s="1">
        <v>46060</v>
      </c>
      <c r="G903" s="1">
        <v>46063</v>
      </c>
      <c r="H903" t="s">
        <v>904</v>
      </c>
      <c r="I903" t="s">
        <v>5</v>
      </c>
      <c r="J903" t="s">
        <v>6</v>
      </c>
      <c r="K903" t="s">
        <v>4</v>
      </c>
      <c r="L903" t="s">
        <v>1863</v>
      </c>
      <c r="M903" t="s">
        <v>1863</v>
      </c>
      <c r="N903" s="2">
        <v>45557</v>
      </c>
      <c r="O903" t="s">
        <v>1720</v>
      </c>
      <c r="P903" t="s">
        <v>9</v>
      </c>
      <c r="Q903" t="s">
        <v>86</v>
      </c>
      <c r="R903" t="e">
        <f>VLOOKUP(Q903,#REF!,2,FALSE)</f>
        <v>#REF!</v>
      </c>
      <c r="S903">
        <v>1004</v>
      </c>
      <c r="T903" t="s">
        <v>2225</v>
      </c>
      <c r="U903" t="s">
        <v>1721</v>
      </c>
      <c r="V903" s="1">
        <v>46053</v>
      </c>
      <c r="W903" s="1">
        <v>46053</v>
      </c>
      <c r="X903" t="s">
        <v>77</v>
      </c>
      <c r="Y903" t="s">
        <v>646</v>
      </c>
      <c r="Z903" t="s">
        <v>6</v>
      </c>
      <c r="AA903" t="s">
        <v>646</v>
      </c>
      <c r="AB903" s="4">
        <f t="shared" si="73"/>
        <v>1518566.6666666667</v>
      </c>
      <c r="AC903" s="6">
        <v>0.04</v>
      </c>
      <c r="AD903" s="4">
        <f t="shared" si="74"/>
        <v>60742.666666666672</v>
      </c>
      <c r="AE903" s="4">
        <f t="shared" si="75"/>
        <v>15185.666666666672</v>
      </c>
    </row>
    <row r="904" spans="1:31" x14ac:dyDescent="0.25">
      <c r="A904" t="s">
        <v>0</v>
      </c>
      <c r="B904" s="3" t="s">
        <v>2219</v>
      </c>
      <c r="C904" t="s">
        <v>1718</v>
      </c>
      <c r="D904" t="s">
        <v>160</v>
      </c>
      <c r="E904" t="s">
        <v>957</v>
      </c>
      <c r="F904" s="1">
        <v>46060</v>
      </c>
      <c r="G904" s="1">
        <v>46063</v>
      </c>
      <c r="H904" t="s">
        <v>904</v>
      </c>
      <c r="I904" t="s">
        <v>5</v>
      </c>
      <c r="J904" t="s">
        <v>6</v>
      </c>
      <c r="K904" t="s">
        <v>4</v>
      </c>
      <c r="L904" t="s">
        <v>1864</v>
      </c>
      <c r="M904" t="s">
        <v>1864</v>
      </c>
      <c r="N904" s="2">
        <v>11720</v>
      </c>
      <c r="O904" t="s">
        <v>1720</v>
      </c>
      <c r="P904" t="s">
        <v>9</v>
      </c>
      <c r="Q904" t="s">
        <v>86</v>
      </c>
      <c r="R904" t="e">
        <f>VLOOKUP(Q904,#REF!,2,FALSE)</f>
        <v>#REF!</v>
      </c>
      <c r="S904">
        <v>1004</v>
      </c>
      <c r="T904" t="s">
        <v>2225</v>
      </c>
      <c r="U904" t="s">
        <v>1721</v>
      </c>
      <c r="V904" s="1">
        <v>46053</v>
      </c>
      <c r="W904" s="1">
        <v>46053</v>
      </c>
      <c r="X904" t="s">
        <v>77</v>
      </c>
      <c r="Y904" t="s">
        <v>646</v>
      </c>
      <c r="Z904" t="s">
        <v>6</v>
      </c>
      <c r="AA904" t="s">
        <v>646</v>
      </c>
      <c r="AB904" s="4">
        <f t="shared" si="73"/>
        <v>390666.66666666669</v>
      </c>
      <c r="AC904" s="6">
        <v>0.04</v>
      </c>
      <c r="AD904" s="4">
        <f t="shared" si="74"/>
        <v>15626.666666666668</v>
      </c>
      <c r="AE904" s="4">
        <f t="shared" si="75"/>
        <v>3906.6666666666679</v>
      </c>
    </row>
    <row r="905" spans="1:31" x14ac:dyDescent="0.25">
      <c r="A905" t="s">
        <v>0</v>
      </c>
      <c r="B905" s="3" t="s">
        <v>2219</v>
      </c>
      <c r="C905" t="s">
        <v>1718</v>
      </c>
      <c r="D905" t="s">
        <v>160</v>
      </c>
      <c r="E905" t="s">
        <v>1865</v>
      </c>
      <c r="F905" s="1">
        <v>46060</v>
      </c>
      <c r="G905" s="1">
        <v>46063</v>
      </c>
      <c r="H905" t="s">
        <v>904</v>
      </c>
      <c r="I905" t="s">
        <v>5</v>
      </c>
      <c r="J905" t="s">
        <v>6</v>
      </c>
      <c r="K905" t="s">
        <v>4</v>
      </c>
      <c r="L905" t="s">
        <v>1866</v>
      </c>
      <c r="M905" t="s">
        <v>1866</v>
      </c>
      <c r="N905" s="2">
        <v>25720</v>
      </c>
      <c r="O905" t="s">
        <v>1720</v>
      </c>
      <c r="P905" t="s">
        <v>9</v>
      </c>
      <c r="Q905" t="s">
        <v>86</v>
      </c>
      <c r="R905" t="e">
        <f>VLOOKUP(Q905,#REF!,2,FALSE)</f>
        <v>#REF!</v>
      </c>
      <c r="S905">
        <v>1004</v>
      </c>
      <c r="T905" t="s">
        <v>2225</v>
      </c>
      <c r="U905" t="s">
        <v>1721</v>
      </c>
      <c r="V905" s="1">
        <v>46053</v>
      </c>
      <c r="W905" s="1">
        <v>46053</v>
      </c>
      <c r="X905" t="s">
        <v>77</v>
      </c>
      <c r="Y905" t="s">
        <v>646</v>
      </c>
      <c r="Z905" t="s">
        <v>6</v>
      </c>
      <c r="AA905" t="s">
        <v>646</v>
      </c>
      <c r="AB905" s="4">
        <f t="shared" si="73"/>
        <v>857333.33333333337</v>
      </c>
      <c r="AC905" s="6">
        <v>0.04</v>
      </c>
      <c r="AD905" s="4">
        <f t="shared" si="74"/>
        <v>34293.333333333336</v>
      </c>
      <c r="AE905" s="4">
        <f t="shared" si="75"/>
        <v>8573.3333333333358</v>
      </c>
    </row>
    <row r="906" spans="1:31" x14ac:dyDescent="0.25">
      <c r="A906" t="s">
        <v>0</v>
      </c>
      <c r="B906" s="3" t="s">
        <v>2219</v>
      </c>
      <c r="C906" t="s">
        <v>1718</v>
      </c>
      <c r="D906" t="s">
        <v>160</v>
      </c>
      <c r="E906" t="s">
        <v>1867</v>
      </c>
      <c r="F906" s="1">
        <v>46060</v>
      </c>
      <c r="G906" s="1">
        <v>46063</v>
      </c>
      <c r="H906" t="s">
        <v>904</v>
      </c>
      <c r="I906" t="s">
        <v>5</v>
      </c>
      <c r="J906" t="s">
        <v>6</v>
      </c>
      <c r="K906" t="s">
        <v>4</v>
      </c>
      <c r="L906" t="s">
        <v>1868</v>
      </c>
      <c r="M906" t="s">
        <v>1868</v>
      </c>
      <c r="N906" s="2">
        <v>2759</v>
      </c>
      <c r="O906" t="s">
        <v>1720</v>
      </c>
      <c r="P906" t="s">
        <v>9</v>
      </c>
      <c r="Q906" t="s">
        <v>86</v>
      </c>
      <c r="R906" t="e">
        <f>VLOOKUP(Q906,#REF!,2,FALSE)</f>
        <v>#REF!</v>
      </c>
      <c r="S906">
        <v>1004</v>
      </c>
      <c r="T906" t="s">
        <v>2225</v>
      </c>
      <c r="U906" t="s">
        <v>1721</v>
      </c>
      <c r="V906" s="1">
        <v>46053</v>
      </c>
      <c r="W906" s="1">
        <v>46053</v>
      </c>
      <c r="X906" t="s">
        <v>77</v>
      </c>
      <c r="Y906" t="s">
        <v>646</v>
      </c>
      <c r="Z906" t="s">
        <v>6</v>
      </c>
      <c r="AA906" t="s">
        <v>646</v>
      </c>
      <c r="AB906" s="4">
        <f t="shared" si="73"/>
        <v>91966.666666666672</v>
      </c>
      <c r="AC906" s="6">
        <v>0.04</v>
      </c>
      <c r="AD906" s="4">
        <f t="shared" si="74"/>
        <v>3678.666666666667</v>
      </c>
      <c r="AE906" s="4">
        <f t="shared" si="75"/>
        <v>919.66666666666697</v>
      </c>
    </row>
    <row r="907" spans="1:31" x14ac:dyDescent="0.25">
      <c r="A907" t="s">
        <v>0</v>
      </c>
      <c r="B907" s="3" t="s">
        <v>2219</v>
      </c>
      <c r="C907" t="s">
        <v>1718</v>
      </c>
      <c r="D907" t="s">
        <v>160</v>
      </c>
      <c r="E907" t="s">
        <v>1869</v>
      </c>
      <c r="F907" s="1">
        <v>46060</v>
      </c>
      <c r="G907" s="1">
        <v>46063</v>
      </c>
      <c r="H907" t="s">
        <v>904</v>
      </c>
      <c r="I907" t="s">
        <v>5</v>
      </c>
      <c r="J907" t="s">
        <v>6</v>
      </c>
      <c r="K907" t="s">
        <v>4</v>
      </c>
      <c r="L907" t="s">
        <v>1870</v>
      </c>
      <c r="M907" t="s">
        <v>1870</v>
      </c>
      <c r="N907" s="2">
        <v>889</v>
      </c>
      <c r="O907" t="s">
        <v>1720</v>
      </c>
      <c r="P907" t="s">
        <v>9</v>
      </c>
      <c r="Q907" t="s">
        <v>86</v>
      </c>
      <c r="R907" t="e">
        <f>VLOOKUP(Q907,#REF!,2,FALSE)</f>
        <v>#REF!</v>
      </c>
      <c r="S907">
        <v>1004</v>
      </c>
      <c r="T907" t="s">
        <v>2225</v>
      </c>
      <c r="U907" t="s">
        <v>1721</v>
      </c>
      <c r="V907" s="1">
        <v>46053</v>
      </c>
      <c r="W907" s="1">
        <v>46053</v>
      </c>
      <c r="X907" t="s">
        <v>77</v>
      </c>
      <c r="Y907" t="s">
        <v>646</v>
      </c>
      <c r="Z907" t="s">
        <v>6</v>
      </c>
      <c r="AA907" t="s">
        <v>646</v>
      </c>
      <c r="AB907" s="4">
        <f t="shared" si="73"/>
        <v>29633.333333333336</v>
      </c>
      <c r="AC907" s="6">
        <v>0.04</v>
      </c>
      <c r="AD907" s="4">
        <f t="shared" si="74"/>
        <v>1185.3333333333335</v>
      </c>
      <c r="AE907" s="4">
        <f t="shared" si="75"/>
        <v>296.33333333333348</v>
      </c>
    </row>
    <row r="908" spans="1:31" x14ac:dyDescent="0.25">
      <c r="A908" t="s">
        <v>0</v>
      </c>
      <c r="B908" s="3" t="s">
        <v>2219</v>
      </c>
      <c r="C908" t="s">
        <v>1718</v>
      </c>
      <c r="D908" t="s">
        <v>160</v>
      </c>
      <c r="E908" t="s">
        <v>1871</v>
      </c>
      <c r="F908" s="1">
        <v>46060</v>
      </c>
      <c r="G908" s="1">
        <v>46063</v>
      </c>
      <c r="H908" t="s">
        <v>904</v>
      </c>
      <c r="I908" t="s">
        <v>5</v>
      </c>
      <c r="J908" t="s">
        <v>6</v>
      </c>
      <c r="K908" t="s">
        <v>4</v>
      </c>
      <c r="L908" t="s">
        <v>1872</v>
      </c>
      <c r="M908" t="s">
        <v>1872</v>
      </c>
      <c r="N908" s="2">
        <v>2172</v>
      </c>
      <c r="O908" t="s">
        <v>1720</v>
      </c>
      <c r="P908" t="s">
        <v>9</v>
      </c>
      <c r="Q908" t="s">
        <v>86</v>
      </c>
      <c r="R908" t="e">
        <f>VLOOKUP(Q908,#REF!,2,FALSE)</f>
        <v>#REF!</v>
      </c>
      <c r="S908">
        <v>1004</v>
      </c>
      <c r="T908" t="s">
        <v>2225</v>
      </c>
      <c r="U908" t="s">
        <v>1721</v>
      </c>
      <c r="V908" s="1">
        <v>46053</v>
      </c>
      <c r="W908" s="1">
        <v>46053</v>
      </c>
      <c r="X908" t="s">
        <v>77</v>
      </c>
      <c r="Y908" t="s">
        <v>646</v>
      </c>
      <c r="Z908" t="s">
        <v>6</v>
      </c>
      <c r="AA908" t="s">
        <v>646</v>
      </c>
      <c r="AB908" s="4">
        <f t="shared" si="73"/>
        <v>72400</v>
      </c>
      <c r="AC908" s="6">
        <v>0.04</v>
      </c>
      <c r="AD908" s="4">
        <f t="shared" si="74"/>
        <v>2896</v>
      </c>
      <c r="AE908" s="4">
        <f t="shared" si="75"/>
        <v>724</v>
      </c>
    </row>
    <row r="909" spans="1:31" x14ac:dyDescent="0.25">
      <c r="A909" t="s">
        <v>0</v>
      </c>
      <c r="B909" s="3" t="s">
        <v>2219</v>
      </c>
      <c r="C909" t="s">
        <v>1718</v>
      </c>
      <c r="D909" t="s">
        <v>160</v>
      </c>
      <c r="E909" t="s">
        <v>1873</v>
      </c>
      <c r="F909" s="1">
        <v>46060</v>
      </c>
      <c r="G909" s="1">
        <v>46063</v>
      </c>
      <c r="H909" t="s">
        <v>904</v>
      </c>
      <c r="I909" t="s">
        <v>5</v>
      </c>
      <c r="J909" t="s">
        <v>6</v>
      </c>
      <c r="K909" t="s">
        <v>4</v>
      </c>
      <c r="L909" t="s">
        <v>1874</v>
      </c>
      <c r="M909" t="s">
        <v>1874</v>
      </c>
      <c r="N909" s="2">
        <v>492</v>
      </c>
      <c r="O909" t="s">
        <v>1720</v>
      </c>
      <c r="P909" t="s">
        <v>9</v>
      </c>
      <c r="Q909" t="s">
        <v>86</v>
      </c>
      <c r="R909" t="e">
        <f>VLOOKUP(Q909,#REF!,2,FALSE)</f>
        <v>#REF!</v>
      </c>
      <c r="S909">
        <v>1004</v>
      </c>
      <c r="T909" t="s">
        <v>2225</v>
      </c>
      <c r="U909" t="s">
        <v>1721</v>
      </c>
      <c r="V909" s="1">
        <v>46053</v>
      </c>
      <c r="W909" s="1">
        <v>46053</v>
      </c>
      <c r="X909" t="s">
        <v>77</v>
      </c>
      <c r="Y909" t="s">
        <v>646</v>
      </c>
      <c r="Z909" t="s">
        <v>6</v>
      </c>
      <c r="AA909" t="s">
        <v>646</v>
      </c>
      <c r="AB909" s="4">
        <f t="shared" si="73"/>
        <v>16400</v>
      </c>
      <c r="AC909" s="6">
        <v>0.04</v>
      </c>
      <c r="AD909" s="4">
        <f t="shared" si="74"/>
        <v>656</v>
      </c>
      <c r="AE909" s="4">
        <f t="shared" si="75"/>
        <v>164</v>
      </c>
    </row>
    <row r="910" spans="1:31" x14ac:dyDescent="0.25">
      <c r="A910" t="s">
        <v>0</v>
      </c>
      <c r="B910" s="3" t="s">
        <v>2219</v>
      </c>
      <c r="C910" t="s">
        <v>1718</v>
      </c>
      <c r="D910" t="s">
        <v>160</v>
      </c>
      <c r="E910" t="s">
        <v>1875</v>
      </c>
      <c r="F910" s="1">
        <v>46060</v>
      </c>
      <c r="G910" s="1">
        <v>46063</v>
      </c>
      <c r="H910" t="s">
        <v>904</v>
      </c>
      <c r="I910" t="s">
        <v>5</v>
      </c>
      <c r="J910" t="s">
        <v>6</v>
      </c>
      <c r="K910" t="s">
        <v>4</v>
      </c>
      <c r="L910" t="s">
        <v>1244</v>
      </c>
      <c r="M910" t="s">
        <v>1244</v>
      </c>
      <c r="N910" s="2">
        <v>258</v>
      </c>
      <c r="O910" t="s">
        <v>1720</v>
      </c>
      <c r="P910" t="s">
        <v>9</v>
      </c>
      <c r="Q910" t="s">
        <v>86</v>
      </c>
      <c r="R910" t="e">
        <f>VLOOKUP(Q910,#REF!,2,FALSE)</f>
        <v>#REF!</v>
      </c>
      <c r="S910">
        <v>1004</v>
      </c>
      <c r="T910" t="s">
        <v>2225</v>
      </c>
      <c r="U910" t="s">
        <v>1721</v>
      </c>
      <c r="V910" s="1">
        <v>46053</v>
      </c>
      <c r="W910" s="1">
        <v>46053</v>
      </c>
      <c r="X910" t="s">
        <v>77</v>
      </c>
      <c r="Y910" t="s">
        <v>646</v>
      </c>
      <c r="Z910" t="s">
        <v>6</v>
      </c>
      <c r="AA910" t="s">
        <v>646</v>
      </c>
      <c r="AB910" s="4">
        <f t="shared" si="73"/>
        <v>8600</v>
      </c>
      <c r="AC910" s="6">
        <v>0.04</v>
      </c>
      <c r="AD910" s="4">
        <f t="shared" si="74"/>
        <v>344</v>
      </c>
      <c r="AE910" s="4">
        <f t="shared" si="75"/>
        <v>86</v>
      </c>
    </row>
    <row r="911" spans="1:31" x14ac:dyDescent="0.25">
      <c r="A911" t="s">
        <v>0</v>
      </c>
      <c r="B911" s="3" t="s">
        <v>2219</v>
      </c>
      <c r="C911" t="s">
        <v>1718</v>
      </c>
      <c r="D911" t="s">
        <v>160</v>
      </c>
      <c r="E911" t="s">
        <v>1876</v>
      </c>
      <c r="F911" s="1">
        <v>46060</v>
      </c>
      <c r="G911" s="1">
        <v>46063</v>
      </c>
      <c r="H911" t="s">
        <v>904</v>
      </c>
      <c r="I911" t="s">
        <v>5</v>
      </c>
      <c r="J911" t="s">
        <v>6</v>
      </c>
      <c r="K911" t="s">
        <v>4</v>
      </c>
      <c r="L911" t="s">
        <v>1877</v>
      </c>
      <c r="M911" t="s">
        <v>1877</v>
      </c>
      <c r="N911" s="2">
        <v>9285</v>
      </c>
      <c r="O911" t="s">
        <v>1720</v>
      </c>
      <c r="P911" t="s">
        <v>9</v>
      </c>
      <c r="Q911" t="s">
        <v>86</v>
      </c>
      <c r="R911" t="e">
        <f>VLOOKUP(Q911,#REF!,2,FALSE)</f>
        <v>#REF!</v>
      </c>
      <c r="S911">
        <v>1004</v>
      </c>
      <c r="T911" t="s">
        <v>2225</v>
      </c>
      <c r="U911" t="s">
        <v>1721</v>
      </c>
      <c r="V911" s="1">
        <v>46053</v>
      </c>
      <c r="W911" s="1">
        <v>46053</v>
      </c>
      <c r="X911" t="s">
        <v>77</v>
      </c>
      <c r="Y911" t="s">
        <v>646</v>
      </c>
      <c r="Z911" t="s">
        <v>6</v>
      </c>
      <c r="AA911" t="s">
        <v>646</v>
      </c>
      <c r="AB911" s="4">
        <f t="shared" si="73"/>
        <v>309500</v>
      </c>
      <c r="AC911" s="6">
        <v>0.04</v>
      </c>
      <c r="AD911" s="4">
        <f t="shared" si="74"/>
        <v>12380</v>
      </c>
      <c r="AE911" s="4">
        <f t="shared" si="75"/>
        <v>3095</v>
      </c>
    </row>
    <row r="912" spans="1:31" x14ac:dyDescent="0.25">
      <c r="A912" t="s">
        <v>0</v>
      </c>
      <c r="B912" s="3" t="s">
        <v>2219</v>
      </c>
      <c r="C912" t="s">
        <v>1718</v>
      </c>
      <c r="D912" t="s">
        <v>160</v>
      </c>
      <c r="E912" t="s">
        <v>1878</v>
      </c>
      <c r="F912" s="1">
        <v>46060</v>
      </c>
      <c r="G912" s="1">
        <v>46063</v>
      </c>
      <c r="H912" t="s">
        <v>904</v>
      </c>
      <c r="I912" t="s">
        <v>5</v>
      </c>
      <c r="J912" t="s">
        <v>6</v>
      </c>
      <c r="K912" t="s">
        <v>4</v>
      </c>
      <c r="L912" t="s">
        <v>1879</v>
      </c>
      <c r="M912" t="s">
        <v>1879</v>
      </c>
      <c r="N912" s="2">
        <v>1074</v>
      </c>
      <c r="O912" t="s">
        <v>1720</v>
      </c>
      <c r="P912" t="s">
        <v>9</v>
      </c>
      <c r="Q912" t="s">
        <v>86</v>
      </c>
      <c r="R912" t="e">
        <f>VLOOKUP(Q912,#REF!,2,FALSE)</f>
        <v>#REF!</v>
      </c>
      <c r="S912">
        <v>1004</v>
      </c>
      <c r="T912" t="s">
        <v>2225</v>
      </c>
      <c r="U912" t="s">
        <v>1721</v>
      </c>
      <c r="V912" s="1">
        <v>46053</v>
      </c>
      <c r="W912" s="1">
        <v>46053</v>
      </c>
      <c r="X912" t="s">
        <v>77</v>
      </c>
      <c r="Y912" t="s">
        <v>646</v>
      </c>
      <c r="Z912" t="s">
        <v>6</v>
      </c>
      <c r="AA912" t="s">
        <v>646</v>
      </c>
      <c r="AB912" s="4">
        <f t="shared" si="73"/>
        <v>35800</v>
      </c>
      <c r="AC912" s="6">
        <v>0.04</v>
      </c>
      <c r="AD912" s="4">
        <f t="shared" si="74"/>
        <v>1432</v>
      </c>
      <c r="AE912" s="4">
        <f t="shared" si="75"/>
        <v>358</v>
      </c>
    </row>
    <row r="913" spans="1:31" x14ac:dyDescent="0.25">
      <c r="A913" t="s">
        <v>0</v>
      </c>
      <c r="B913" s="3" t="s">
        <v>2219</v>
      </c>
      <c r="C913" t="s">
        <v>1718</v>
      </c>
      <c r="D913" t="s">
        <v>160</v>
      </c>
      <c r="E913" t="s">
        <v>1880</v>
      </c>
      <c r="F913" s="1">
        <v>46060</v>
      </c>
      <c r="G913" s="1">
        <v>46063</v>
      </c>
      <c r="H913" t="s">
        <v>904</v>
      </c>
      <c r="I913" t="s">
        <v>5</v>
      </c>
      <c r="J913" t="s">
        <v>6</v>
      </c>
      <c r="K913" t="s">
        <v>4</v>
      </c>
      <c r="L913" t="s">
        <v>1881</v>
      </c>
      <c r="M913" t="s">
        <v>1881</v>
      </c>
      <c r="N913" s="2">
        <v>4872</v>
      </c>
      <c r="O913" t="s">
        <v>1720</v>
      </c>
      <c r="P913" t="s">
        <v>9</v>
      </c>
      <c r="Q913" t="s">
        <v>86</v>
      </c>
      <c r="R913" t="e">
        <f>VLOOKUP(Q913,#REF!,2,FALSE)</f>
        <v>#REF!</v>
      </c>
      <c r="S913">
        <v>1004</v>
      </c>
      <c r="T913" t="s">
        <v>2225</v>
      </c>
      <c r="U913" t="s">
        <v>1721</v>
      </c>
      <c r="V913" s="1">
        <v>46053</v>
      </c>
      <c r="W913" s="1">
        <v>46053</v>
      </c>
      <c r="X913" t="s">
        <v>77</v>
      </c>
      <c r="Y913" t="s">
        <v>646</v>
      </c>
      <c r="Z913" t="s">
        <v>6</v>
      </c>
      <c r="AA913" t="s">
        <v>646</v>
      </c>
      <c r="AB913" s="4">
        <f t="shared" si="73"/>
        <v>162400</v>
      </c>
      <c r="AC913" s="6">
        <v>0.04</v>
      </c>
      <c r="AD913" s="4">
        <f t="shared" si="74"/>
        <v>6496</v>
      </c>
      <c r="AE913" s="4">
        <f t="shared" si="75"/>
        <v>1624</v>
      </c>
    </row>
    <row r="914" spans="1:31" x14ac:dyDescent="0.25">
      <c r="A914" t="s">
        <v>0</v>
      </c>
      <c r="B914" s="3" t="s">
        <v>2219</v>
      </c>
      <c r="C914" t="s">
        <v>1718</v>
      </c>
      <c r="D914" t="s">
        <v>160</v>
      </c>
      <c r="E914" t="s">
        <v>1625</v>
      </c>
      <c r="F914" s="1">
        <v>46060</v>
      </c>
      <c r="G914" s="1">
        <v>46063</v>
      </c>
      <c r="H914" t="s">
        <v>882</v>
      </c>
      <c r="I914" t="s">
        <v>5</v>
      </c>
      <c r="J914" t="s">
        <v>6</v>
      </c>
      <c r="K914" t="s">
        <v>4</v>
      </c>
      <c r="L914" t="s">
        <v>1882</v>
      </c>
      <c r="M914" t="s">
        <v>1882</v>
      </c>
      <c r="N914" s="2">
        <v>794552</v>
      </c>
      <c r="O914" t="s">
        <v>1720</v>
      </c>
      <c r="P914" t="s">
        <v>9</v>
      </c>
      <c r="Q914" t="s">
        <v>75</v>
      </c>
      <c r="R914" t="e">
        <f>VLOOKUP(Q914,#REF!,2,FALSE)</f>
        <v>#REF!</v>
      </c>
      <c r="S914">
        <v>1004</v>
      </c>
      <c r="T914" t="s">
        <v>2225</v>
      </c>
      <c r="U914" t="s">
        <v>1721</v>
      </c>
      <c r="V914" s="1">
        <v>46053</v>
      </c>
      <c r="W914" s="1">
        <v>46053</v>
      </c>
      <c r="X914" t="s">
        <v>77</v>
      </c>
      <c r="Y914" t="s">
        <v>646</v>
      </c>
      <c r="Z914" t="s">
        <v>6</v>
      </c>
      <c r="AA914" t="s">
        <v>646</v>
      </c>
      <c r="AB914" s="4">
        <f t="shared" ref="AB914:AB945" si="76">L914/0.1</f>
        <v>7945520</v>
      </c>
      <c r="AC914" s="5" t="s">
        <v>2215</v>
      </c>
      <c r="AD914" s="4">
        <f t="shared" ref="AD914:AD977" si="77">AB914/12</f>
        <v>662126.66666666663</v>
      </c>
      <c r="AE914" s="4">
        <f t="shared" si="75"/>
        <v>-132425.33333333337</v>
      </c>
    </row>
    <row r="915" spans="1:31" x14ac:dyDescent="0.25">
      <c r="A915" t="s">
        <v>0</v>
      </c>
      <c r="B915" s="3" t="s">
        <v>2219</v>
      </c>
      <c r="C915" t="s">
        <v>1718</v>
      </c>
      <c r="D915" t="s">
        <v>160</v>
      </c>
      <c r="E915" t="s">
        <v>1627</v>
      </c>
      <c r="F915" s="1">
        <v>46060</v>
      </c>
      <c r="G915" s="1">
        <v>46063</v>
      </c>
      <c r="H915" t="s">
        <v>882</v>
      </c>
      <c r="I915" t="s">
        <v>5</v>
      </c>
      <c r="J915" t="s">
        <v>6</v>
      </c>
      <c r="K915" t="s">
        <v>4</v>
      </c>
      <c r="L915" t="s">
        <v>1883</v>
      </c>
      <c r="M915" t="s">
        <v>1883</v>
      </c>
      <c r="N915" s="2">
        <v>63838</v>
      </c>
      <c r="O915" t="s">
        <v>1720</v>
      </c>
      <c r="P915" t="s">
        <v>9</v>
      </c>
      <c r="Q915" t="s">
        <v>75</v>
      </c>
      <c r="R915" t="e">
        <f>VLOOKUP(Q915,#REF!,2,FALSE)</f>
        <v>#REF!</v>
      </c>
      <c r="S915">
        <v>1004</v>
      </c>
      <c r="T915" t="s">
        <v>2225</v>
      </c>
      <c r="U915" t="s">
        <v>1721</v>
      </c>
      <c r="V915" s="1">
        <v>46053</v>
      </c>
      <c r="W915" s="1">
        <v>46053</v>
      </c>
      <c r="X915" t="s">
        <v>77</v>
      </c>
      <c r="Y915" t="s">
        <v>646</v>
      </c>
      <c r="Z915" t="s">
        <v>6</v>
      </c>
      <c r="AA915" t="s">
        <v>646</v>
      </c>
      <c r="AB915" s="4">
        <f t="shared" si="76"/>
        <v>638380</v>
      </c>
      <c r="AC915" s="5" t="s">
        <v>2215</v>
      </c>
      <c r="AD915" s="4">
        <f t="shared" si="77"/>
        <v>53198.333333333336</v>
      </c>
      <c r="AE915" s="4">
        <f t="shared" si="75"/>
        <v>-10639.666666666664</v>
      </c>
    </row>
    <row r="916" spans="1:31" x14ac:dyDescent="0.25">
      <c r="A916" t="s">
        <v>0</v>
      </c>
      <c r="B916" s="3" t="s">
        <v>2219</v>
      </c>
      <c r="C916" t="s">
        <v>1718</v>
      </c>
      <c r="D916" t="s">
        <v>160</v>
      </c>
      <c r="E916" t="s">
        <v>1629</v>
      </c>
      <c r="F916" s="1">
        <v>46060</v>
      </c>
      <c r="G916" s="1">
        <v>46063</v>
      </c>
      <c r="H916" t="s">
        <v>882</v>
      </c>
      <c r="I916" t="s">
        <v>5</v>
      </c>
      <c r="J916" t="s">
        <v>6</v>
      </c>
      <c r="K916" t="s">
        <v>4</v>
      </c>
      <c r="L916" t="s">
        <v>1884</v>
      </c>
      <c r="M916" t="s">
        <v>1884</v>
      </c>
      <c r="N916" s="2">
        <v>694583</v>
      </c>
      <c r="O916" t="s">
        <v>1720</v>
      </c>
      <c r="P916" t="s">
        <v>9</v>
      </c>
      <c r="Q916" t="s">
        <v>75</v>
      </c>
      <c r="R916" t="e">
        <f>VLOOKUP(Q916,#REF!,2,FALSE)</f>
        <v>#REF!</v>
      </c>
      <c r="S916">
        <v>1004</v>
      </c>
      <c r="T916" t="s">
        <v>2225</v>
      </c>
      <c r="U916" t="s">
        <v>1721</v>
      </c>
      <c r="V916" s="1">
        <v>46053</v>
      </c>
      <c r="W916" s="1">
        <v>46053</v>
      </c>
      <c r="X916" t="s">
        <v>77</v>
      </c>
      <c r="Y916" t="s">
        <v>646</v>
      </c>
      <c r="Z916" t="s">
        <v>6</v>
      </c>
      <c r="AA916" t="s">
        <v>646</v>
      </c>
      <c r="AB916" s="4">
        <f t="shared" si="76"/>
        <v>6945830</v>
      </c>
      <c r="AC916" s="5" t="s">
        <v>2215</v>
      </c>
      <c r="AD916" s="4">
        <f t="shared" si="77"/>
        <v>578819.16666666663</v>
      </c>
      <c r="AE916" s="4">
        <f t="shared" si="75"/>
        <v>-115763.83333333337</v>
      </c>
    </row>
    <row r="917" spans="1:31" x14ac:dyDescent="0.25">
      <c r="A917" t="s">
        <v>0</v>
      </c>
      <c r="B917" s="3" t="s">
        <v>2219</v>
      </c>
      <c r="C917" t="s">
        <v>1718</v>
      </c>
      <c r="D917" t="s">
        <v>160</v>
      </c>
      <c r="E917" t="s">
        <v>1631</v>
      </c>
      <c r="F917" s="1">
        <v>46060</v>
      </c>
      <c r="G917" s="1">
        <v>46063</v>
      </c>
      <c r="H917" t="s">
        <v>882</v>
      </c>
      <c r="I917" t="s">
        <v>5</v>
      </c>
      <c r="J917" t="s">
        <v>6</v>
      </c>
      <c r="K917" t="s">
        <v>4</v>
      </c>
      <c r="L917" t="s">
        <v>1885</v>
      </c>
      <c r="M917" t="s">
        <v>1885</v>
      </c>
      <c r="N917" s="2">
        <v>47432</v>
      </c>
      <c r="O917" t="s">
        <v>1720</v>
      </c>
      <c r="P917" t="s">
        <v>9</v>
      </c>
      <c r="Q917" t="s">
        <v>75</v>
      </c>
      <c r="R917" t="e">
        <f>VLOOKUP(Q917,#REF!,2,FALSE)</f>
        <v>#REF!</v>
      </c>
      <c r="S917">
        <v>1004</v>
      </c>
      <c r="T917" t="s">
        <v>2225</v>
      </c>
      <c r="U917" t="s">
        <v>1721</v>
      </c>
      <c r="V917" s="1">
        <v>46053</v>
      </c>
      <c r="W917" s="1">
        <v>46053</v>
      </c>
      <c r="X917" t="s">
        <v>77</v>
      </c>
      <c r="Y917" t="s">
        <v>646</v>
      </c>
      <c r="Z917" t="s">
        <v>6</v>
      </c>
      <c r="AA917" t="s">
        <v>646</v>
      </c>
      <c r="AB917" s="4">
        <f t="shared" si="76"/>
        <v>474320</v>
      </c>
      <c r="AC917" s="5" t="s">
        <v>2215</v>
      </c>
      <c r="AD917" s="4">
        <f t="shared" si="77"/>
        <v>39526.666666666664</v>
      </c>
      <c r="AE917" s="4">
        <f t="shared" si="75"/>
        <v>-7905.3333333333358</v>
      </c>
    </row>
    <row r="918" spans="1:31" x14ac:dyDescent="0.25">
      <c r="A918" t="s">
        <v>0</v>
      </c>
      <c r="B918" s="3" t="s">
        <v>2219</v>
      </c>
      <c r="C918" t="s">
        <v>1718</v>
      </c>
      <c r="D918" t="s">
        <v>160</v>
      </c>
      <c r="E918" t="s">
        <v>1633</v>
      </c>
      <c r="F918" s="1">
        <v>46060</v>
      </c>
      <c r="G918" s="1">
        <v>46063</v>
      </c>
      <c r="H918" t="s">
        <v>882</v>
      </c>
      <c r="I918" t="s">
        <v>5</v>
      </c>
      <c r="J918" t="s">
        <v>6</v>
      </c>
      <c r="K918" t="s">
        <v>4</v>
      </c>
      <c r="L918" t="s">
        <v>1886</v>
      </c>
      <c r="M918" t="s">
        <v>1886</v>
      </c>
      <c r="N918" s="2">
        <v>441877</v>
      </c>
      <c r="O918" t="s">
        <v>1720</v>
      </c>
      <c r="P918" t="s">
        <v>9</v>
      </c>
      <c r="Q918" t="s">
        <v>75</v>
      </c>
      <c r="R918" t="e">
        <f>VLOOKUP(Q918,#REF!,2,FALSE)</f>
        <v>#REF!</v>
      </c>
      <c r="S918">
        <v>1004</v>
      </c>
      <c r="T918" t="s">
        <v>2225</v>
      </c>
      <c r="U918" t="s">
        <v>1721</v>
      </c>
      <c r="V918" s="1">
        <v>46053</v>
      </c>
      <c r="W918" s="1">
        <v>46053</v>
      </c>
      <c r="X918" t="s">
        <v>77</v>
      </c>
      <c r="Y918" t="s">
        <v>646</v>
      </c>
      <c r="Z918" t="s">
        <v>6</v>
      </c>
      <c r="AA918" t="s">
        <v>646</v>
      </c>
      <c r="AB918" s="4">
        <f t="shared" si="76"/>
        <v>4418770</v>
      </c>
      <c r="AC918" s="5" t="s">
        <v>2215</v>
      </c>
      <c r="AD918" s="4">
        <f t="shared" si="77"/>
        <v>368230.83333333331</v>
      </c>
      <c r="AE918" s="4">
        <f t="shared" si="75"/>
        <v>-73646.166666666686</v>
      </c>
    </row>
    <row r="919" spans="1:31" x14ac:dyDescent="0.25">
      <c r="A919" t="s">
        <v>0</v>
      </c>
      <c r="B919" s="3" t="s">
        <v>2219</v>
      </c>
      <c r="C919" t="s">
        <v>1718</v>
      </c>
      <c r="D919" t="s">
        <v>160</v>
      </c>
      <c r="E919" t="s">
        <v>1635</v>
      </c>
      <c r="F919" s="1">
        <v>46060</v>
      </c>
      <c r="G919" s="1">
        <v>46063</v>
      </c>
      <c r="H919" t="s">
        <v>882</v>
      </c>
      <c r="I919" t="s">
        <v>5</v>
      </c>
      <c r="J919" t="s">
        <v>6</v>
      </c>
      <c r="K919" t="s">
        <v>4</v>
      </c>
      <c r="L919" t="s">
        <v>1887</v>
      </c>
      <c r="M919" t="s">
        <v>1887</v>
      </c>
      <c r="N919" s="2">
        <v>25874</v>
      </c>
      <c r="O919" t="s">
        <v>1720</v>
      </c>
      <c r="P919" t="s">
        <v>9</v>
      </c>
      <c r="Q919" t="s">
        <v>75</v>
      </c>
      <c r="R919" t="e">
        <f>VLOOKUP(Q919,#REF!,2,FALSE)</f>
        <v>#REF!</v>
      </c>
      <c r="S919">
        <v>1004</v>
      </c>
      <c r="T919" t="s">
        <v>2225</v>
      </c>
      <c r="U919" t="s">
        <v>1721</v>
      </c>
      <c r="V919" s="1">
        <v>46053</v>
      </c>
      <c r="W919" s="1">
        <v>46053</v>
      </c>
      <c r="X919" t="s">
        <v>77</v>
      </c>
      <c r="Y919" t="s">
        <v>646</v>
      </c>
      <c r="Z919" t="s">
        <v>6</v>
      </c>
      <c r="AA919" t="s">
        <v>646</v>
      </c>
      <c r="AB919" s="4">
        <f t="shared" si="76"/>
        <v>258740</v>
      </c>
      <c r="AC919" s="5" t="s">
        <v>2215</v>
      </c>
      <c r="AD919" s="4">
        <f t="shared" si="77"/>
        <v>21561.666666666668</v>
      </c>
      <c r="AE919" s="4">
        <f t="shared" si="75"/>
        <v>-4312.3333333333321</v>
      </c>
    </row>
    <row r="920" spans="1:31" x14ac:dyDescent="0.25">
      <c r="A920" t="s">
        <v>0</v>
      </c>
      <c r="B920" s="3" t="s">
        <v>2219</v>
      </c>
      <c r="C920" t="s">
        <v>1718</v>
      </c>
      <c r="D920" t="s">
        <v>160</v>
      </c>
      <c r="E920" t="s">
        <v>1637</v>
      </c>
      <c r="F920" s="1">
        <v>46060</v>
      </c>
      <c r="G920" s="1">
        <v>46063</v>
      </c>
      <c r="H920" t="s">
        <v>882</v>
      </c>
      <c r="I920" t="s">
        <v>5</v>
      </c>
      <c r="J920" t="s">
        <v>6</v>
      </c>
      <c r="K920" t="s">
        <v>4</v>
      </c>
      <c r="L920" t="s">
        <v>1888</v>
      </c>
      <c r="M920" t="s">
        <v>1888</v>
      </c>
      <c r="N920" s="2">
        <v>418710</v>
      </c>
      <c r="O920" t="s">
        <v>1720</v>
      </c>
      <c r="P920" t="s">
        <v>9</v>
      </c>
      <c r="Q920" t="s">
        <v>75</v>
      </c>
      <c r="R920" t="e">
        <f>VLOOKUP(Q920,#REF!,2,FALSE)</f>
        <v>#REF!</v>
      </c>
      <c r="S920">
        <v>1004</v>
      </c>
      <c r="T920" t="s">
        <v>2225</v>
      </c>
      <c r="U920" t="s">
        <v>1721</v>
      </c>
      <c r="V920" s="1">
        <v>46053</v>
      </c>
      <c r="W920" s="1">
        <v>46053</v>
      </c>
      <c r="X920" t="s">
        <v>77</v>
      </c>
      <c r="Y920" t="s">
        <v>646</v>
      </c>
      <c r="Z920" t="s">
        <v>6</v>
      </c>
      <c r="AA920" t="s">
        <v>646</v>
      </c>
      <c r="AB920" s="4">
        <f t="shared" si="76"/>
        <v>4187100</v>
      </c>
      <c r="AC920" s="5" t="s">
        <v>2215</v>
      </c>
      <c r="AD920" s="4">
        <f t="shared" si="77"/>
        <v>348925</v>
      </c>
      <c r="AE920" s="4">
        <f t="shared" si="75"/>
        <v>-69785</v>
      </c>
    </row>
    <row r="921" spans="1:31" x14ac:dyDescent="0.25">
      <c r="A921" t="s">
        <v>0</v>
      </c>
      <c r="B921" s="3" t="s">
        <v>2219</v>
      </c>
      <c r="C921" t="s">
        <v>1718</v>
      </c>
      <c r="D921" t="s">
        <v>160</v>
      </c>
      <c r="E921" t="s">
        <v>1639</v>
      </c>
      <c r="F921" s="1">
        <v>46060</v>
      </c>
      <c r="G921" s="1">
        <v>46063</v>
      </c>
      <c r="H921" t="s">
        <v>882</v>
      </c>
      <c r="I921" t="s">
        <v>5</v>
      </c>
      <c r="J921" t="s">
        <v>6</v>
      </c>
      <c r="K921" t="s">
        <v>4</v>
      </c>
      <c r="L921" t="s">
        <v>1889</v>
      </c>
      <c r="M921" t="s">
        <v>1889</v>
      </c>
      <c r="N921" s="2">
        <v>1561250</v>
      </c>
      <c r="O921" t="s">
        <v>1720</v>
      </c>
      <c r="P921" t="s">
        <v>9</v>
      </c>
      <c r="Q921" t="s">
        <v>75</v>
      </c>
      <c r="R921" t="e">
        <f>VLOOKUP(Q921,#REF!,2,FALSE)</f>
        <v>#REF!</v>
      </c>
      <c r="S921">
        <v>1004</v>
      </c>
      <c r="T921" t="s">
        <v>2225</v>
      </c>
      <c r="U921" t="s">
        <v>1721</v>
      </c>
      <c r="V921" s="1">
        <v>46053</v>
      </c>
      <c r="W921" s="1">
        <v>46053</v>
      </c>
      <c r="X921" t="s">
        <v>77</v>
      </c>
      <c r="Y921" t="s">
        <v>646</v>
      </c>
      <c r="Z921" t="s">
        <v>6</v>
      </c>
      <c r="AA921" t="s">
        <v>646</v>
      </c>
      <c r="AB921" s="4">
        <f t="shared" si="76"/>
        <v>15612500</v>
      </c>
      <c r="AC921" s="5" t="s">
        <v>2215</v>
      </c>
      <c r="AD921" s="4">
        <f t="shared" si="77"/>
        <v>1301041.6666666667</v>
      </c>
      <c r="AE921" s="4">
        <f t="shared" si="75"/>
        <v>-260208.33333333326</v>
      </c>
    </row>
    <row r="922" spans="1:31" x14ac:dyDescent="0.25">
      <c r="A922" t="s">
        <v>0</v>
      </c>
      <c r="B922" s="3" t="s">
        <v>2219</v>
      </c>
      <c r="C922" t="s">
        <v>1718</v>
      </c>
      <c r="D922" t="s">
        <v>160</v>
      </c>
      <c r="E922" t="s">
        <v>1641</v>
      </c>
      <c r="F922" s="1">
        <v>46060</v>
      </c>
      <c r="G922" s="1">
        <v>46063</v>
      </c>
      <c r="H922" t="s">
        <v>882</v>
      </c>
      <c r="I922" t="s">
        <v>5</v>
      </c>
      <c r="J922" t="s">
        <v>6</v>
      </c>
      <c r="K922" t="s">
        <v>4</v>
      </c>
      <c r="L922" t="s">
        <v>1890</v>
      </c>
      <c r="M922" t="s">
        <v>1890</v>
      </c>
      <c r="N922" s="2">
        <v>190493</v>
      </c>
      <c r="O922" t="s">
        <v>1720</v>
      </c>
      <c r="P922" t="s">
        <v>9</v>
      </c>
      <c r="Q922" t="s">
        <v>75</v>
      </c>
      <c r="R922" t="e">
        <f>VLOOKUP(Q922,#REF!,2,FALSE)</f>
        <v>#REF!</v>
      </c>
      <c r="S922">
        <v>1004</v>
      </c>
      <c r="T922" t="s">
        <v>2225</v>
      </c>
      <c r="U922" t="s">
        <v>1721</v>
      </c>
      <c r="V922" s="1">
        <v>46053</v>
      </c>
      <c r="W922" s="1">
        <v>46053</v>
      </c>
      <c r="X922" t="s">
        <v>77</v>
      </c>
      <c r="Y922" t="s">
        <v>646</v>
      </c>
      <c r="Z922" t="s">
        <v>6</v>
      </c>
      <c r="AA922" t="s">
        <v>646</v>
      </c>
      <c r="AB922" s="4">
        <f t="shared" si="76"/>
        <v>1904930</v>
      </c>
      <c r="AC922" s="5" t="s">
        <v>2215</v>
      </c>
      <c r="AD922" s="4">
        <f t="shared" si="77"/>
        <v>158744.16666666666</v>
      </c>
      <c r="AE922" s="4">
        <f t="shared" si="75"/>
        <v>-31748.833333333343</v>
      </c>
    </row>
    <row r="923" spans="1:31" x14ac:dyDescent="0.25">
      <c r="A923" t="s">
        <v>0</v>
      </c>
      <c r="B923" s="3" t="s">
        <v>2219</v>
      </c>
      <c r="C923" t="s">
        <v>1718</v>
      </c>
      <c r="D923" t="s">
        <v>160</v>
      </c>
      <c r="E923" t="s">
        <v>1643</v>
      </c>
      <c r="F923" s="1">
        <v>46060</v>
      </c>
      <c r="G923" s="1">
        <v>46063</v>
      </c>
      <c r="H923" t="s">
        <v>882</v>
      </c>
      <c r="I923" t="s">
        <v>5</v>
      </c>
      <c r="J923" t="s">
        <v>6</v>
      </c>
      <c r="K923" t="s">
        <v>4</v>
      </c>
      <c r="L923" t="s">
        <v>1891</v>
      </c>
      <c r="M923" t="s">
        <v>1891</v>
      </c>
      <c r="N923" s="2">
        <v>70086</v>
      </c>
      <c r="O923" t="s">
        <v>1720</v>
      </c>
      <c r="P923" t="s">
        <v>9</v>
      </c>
      <c r="Q923" t="s">
        <v>75</v>
      </c>
      <c r="R923" t="e">
        <f>VLOOKUP(Q923,#REF!,2,FALSE)</f>
        <v>#REF!</v>
      </c>
      <c r="S923">
        <v>1004</v>
      </c>
      <c r="T923" t="s">
        <v>2225</v>
      </c>
      <c r="U923" t="s">
        <v>1721</v>
      </c>
      <c r="V923" s="1">
        <v>46053</v>
      </c>
      <c r="W923" s="1">
        <v>46053</v>
      </c>
      <c r="X923" t="s">
        <v>77</v>
      </c>
      <c r="Y923" t="s">
        <v>646</v>
      </c>
      <c r="Z923" t="s">
        <v>6</v>
      </c>
      <c r="AA923" t="s">
        <v>646</v>
      </c>
      <c r="AB923" s="4">
        <f t="shared" si="76"/>
        <v>700860</v>
      </c>
      <c r="AC923" s="5" t="s">
        <v>2215</v>
      </c>
      <c r="AD923" s="4">
        <f t="shared" si="77"/>
        <v>58405</v>
      </c>
      <c r="AE923" s="4">
        <f t="shared" si="75"/>
        <v>-11681</v>
      </c>
    </row>
    <row r="924" spans="1:31" x14ac:dyDescent="0.25">
      <c r="A924" t="s">
        <v>0</v>
      </c>
      <c r="B924" s="3" t="s">
        <v>2219</v>
      </c>
      <c r="C924" t="s">
        <v>1718</v>
      </c>
      <c r="D924" t="s">
        <v>160</v>
      </c>
      <c r="E924" t="s">
        <v>1645</v>
      </c>
      <c r="F924" s="1">
        <v>46060</v>
      </c>
      <c r="G924" s="1">
        <v>46063</v>
      </c>
      <c r="H924" t="s">
        <v>882</v>
      </c>
      <c r="I924" t="s">
        <v>5</v>
      </c>
      <c r="J924" t="s">
        <v>6</v>
      </c>
      <c r="K924" t="s">
        <v>4</v>
      </c>
      <c r="L924" t="s">
        <v>1892</v>
      </c>
      <c r="M924" t="s">
        <v>1892</v>
      </c>
      <c r="N924" s="2">
        <v>224426</v>
      </c>
      <c r="O924" t="s">
        <v>1720</v>
      </c>
      <c r="P924" t="s">
        <v>9</v>
      </c>
      <c r="Q924" t="s">
        <v>75</v>
      </c>
      <c r="R924" t="e">
        <f>VLOOKUP(Q924,#REF!,2,FALSE)</f>
        <v>#REF!</v>
      </c>
      <c r="S924">
        <v>1004</v>
      </c>
      <c r="T924" t="s">
        <v>2225</v>
      </c>
      <c r="U924" t="s">
        <v>1721</v>
      </c>
      <c r="V924" s="1">
        <v>46053</v>
      </c>
      <c r="W924" s="1">
        <v>46053</v>
      </c>
      <c r="X924" t="s">
        <v>77</v>
      </c>
      <c r="Y924" t="s">
        <v>646</v>
      </c>
      <c r="Z924" t="s">
        <v>6</v>
      </c>
      <c r="AA924" t="s">
        <v>646</v>
      </c>
      <c r="AB924" s="4">
        <f t="shared" si="76"/>
        <v>2244260</v>
      </c>
      <c r="AC924" s="5" t="s">
        <v>2215</v>
      </c>
      <c r="AD924" s="4">
        <f t="shared" si="77"/>
        <v>187021.66666666666</v>
      </c>
      <c r="AE924" s="4">
        <f t="shared" si="75"/>
        <v>-37404.333333333343</v>
      </c>
    </row>
    <row r="925" spans="1:31" x14ac:dyDescent="0.25">
      <c r="A925" t="s">
        <v>0</v>
      </c>
      <c r="B925" s="3" t="s">
        <v>2219</v>
      </c>
      <c r="C925" t="s">
        <v>1718</v>
      </c>
      <c r="D925" t="s">
        <v>160</v>
      </c>
      <c r="E925" t="s">
        <v>1647</v>
      </c>
      <c r="F925" s="1">
        <v>46060</v>
      </c>
      <c r="G925" s="1">
        <v>46063</v>
      </c>
      <c r="H925" t="s">
        <v>882</v>
      </c>
      <c r="I925" t="s">
        <v>5</v>
      </c>
      <c r="J925" t="s">
        <v>6</v>
      </c>
      <c r="K925" t="s">
        <v>4</v>
      </c>
      <c r="L925" t="s">
        <v>1893</v>
      </c>
      <c r="M925" t="s">
        <v>1893</v>
      </c>
      <c r="N925" s="2">
        <v>59844</v>
      </c>
      <c r="O925" t="s">
        <v>1720</v>
      </c>
      <c r="P925" t="s">
        <v>9</v>
      </c>
      <c r="Q925" t="s">
        <v>75</v>
      </c>
      <c r="R925" t="e">
        <f>VLOOKUP(Q925,#REF!,2,FALSE)</f>
        <v>#REF!</v>
      </c>
      <c r="S925">
        <v>1004</v>
      </c>
      <c r="T925" t="s">
        <v>2225</v>
      </c>
      <c r="U925" t="s">
        <v>1721</v>
      </c>
      <c r="V925" s="1">
        <v>46053</v>
      </c>
      <c r="W925" s="1">
        <v>46053</v>
      </c>
      <c r="X925" t="s">
        <v>77</v>
      </c>
      <c r="Y925" t="s">
        <v>646</v>
      </c>
      <c r="Z925" t="s">
        <v>6</v>
      </c>
      <c r="AA925" t="s">
        <v>646</v>
      </c>
      <c r="AB925" s="4">
        <f t="shared" si="76"/>
        <v>598440</v>
      </c>
      <c r="AC925" s="5" t="s">
        <v>2215</v>
      </c>
      <c r="AD925" s="4">
        <f t="shared" si="77"/>
        <v>49870</v>
      </c>
      <c r="AE925" s="4">
        <f t="shared" si="75"/>
        <v>-9974</v>
      </c>
    </row>
    <row r="926" spans="1:31" x14ac:dyDescent="0.25">
      <c r="A926" t="s">
        <v>0</v>
      </c>
      <c r="B926" s="3" t="s">
        <v>2219</v>
      </c>
      <c r="C926" t="s">
        <v>1718</v>
      </c>
      <c r="D926" t="s">
        <v>160</v>
      </c>
      <c r="E926" t="s">
        <v>1649</v>
      </c>
      <c r="F926" s="1">
        <v>46060</v>
      </c>
      <c r="G926" s="1">
        <v>46063</v>
      </c>
      <c r="H926" t="s">
        <v>882</v>
      </c>
      <c r="I926" t="s">
        <v>5</v>
      </c>
      <c r="J926" t="s">
        <v>6</v>
      </c>
      <c r="K926" t="s">
        <v>4</v>
      </c>
      <c r="L926" t="s">
        <v>1894</v>
      </c>
      <c r="M926" t="s">
        <v>1894</v>
      </c>
      <c r="N926" s="2">
        <v>71913</v>
      </c>
      <c r="O926" t="s">
        <v>1720</v>
      </c>
      <c r="P926" t="s">
        <v>9</v>
      </c>
      <c r="Q926" t="s">
        <v>75</v>
      </c>
      <c r="R926" t="e">
        <f>VLOOKUP(Q926,#REF!,2,FALSE)</f>
        <v>#REF!</v>
      </c>
      <c r="S926">
        <v>1004</v>
      </c>
      <c r="T926" t="s">
        <v>2225</v>
      </c>
      <c r="U926" t="s">
        <v>1721</v>
      </c>
      <c r="V926" s="1">
        <v>46053</v>
      </c>
      <c r="W926" s="1">
        <v>46053</v>
      </c>
      <c r="X926" t="s">
        <v>77</v>
      </c>
      <c r="Y926" t="s">
        <v>646</v>
      </c>
      <c r="Z926" t="s">
        <v>6</v>
      </c>
      <c r="AA926" t="s">
        <v>646</v>
      </c>
      <c r="AB926" s="4">
        <f t="shared" si="76"/>
        <v>719130</v>
      </c>
      <c r="AC926" s="5" t="s">
        <v>2215</v>
      </c>
      <c r="AD926" s="4">
        <f t="shared" si="77"/>
        <v>59927.5</v>
      </c>
      <c r="AE926" s="4">
        <f t="shared" si="75"/>
        <v>-11985.5</v>
      </c>
    </row>
    <row r="927" spans="1:31" x14ac:dyDescent="0.25">
      <c r="A927" t="s">
        <v>0</v>
      </c>
      <c r="B927" s="3" t="s">
        <v>2219</v>
      </c>
      <c r="C927" t="s">
        <v>1718</v>
      </c>
      <c r="D927" t="s">
        <v>160</v>
      </c>
      <c r="E927" t="s">
        <v>1895</v>
      </c>
      <c r="F927" s="1">
        <v>46060</v>
      </c>
      <c r="G927" s="1">
        <v>46063</v>
      </c>
      <c r="H927" t="s">
        <v>882</v>
      </c>
      <c r="I927" t="s">
        <v>5</v>
      </c>
      <c r="J927" t="s">
        <v>6</v>
      </c>
      <c r="K927" t="s">
        <v>4</v>
      </c>
      <c r="L927" t="s">
        <v>1896</v>
      </c>
      <c r="M927" t="s">
        <v>1896</v>
      </c>
      <c r="N927" s="2">
        <v>101041</v>
      </c>
      <c r="O927" t="s">
        <v>1720</v>
      </c>
      <c r="P927" t="s">
        <v>9</v>
      </c>
      <c r="Q927" t="s">
        <v>75</v>
      </c>
      <c r="R927" t="e">
        <f>VLOOKUP(Q927,#REF!,2,FALSE)</f>
        <v>#REF!</v>
      </c>
      <c r="S927">
        <v>1004</v>
      </c>
      <c r="T927" t="s">
        <v>2225</v>
      </c>
      <c r="U927" t="s">
        <v>1721</v>
      </c>
      <c r="V927" s="1">
        <v>46053</v>
      </c>
      <c r="W927" s="1">
        <v>46053</v>
      </c>
      <c r="X927" t="s">
        <v>77</v>
      </c>
      <c r="Y927" t="s">
        <v>646</v>
      </c>
      <c r="Z927" t="s">
        <v>6</v>
      </c>
      <c r="AA927" t="s">
        <v>646</v>
      </c>
      <c r="AB927" s="4">
        <f t="shared" si="76"/>
        <v>1010410</v>
      </c>
      <c r="AC927" s="5" t="s">
        <v>2215</v>
      </c>
      <c r="AD927" s="4">
        <f t="shared" si="77"/>
        <v>84200.833333333328</v>
      </c>
      <c r="AE927" s="4">
        <f t="shared" si="75"/>
        <v>-16840.166666666672</v>
      </c>
    </row>
    <row r="928" spans="1:31" x14ac:dyDescent="0.25">
      <c r="A928" t="s">
        <v>0</v>
      </c>
      <c r="B928" s="3" t="s">
        <v>2219</v>
      </c>
      <c r="C928" t="s">
        <v>1718</v>
      </c>
      <c r="D928" t="s">
        <v>160</v>
      </c>
      <c r="E928" t="s">
        <v>1897</v>
      </c>
      <c r="F928" s="1">
        <v>46060</v>
      </c>
      <c r="G928" s="1">
        <v>46063</v>
      </c>
      <c r="H928" t="s">
        <v>882</v>
      </c>
      <c r="I928" t="s">
        <v>5</v>
      </c>
      <c r="J928" t="s">
        <v>6</v>
      </c>
      <c r="K928" t="s">
        <v>4</v>
      </c>
      <c r="L928" t="s">
        <v>1898</v>
      </c>
      <c r="M928" t="s">
        <v>1898</v>
      </c>
      <c r="N928" s="2">
        <v>105492</v>
      </c>
      <c r="O928" t="s">
        <v>1720</v>
      </c>
      <c r="P928" t="s">
        <v>9</v>
      </c>
      <c r="Q928" t="s">
        <v>75</v>
      </c>
      <c r="R928" t="e">
        <f>VLOOKUP(Q928,#REF!,2,FALSE)</f>
        <v>#REF!</v>
      </c>
      <c r="S928">
        <v>1004</v>
      </c>
      <c r="T928" t="s">
        <v>2225</v>
      </c>
      <c r="U928" t="s">
        <v>1721</v>
      </c>
      <c r="V928" s="1">
        <v>46053</v>
      </c>
      <c r="W928" s="1">
        <v>46053</v>
      </c>
      <c r="X928" t="s">
        <v>77</v>
      </c>
      <c r="Y928" t="s">
        <v>646</v>
      </c>
      <c r="Z928" t="s">
        <v>6</v>
      </c>
      <c r="AA928" t="s">
        <v>646</v>
      </c>
      <c r="AB928" s="4">
        <f t="shared" si="76"/>
        <v>1054920</v>
      </c>
      <c r="AC928" s="5" t="s">
        <v>2215</v>
      </c>
      <c r="AD928" s="4">
        <f t="shared" si="77"/>
        <v>87910</v>
      </c>
      <c r="AE928" s="4">
        <f t="shared" si="75"/>
        <v>-17582</v>
      </c>
    </row>
    <row r="929" spans="1:31" x14ac:dyDescent="0.25">
      <c r="A929" t="s">
        <v>0</v>
      </c>
      <c r="B929" s="3" t="s">
        <v>2219</v>
      </c>
      <c r="C929" t="s">
        <v>1718</v>
      </c>
      <c r="D929" t="s">
        <v>160</v>
      </c>
      <c r="E929" t="s">
        <v>1899</v>
      </c>
      <c r="F929" s="1">
        <v>46060</v>
      </c>
      <c r="G929" s="1">
        <v>46063</v>
      </c>
      <c r="H929" t="s">
        <v>882</v>
      </c>
      <c r="I929" t="s">
        <v>5</v>
      </c>
      <c r="J929" t="s">
        <v>6</v>
      </c>
      <c r="K929" t="s">
        <v>4</v>
      </c>
      <c r="L929" t="s">
        <v>1900</v>
      </c>
      <c r="M929" t="s">
        <v>1900</v>
      </c>
      <c r="N929" s="2">
        <v>58917</v>
      </c>
      <c r="O929" t="s">
        <v>1720</v>
      </c>
      <c r="P929" t="s">
        <v>9</v>
      </c>
      <c r="Q929" t="s">
        <v>75</v>
      </c>
      <c r="R929" t="e">
        <f>VLOOKUP(Q929,#REF!,2,FALSE)</f>
        <v>#REF!</v>
      </c>
      <c r="S929">
        <v>1004</v>
      </c>
      <c r="T929" t="s">
        <v>2225</v>
      </c>
      <c r="U929" t="s">
        <v>1721</v>
      </c>
      <c r="V929" s="1">
        <v>46053</v>
      </c>
      <c r="W929" s="1">
        <v>46053</v>
      </c>
      <c r="X929" t="s">
        <v>77</v>
      </c>
      <c r="Y929" t="s">
        <v>646</v>
      </c>
      <c r="Z929" t="s">
        <v>6</v>
      </c>
      <c r="AA929" t="s">
        <v>646</v>
      </c>
      <c r="AB929" s="4">
        <f t="shared" si="76"/>
        <v>589170</v>
      </c>
      <c r="AC929" s="5" t="s">
        <v>2215</v>
      </c>
      <c r="AD929" s="4">
        <f t="shared" si="77"/>
        <v>49097.5</v>
      </c>
      <c r="AE929" s="4">
        <f t="shared" si="75"/>
        <v>-9819.5</v>
      </c>
    </row>
    <row r="930" spans="1:31" x14ac:dyDescent="0.25">
      <c r="A930" t="s">
        <v>0</v>
      </c>
      <c r="B930" s="3" t="s">
        <v>2219</v>
      </c>
      <c r="C930" t="s">
        <v>1718</v>
      </c>
      <c r="D930" t="s">
        <v>160</v>
      </c>
      <c r="E930" t="s">
        <v>1901</v>
      </c>
      <c r="F930" s="1">
        <v>46060</v>
      </c>
      <c r="G930" s="1">
        <v>46063</v>
      </c>
      <c r="H930" t="s">
        <v>882</v>
      </c>
      <c r="I930" t="s">
        <v>5</v>
      </c>
      <c r="J930" t="s">
        <v>6</v>
      </c>
      <c r="K930" t="s">
        <v>4</v>
      </c>
      <c r="L930" t="s">
        <v>1902</v>
      </c>
      <c r="M930" t="s">
        <v>1902</v>
      </c>
      <c r="N930" s="2">
        <v>75333</v>
      </c>
      <c r="O930" t="s">
        <v>1720</v>
      </c>
      <c r="P930" t="s">
        <v>9</v>
      </c>
      <c r="Q930" t="s">
        <v>75</v>
      </c>
      <c r="R930" t="e">
        <f>VLOOKUP(Q930,#REF!,2,FALSE)</f>
        <v>#REF!</v>
      </c>
      <c r="S930">
        <v>1004</v>
      </c>
      <c r="T930" t="s">
        <v>2225</v>
      </c>
      <c r="U930" t="s">
        <v>1721</v>
      </c>
      <c r="V930" s="1">
        <v>46053</v>
      </c>
      <c r="W930" s="1">
        <v>46053</v>
      </c>
      <c r="X930" t="s">
        <v>77</v>
      </c>
      <c r="Y930" t="s">
        <v>646</v>
      </c>
      <c r="Z930" t="s">
        <v>6</v>
      </c>
      <c r="AA930" t="s">
        <v>646</v>
      </c>
      <c r="AB930" s="4">
        <f t="shared" si="76"/>
        <v>753330</v>
      </c>
      <c r="AC930" s="5" t="s">
        <v>2215</v>
      </c>
      <c r="AD930" s="4">
        <f t="shared" si="77"/>
        <v>62777.5</v>
      </c>
      <c r="AE930" s="4">
        <f t="shared" si="75"/>
        <v>-12555.5</v>
      </c>
    </row>
    <row r="931" spans="1:31" x14ac:dyDescent="0.25">
      <c r="A931" t="s">
        <v>0</v>
      </c>
      <c r="B931" s="3" t="s">
        <v>2219</v>
      </c>
      <c r="C931" t="s">
        <v>1718</v>
      </c>
      <c r="D931" t="s">
        <v>160</v>
      </c>
      <c r="E931" t="s">
        <v>1903</v>
      </c>
      <c r="F931" s="1">
        <v>46060</v>
      </c>
      <c r="G931" s="1">
        <v>46063</v>
      </c>
      <c r="H931" t="s">
        <v>882</v>
      </c>
      <c r="I931" t="s">
        <v>5</v>
      </c>
      <c r="J931" t="s">
        <v>6</v>
      </c>
      <c r="K931" t="s">
        <v>4</v>
      </c>
      <c r="L931" t="s">
        <v>1904</v>
      </c>
      <c r="M931" t="s">
        <v>1904</v>
      </c>
      <c r="N931" s="2">
        <v>88879</v>
      </c>
      <c r="O931" t="s">
        <v>1720</v>
      </c>
      <c r="P931" t="s">
        <v>9</v>
      </c>
      <c r="Q931" t="s">
        <v>75</v>
      </c>
      <c r="R931" t="e">
        <f>VLOOKUP(Q931,#REF!,2,FALSE)</f>
        <v>#REF!</v>
      </c>
      <c r="S931">
        <v>1004</v>
      </c>
      <c r="T931" t="s">
        <v>2225</v>
      </c>
      <c r="U931" t="s">
        <v>1721</v>
      </c>
      <c r="V931" s="1">
        <v>46053</v>
      </c>
      <c r="W931" s="1">
        <v>46053</v>
      </c>
      <c r="X931" t="s">
        <v>77</v>
      </c>
      <c r="Y931" t="s">
        <v>646</v>
      </c>
      <c r="Z931" t="s">
        <v>6</v>
      </c>
      <c r="AA931" t="s">
        <v>646</v>
      </c>
      <c r="AB931" s="4">
        <f t="shared" si="76"/>
        <v>888790</v>
      </c>
      <c r="AC931" s="5" t="s">
        <v>2215</v>
      </c>
      <c r="AD931" s="4">
        <f t="shared" si="77"/>
        <v>74065.833333333328</v>
      </c>
      <c r="AE931" s="4">
        <f t="shared" si="75"/>
        <v>-14813.166666666672</v>
      </c>
    </row>
    <row r="932" spans="1:31" x14ac:dyDescent="0.25">
      <c r="A932" t="s">
        <v>0</v>
      </c>
      <c r="B932" s="3" t="s">
        <v>2219</v>
      </c>
      <c r="C932" t="s">
        <v>1718</v>
      </c>
      <c r="D932" t="s">
        <v>160</v>
      </c>
      <c r="E932" t="s">
        <v>1905</v>
      </c>
      <c r="F932" s="1">
        <v>46060</v>
      </c>
      <c r="G932" s="1">
        <v>46063</v>
      </c>
      <c r="H932" t="s">
        <v>882</v>
      </c>
      <c r="I932" t="s">
        <v>5</v>
      </c>
      <c r="J932" t="s">
        <v>6</v>
      </c>
      <c r="K932" t="s">
        <v>4</v>
      </c>
      <c r="L932" t="s">
        <v>1906</v>
      </c>
      <c r="M932" t="s">
        <v>1906</v>
      </c>
      <c r="N932" s="2">
        <v>139173</v>
      </c>
      <c r="O932" t="s">
        <v>1720</v>
      </c>
      <c r="P932" t="s">
        <v>9</v>
      </c>
      <c r="Q932" t="s">
        <v>75</v>
      </c>
      <c r="R932" t="e">
        <f>VLOOKUP(Q932,#REF!,2,FALSE)</f>
        <v>#REF!</v>
      </c>
      <c r="S932">
        <v>1004</v>
      </c>
      <c r="T932" t="s">
        <v>2225</v>
      </c>
      <c r="U932" t="s">
        <v>1721</v>
      </c>
      <c r="V932" s="1">
        <v>46053</v>
      </c>
      <c r="W932" s="1">
        <v>46053</v>
      </c>
      <c r="X932" t="s">
        <v>77</v>
      </c>
      <c r="Y932" t="s">
        <v>646</v>
      </c>
      <c r="Z932" t="s">
        <v>6</v>
      </c>
      <c r="AA932" t="s">
        <v>646</v>
      </c>
      <c r="AB932" s="4">
        <f t="shared" si="76"/>
        <v>1391730</v>
      </c>
      <c r="AC932" s="5" t="s">
        <v>2215</v>
      </c>
      <c r="AD932" s="4">
        <f t="shared" si="77"/>
        <v>115977.5</v>
      </c>
      <c r="AE932" s="4">
        <f t="shared" si="75"/>
        <v>-23195.5</v>
      </c>
    </row>
    <row r="933" spans="1:31" x14ac:dyDescent="0.25">
      <c r="A933" t="s">
        <v>0</v>
      </c>
      <c r="B933" s="3" t="s">
        <v>2219</v>
      </c>
      <c r="C933" t="s">
        <v>1718</v>
      </c>
      <c r="D933" t="s">
        <v>160</v>
      </c>
      <c r="E933" t="s">
        <v>1907</v>
      </c>
      <c r="F933" s="1">
        <v>46060</v>
      </c>
      <c r="G933" s="1">
        <v>46063</v>
      </c>
      <c r="H933" t="s">
        <v>882</v>
      </c>
      <c r="I933" t="s">
        <v>5</v>
      </c>
      <c r="J933" t="s">
        <v>6</v>
      </c>
      <c r="K933" t="s">
        <v>4</v>
      </c>
      <c r="L933" t="s">
        <v>1908</v>
      </c>
      <c r="M933" t="s">
        <v>1908</v>
      </c>
      <c r="N933" s="2">
        <v>134311</v>
      </c>
      <c r="O933" t="s">
        <v>1720</v>
      </c>
      <c r="P933" t="s">
        <v>9</v>
      </c>
      <c r="Q933" t="s">
        <v>75</v>
      </c>
      <c r="R933" t="e">
        <f>VLOOKUP(Q933,#REF!,2,FALSE)</f>
        <v>#REF!</v>
      </c>
      <c r="S933">
        <v>1004</v>
      </c>
      <c r="T933" t="s">
        <v>2225</v>
      </c>
      <c r="U933" t="s">
        <v>1721</v>
      </c>
      <c r="V933" s="1">
        <v>46053</v>
      </c>
      <c r="W933" s="1">
        <v>46053</v>
      </c>
      <c r="X933" t="s">
        <v>77</v>
      </c>
      <c r="Y933" t="s">
        <v>646</v>
      </c>
      <c r="Z933" t="s">
        <v>6</v>
      </c>
      <c r="AA933" t="s">
        <v>646</v>
      </c>
      <c r="AB933" s="4">
        <f t="shared" si="76"/>
        <v>1343110</v>
      </c>
      <c r="AC933" s="5" t="s">
        <v>2215</v>
      </c>
      <c r="AD933" s="4">
        <f t="shared" si="77"/>
        <v>111925.83333333333</v>
      </c>
      <c r="AE933" s="4">
        <f t="shared" si="75"/>
        <v>-22385.166666666672</v>
      </c>
    </row>
    <row r="934" spans="1:31" x14ac:dyDescent="0.25">
      <c r="A934" t="s">
        <v>0</v>
      </c>
      <c r="B934" s="3" t="s">
        <v>2219</v>
      </c>
      <c r="C934" t="s">
        <v>1718</v>
      </c>
      <c r="D934" t="s">
        <v>160</v>
      </c>
      <c r="E934" t="s">
        <v>1909</v>
      </c>
      <c r="F934" s="1">
        <v>46060</v>
      </c>
      <c r="G934" s="1">
        <v>46063</v>
      </c>
      <c r="H934" t="s">
        <v>882</v>
      </c>
      <c r="I934" t="s">
        <v>5</v>
      </c>
      <c r="J934" t="s">
        <v>6</v>
      </c>
      <c r="K934" t="s">
        <v>4</v>
      </c>
      <c r="L934" t="s">
        <v>1910</v>
      </c>
      <c r="M934" t="s">
        <v>1910</v>
      </c>
      <c r="N934" s="2">
        <v>129671</v>
      </c>
      <c r="O934" t="s">
        <v>1720</v>
      </c>
      <c r="P934" t="s">
        <v>9</v>
      </c>
      <c r="Q934" t="s">
        <v>75</v>
      </c>
      <c r="R934" t="e">
        <f>VLOOKUP(Q934,#REF!,2,FALSE)</f>
        <v>#REF!</v>
      </c>
      <c r="S934">
        <v>1004</v>
      </c>
      <c r="T934" t="s">
        <v>2225</v>
      </c>
      <c r="U934" t="s">
        <v>1721</v>
      </c>
      <c r="V934" s="1">
        <v>46053</v>
      </c>
      <c r="W934" s="1">
        <v>46053</v>
      </c>
      <c r="X934" t="s">
        <v>77</v>
      </c>
      <c r="Y934" t="s">
        <v>646</v>
      </c>
      <c r="Z934" t="s">
        <v>6</v>
      </c>
      <c r="AA934" t="s">
        <v>646</v>
      </c>
      <c r="AB934" s="4">
        <f t="shared" si="76"/>
        <v>1296710</v>
      </c>
      <c r="AC934" s="5" t="s">
        <v>2215</v>
      </c>
      <c r="AD934" s="4">
        <f t="shared" si="77"/>
        <v>108059.16666666667</v>
      </c>
      <c r="AE934" s="4">
        <f t="shared" si="75"/>
        <v>-21611.833333333328</v>
      </c>
    </row>
    <row r="935" spans="1:31" x14ac:dyDescent="0.25">
      <c r="A935" t="s">
        <v>0</v>
      </c>
      <c r="B935" s="3" t="s">
        <v>2219</v>
      </c>
      <c r="C935" t="s">
        <v>1718</v>
      </c>
      <c r="D935" t="s">
        <v>160</v>
      </c>
      <c r="E935" t="s">
        <v>1911</v>
      </c>
      <c r="F935" s="1">
        <v>46060</v>
      </c>
      <c r="G935" s="1">
        <v>46063</v>
      </c>
      <c r="H935" t="s">
        <v>882</v>
      </c>
      <c r="I935" t="s">
        <v>5</v>
      </c>
      <c r="J935" t="s">
        <v>6</v>
      </c>
      <c r="K935" t="s">
        <v>4</v>
      </c>
      <c r="L935" t="s">
        <v>1912</v>
      </c>
      <c r="M935" t="s">
        <v>1912</v>
      </c>
      <c r="N935" s="2">
        <v>66231</v>
      </c>
      <c r="O935" t="s">
        <v>1720</v>
      </c>
      <c r="P935" t="s">
        <v>9</v>
      </c>
      <c r="Q935" t="s">
        <v>75</v>
      </c>
      <c r="R935" t="e">
        <f>VLOOKUP(Q935,#REF!,2,FALSE)</f>
        <v>#REF!</v>
      </c>
      <c r="S935">
        <v>1004</v>
      </c>
      <c r="T935" t="s">
        <v>2225</v>
      </c>
      <c r="U935" t="s">
        <v>1721</v>
      </c>
      <c r="V935" s="1">
        <v>46053</v>
      </c>
      <c r="W935" s="1">
        <v>46053</v>
      </c>
      <c r="X935" t="s">
        <v>77</v>
      </c>
      <c r="Y935" t="s">
        <v>646</v>
      </c>
      <c r="Z935" t="s">
        <v>6</v>
      </c>
      <c r="AA935" t="s">
        <v>646</v>
      </c>
      <c r="AB935" s="4">
        <f t="shared" si="76"/>
        <v>662310</v>
      </c>
      <c r="AC935" s="5" t="s">
        <v>2215</v>
      </c>
      <c r="AD935" s="4">
        <f t="shared" si="77"/>
        <v>55192.5</v>
      </c>
      <c r="AE935" s="4">
        <f t="shared" si="75"/>
        <v>-11038.5</v>
      </c>
    </row>
    <row r="936" spans="1:31" x14ac:dyDescent="0.25">
      <c r="A936" t="s">
        <v>0</v>
      </c>
      <c r="B936" s="3" t="s">
        <v>2219</v>
      </c>
      <c r="C936" t="s">
        <v>1718</v>
      </c>
      <c r="D936" t="s">
        <v>160</v>
      </c>
      <c r="E936" t="s">
        <v>1913</v>
      </c>
      <c r="F936" s="1">
        <v>46060</v>
      </c>
      <c r="G936" s="1">
        <v>46063</v>
      </c>
      <c r="H936" t="s">
        <v>882</v>
      </c>
      <c r="I936" t="s">
        <v>5</v>
      </c>
      <c r="J936" t="s">
        <v>6</v>
      </c>
      <c r="K936" t="s">
        <v>4</v>
      </c>
      <c r="L936" t="s">
        <v>1914</v>
      </c>
      <c r="M936" t="s">
        <v>1914</v>
      </c>
      <c r="N936" s="2">
        <v>142600</v>
      </c>
      <c r="O936" t="s">
        <v>1720</v>
      </c>
      <c r="P936" t="s">
        <v>9</v>
      </c>
      <c r="Q936" t="s">
        <v>75</v>
      </c>
      <c r="R936" t="e">
        <f>VLOOKUP(Q936,#REF!,2,FALSE)</f>
        <v>#REF!</v>
      </c>
      <c r="S936">
        <v>1004</v>
      </c>
      <c r="T936" t="s">
        <v>2225</v>
      </c>
      <c r="U936" t="s">
        <v>1721</v>
      </c>
      <c r="V936" s="1">
        <v>46053</v>
      </c>
      <c r="W936" s="1">
        <v>46053</v>
      </c>
      <c r="X936" t="s">
        <v>77</v>
      </c>
      <c r="Y936" t="s">
        <v>646</v>
      </c>
      <c r="Z936" t="s">
        <v>6</v>
      </c>
      <c r="AA936" t="s">
        <v>646</v>
      </c>
      <c r="AB936" s="4">
        <f t="shared" si="76"/>
        <v>1426000</v>
      </c>
      <c r="AC936" s="5" t="s">
        <v>2215</v>
      </c>
      <c r="AD936" s="4">
        <f t="shared" si="77"/>
        <v>118833.33333333333</v>
      </c>
      <c r="AE936" s="4">
        <f t="shared" si="75"/>
        <v>-23766.666666666672</v>
      </c>
    </row>
    <row r="937" spans="1:31" x14ac:dyDescent="0.25">
      <c r="A937" t="s">
        <v>0</v>
      </c>
      <c r="B937" s="3" t="s">
        <v>2219</v>
      </c>
      <c r="C937" t="s">
        <v>1718</v>
      </c>
      <c r="D937" t="s">
        <v>160</v>
      </c>
      <c r="E937" t="s">
        <v>1915</v>
      </c>
      <c r="F937" s="1">
        <v>46060</v>
      </c>
      <c r="G937" s="1">
        <v>46063</v>
      </c>
      <c r="H937" t="s">
        <v>882</v>
      </c>
      <c r="I937" t="s">
        <v>5</v>
      </c>
      <c r="J937" t="s">
        <v>6</v>
      </c>
      <c r="K937" t="s">
        <v>4</v>
      </c>
      <c r="L937" t="s">
        <v>1916</v>
      </c>
      <c r="M937" t="s">
        <v>1916</v>
      </c>
      <c r="N937" s="2">
        <v>27227</v>
      </c>
      <c r="O937" t="s">
        <v>1720</v>
      </c>
      <c r="P937" t="s">
        <v>9</v>
      </c>
      <c r="Q937" t="s">
        <v>75</v>
      </c>
      <c r="R937" t="e">
        <f>VLOOKUP(Q937,#REF!,2,FALSE)</f>
        <v>#REF!</v>
      </c>
      <c r="S937">
        <v>1004</v>
      </c>
      <c r="T937" t="s">
        <v>2225</v>
      </c>
      <c r="U937" t="s">
        <v>1721</v>
      </c>
      <c r="V937" s="1">
        <v>46053</v>
      </c>
      <c r="W937" s="1">
        <v>46053</v>
      </c>
      <c r="X937" t="s">
        <v>77</v>
      </c>
      <c r="Y937" t="s">
        <v>646</v>
      </c>
      <c r="Z937" t="s">
        <v>6</v>
      </c>
      <c r="AA937" t="s">
        <v>646</v>
      </c>
      <c r="AB937" s="4">
        <f t="shared" si="76"/>
        <v>272270</v>
      </c>
      <c r="AC937" s="5" t="s">
        <v>2215</v>
      </c>
      <c r="AD937" s="4">
        <f t="shared" si="77"/>
        <v>22689.166666666668</v>
      </c>
      <c r="AE937" s="4">
        <f t="shared" si="75"/>
        <v>-4537.8333333333321</v>
      </c>
    </row>
    <row r="938" spans="1:31" x14ac:dyDescent="0.25">
      <c r="A938" t="s">
        <v>0</v>
      </c>
      <c r="B938" s="3" t="s">
        <v>2219</v>
      </c>
      <c r="C938" t="s">
        <v>1718</v>
      </c>
      <c r="D938" t="s">
        <v>160</v>
      </c>
      <c r="E938" t="s">
        <v>1917</v>
      </c>
      <c r="F938" s="1">
        <v>46060</v>
      </c>
      <c r="G938" s="1">
        <v>46063</v>
      </c>
      <c r="H938" t="s">
        <v>882</v>
      </c>
      <c r="I938" t="s">
        <v>5</v>
      </c>
      <c r="J938" t="s">
        <v>6</v>
      </c>
      <c r="K938" t="s">
        <v>4</v>
      </c>
      <c r="L938" t="s">
        <v>1918</v>
      </c>
      <c r="M938" t="s">
        <v>1918</v>
      </c>
      <c r="N938" s="2">
        <v>100733</v>
      </c>
      <c r="O938" t="s">
        <v>1720</v>
      </c>
      <c r="P938" t="s">
        <v>9</v>
      </c>
      <c r="Q938" t="s">
        <v>75</v>
      </c>
      <c r="R938" t="e">
        <f>VLOOKUP(Q938,#REF!,2,FALSE)</f>
        <v>#REF!</v>
      </c>
      <c r="S938">
        <v>1004</v>
      </c>
      <c r="T938" t="s">
        <v>2225</v>
      </c>
      <c r="U938" t="s">
        <v>1721</v>
      </c>
      <c r="V938" s="1">
        <v>46053</v>
      </c>
      <c r="W938" s="1">
        <v>46053</v>
      </c>
      <c r="X938" t="s">
        <v>77</v>
      </c>
      <c r="Y938" t="s">
        <v>646</v>
      </c>
      <c r="Z938" t="s">
        <v>6</v>
      </c>
      <c r="AA938" t="s">
        <v>646</v>
      </c>
      <c r="AB938" s="4">
        <f t="shared" si="76"/>
        <v>1007330</v>
      </c>
      <c r="AC938" s="5" t="s">
        <v>2215</v>
      </c>
      <c r="AD938" s="4">
        <f t="shared" si="77"/>
        <v>83944.166666666672</v>
      </c>
      <c r="AE938" s="4">
        <f t="shared" si="75"/>
        <v>-16788.833333333328</v>
      </c>
    </row>
    <row r="939" spans="1:31" x14ac:dyDescent="0.25">
      <c r="A939" t="s">
        <v>0</v>
      </c>
      <c r="B939" s="3" t="s">
        <v>2219</v>
      </c>
      <c r="C939" t="s">
        <v>1718</v>
      </c>
      <c r="D939" t="s">
        <v>160</v>
      </c>
      <c r="E939" t="s">
        <v>1919</v>
      </c>
      <c r="F939" s="1">
        <v>46060</v>
      </c>
      <c r="G939" s="1">
        <v>46063</v>
      </c>
      <c r="H939" t="s">
        <v>882</v>
      </c>
      <c r="I939" t="s">
        <v>5</v>
      </c>
      <c r="J939" t="s">
        <v>6</v>
      </c>
      <c r="K939" t="s">
        <v>4</v>
      </c>
      <c r="L939" t="s">
        <v>1920</v>
      </c>
      <c r="M939" t="s">
        <v>1920</v>
      </c>
      <c r="N939" s="2">
        <v>18101</v>
      </c>
      <c r="O939" t="s">
        <v>1720</v>
      </c>
      <c r="P939" t="s">
        <v>9</v>
      </c>
      <c r="Q939" t="s">
        <v>75</v>
      </c>
      <c r="R939" t="e">
        <f>VLOOKUP(Q939,#REF!,2,FALSE)</f>
        <v>#REF!</v>
      </c>
      <c r="S939">
        <v>1004</v>
      </c>
      <c r="T939" t="s">
        <v>2225</v>
      </c>
      <c r="U939" t="s">
        <v>1721</v>
      </c>
      <c r="V939" s="1">
        <v>46053</v>
      </c>
      <c r="W939" s="1">
        <v>46053</v>
      </c>
      <c r="X939" t="s">
        <v>77</v>
      </c>
      <c r="Y939" t="s">
        <v>646</v>
      </c>
      <c r="Z939" t="s">
        <v>6</v>
      </c>
      <c r="AA939" t="s">
        <v>646</v>
      </c>
      <c r="AB939" s="4">
        <f t="shared" si="76"/>
        <v>181010</v>
      </c>
      <c r="AC939" s="5" t="s">
        <v>2215</v>
      </c>
      <c r="AD939" s="4">
        <f t="shared" si="77"/>
        <v>15084.166666666666</v>
      </c>
      <c r="AE939" s="4">
        <f t="shared" si="75"/>
        <v>-3016.8333333333339</v>
      </c>
    </row>
    <row r="940" spans="1:31" x14ac:dyDescent="0.25">
      <c r="A940" t="s">
        <v>0</v>
      </c>
      <c r="B940" s="3" t="s">
        <v>2219</v>
      </c>
      <c r="C940" t="s">
        <v>1718</v>
      </c>
      <c r="D940" t="s">
        <v>160</v>
      </c>
      <c r="E940" t="s">
        <v>1921</v>
      </c>
      <c r="F940" s="1">
        <v>46060</v>
      </c>
      <c r="G940" s="1">
        <v>46063</v>
      </c>
      <c r="H940" t="s">
        <v>882</v>
      </c>
      <c r="I940" t="s">
        <v>5</v>
      </c>
      <c r="J940" t="s">
        <v>6</v>
      </c>
      <c r="K940" t="s">
        <v>4</v>
      </c>
      <c r="L940" t="s">
        <v>1922</v>
      </c>
      <c r="M940" t="s">
        <v>1922</v>
      </c>
      <c r="N940" s="2">
        <v>43512</v>
      </c>
      <c r="O940" t="s">
        <v>1720</v>
      </c>
      <c r="P940" t="s">
        <v>9</v>
      </c>
      <c r="Q940" t="s">
        <v>75</v>
      </c>
      <c r="R940" t="e">
        <f>VLOOKUP(Q940,#REF!,2,FALSE)</f>
        <v>#REF!</v>
      </c>
      <c r="S940">
        <v>1004</v>
      </c>
      <c r="T940" t="s">
        <v>2225</v>
      </c>
      <c r="U940" t="s">
        <v>1721</v>
      </c>
      <c r="V940" s="1">
        <v>46053</v>
      </c>
      <c r="W940" s="1">
        <v>46053</v>
      </c>
      <c r="X940" t="s">
        <v>77</v>
      </c>
      <c r="Y940" t="s">
        <v>646</v>
      </c>
      <c r="Z940" t="s">
        <v>6</v>
      </c>
      <c r="AA940" t="s">
        <v>646</v>
      </c>
      <c r="AB940" s="4">
        <f t="shared" si="76"/>
        <v>435120</v>
      </c>
      <c r="AC940" s="5" t="s">
        <v>2215</v>
      </c>
      <c r="AD940" s="4">
        <f t="shared" si="77"/>
        <v>36260</v>
      </c>
      <c r="AE940" s="4">
        <f t="shared" si="75"/>
        <v>-7252</v>
      </c>
    </row>
    <row r="941" spans="1:31" x14ac:dyDescent="0.25">
      <c r="A941" t="s">
        <v>0</v>
      </c>
      <c r="B941" s="3" t="s">
        <v>2219</v>
      </c>
      <c r="C941" t="s">
        <v>1718</v>
      </c>
      <c r="D941" t="s">
        <v>160</v>
      </c>
      <c r="E941" t="s">
        <v>1923</v>
      </c>
      <c r="F941" s="1">
        <v>46060</v>
      </c>
      <c r="G941" s="1">
        <v>46063</v>
      </c>
      <c r="H941" t="s">
        <v>882</v>
      </c>
      <c r="I941" t="s">
        <v>5</v>
      </c>
      <c r="J941" t="s">
        <v>6</v>
      </c>
      <c r="K941" t="s">
        <v>4</v>
      </c>
      <c r="L941" t="s">
        <v>1924</v>
      </c>
      <c r="M941" t="s">
        <v>1924</v>
      </c>
      <c r="N941" s="2">
        <v>377520</v>
      </c>
      <c r="O941" t="s">
        <v>1720</v>
      </c>
      <c r="P941" t="s">
        <v>9</v>
      </c>
      <c r="Q941" t="s">
        <v>75</v>
      </c>
      <c r="R941" t="e">
        <f>VLOOKUP(Q941,#REF!,2,FALSE)</f>
        <v>#REF!</v>
      </c>
      <c r="S941">
        <v>1004</v>
      </c>
      <c r="T941" t="s">
        <v>2225</v>
      </c>
      <c r="U941" t="s">
        <v>1721</v>
      </c>
      <c r="V941" s="1">
        <v>46053</v>
      </c>
      <c r="W941" s="1">
        <v>46053</v>
      </c>
      <c r="X941" t="s">
        <v>77</v>
      </c>
      <c r="Y941" t="s">
        <v>646</v>
      </c>
      <c r="Z941" t="s">
        <v>6</v>
      </c>
      <c r="AA941" t="s">
        <v>646</v>
      </c>
      <c r="AB941" s="4">
        <f t="shared" si="76"/>
        <v>3775200</v>
      </c>
      <c r="AC941" s="5" t="s">
        <v>2215</v>
      </c>
      <c r="AD941" s="4">
        <f t="shared" si="77"/>
        <v>314600</v>
      </c>
      <c r="AE941" s="4">
        <f t="shared" si="75"/>
        <v>-62920</v>
      </c>
    </row>
    <row r="942" spans="1:31" x14ac:dyDescent="0.25">
      <c r="A942" t="s">
        <v>0</v>
      </c>
      <c r="B942" s="3" t="s">
        <v>2219</v>
      </c>
      <c r="C942" t="s">
        <v>1718</v>
      </c>
      <c r="D942" t="s">
        <v>160</v>
      </c>
      <c r="E942" t="s">
        <v>1925</v>
      </c>
      <c r="F942" s="1">
        <v>46060</v>
      </c>
      <c r="G942" s="1">
        <v>46063</v>
      </c>
      <c r="H942" t="s">
        <v>882</v>
      </c>
      <c r="I942" t="s">
        <v>5</v>
      </c>
      <c r="J942" t="s">
        <v>6</v>
      </c>
      <c r="K942" t="s">
        <v>4</v>
      </c>
      <c r="L942" t="s">
        <v>1926</v>
      </c>
      <c r="M942" t="s">
        <v>1926</v>
      </c>
      <c r="N942" s="2">
        <v>887221</v>
      </c>
      <c r="O942" t="s">
        <v>1720</v>
      </c>
      <c r="P942" t="s">
        <v>9</v>
      </c>
      <c r="Q942" t="s">
        <v>75</v>
      </c>
      <c r="R942" t="e">
        <f>VLOOKUP(Q942,#REF!,2,FALSE)</f>
        <v>#REF!</v>
      </c>
      <c r="S942">
        <v>1004</v>
      </c>
      <c r="T942" t="s">
        <v>2225</v>
      </c>
      <c r="U942" t="s">
        <v>1721</v>
      </c>
      <c r="V942" s="1">
        <v>46053</v>
      </c>
      <c r="W942" s="1">
        <v>46053</v>
      </c>
      <c r="X942" t="s">
        <v>77</v>
      </c>
      <c r="Y942" t="s">
        <v>646</v>
      </c>
      <c r="Z942" t="s">
        <v>6</v>
      </c>
      <c r="AA942" t="s">
        <v>646</v>
      </c>
      <c r="AB942" s="4">
        <f t="shared" si="76"/>
        <v>8872210</v>
      </c>
      <c r="AC942" s="5" t="s">
        <v>2215</v>
      </c>
      <c r="AD942" s="4">
        <f t="shared" si="77"/>
        <v>739350.83333333337</v>
      </c>
      <c r="AE942" s="4">
        <f t="shared" si="75"/>
        <v>-147870.16666666663</v>
      </c>
    </row>
    <row r="943" spans="1:31" x14ac:dyDescent="0.25">
      <c r="A943" t="s">
        <v>0</v>
      </c>
      <c r="B943" s="3" t="s">
        <v>2219</v>
      </c>
      <c r="C943" t="s">
        <v>1718</v>
      </c>
      <c r="D943" t="s">
        <v>160</v>
      </c>
      <c r="E943" t="s">
        <v>1927</v>
      </c>
      <c r="F943" s="1">
        <v>46060</v>
      </c>
      <c r="G943" s="1">
        <v>46063</v>
      </c>
      <c r="H943" t="s">
        <v>882</v>
      </c>
      <c r="I943" t="s">
        <v>5</v>
      </c>
      <c r="J943" t="s">
        <v>6</v>
      </c>
      <c r="K943" t="s">
        <v>4</v>
      </c>
      <c r="L943" t="s">
        <v>1928</v>
      </c>
      <c r="M943" t="s">
        <v>1928</v>
      </c>
      <c r="N943" s="2">
        <v>138038</v>
      </c>
      <c r="O943" t="s">
        <v>1720</v>
      </c>
      <c r="P943" t="s">
        <v>9</v>
      </c>
      <c r="Q943" t="s">
        <v>75</v>
      </c>
      <c r="R943" t="e">
        <f>VLOOKUP(Q943,#REF!,2,FALSE)</f>
        <v>#REF!</v>
      </c>
      <c r="S943">
        <v>1004</v>
      </c>
      <c r="T943" t="s">
        <v>2225</v>
      </c>
      <c r="U943" t="s">
        <v>1721</v>
      </c>
      <c r="V943" s="1">
        <v>46053</v>
      </c>
      <c r="W943" s="1">
        <v>46053</v>
      </c>
      <c r="X943" t="s">
        <v>77</v>
      </c>
      <c r="Y943" t="s">
        <v>646</v>
      </c>
      <c r="Z943" t="s">
        <v>6</v>
      </c>
      <c r="AA943" t="s">
        <v>646</v>
      </c>
      <c r="AB943" s="4">
        <f t="shared" si="76"/>
        <v>1380380</v>
      </c>
      <c r="AC943" s="5" t="s">
        <v>2215</v>
      </c>
      <c r="AD943" s="4">
        <f t="shared" si="77"/>
        <v>115031.66666666667</v>
      </c>
      <c r="AE943" s="4">
        <f t="shared" si="75"/>
        <v>-23006.333333333328</v>
      </c>
    </row>
    <row r="944" spans="1:31" x14ac:dyDescent="0.25">
      <c r="A944" t="s">
        <v>0</v>
      </c>
      <c r="B944" s="3" t="s">
        <v>2219</v>
      </c>
      <c r="C944" t="s">
        <v>1718</v>
      </c>
      <c r="D944" t="s">
        <v>160</v>
      </c>
      <c r="E944" t="s">
        <v>1929</v>
      </c>
      <c r="F944" s="1">
        <v>46060</v>
      </c>
      <c r="G944" s="1">
        <v>46063</v>
      </c>
      <c r="H944" t="s">
        <v>882</v>
      </c>
      <c r="I944" t="s">
        <v>5</v>
      </c>
      <c r="J944" t="s">
        <v>6</v>
      </c>
      <c r="K944" t="s">
        <v>4</v>
      </c>
      <c r="L944" t="s">
        <v>1930</v>
      </c>
      <c r="M944" t="s">
        <v>1930</v>
      </c>
      <c r="N944" s="2">
        <v>1237574</v>
      </c>
      <c r="O944" t="s">
        <v>1720</v>
      </c>
      <c r="P944" t="s">
        <v>9</v>
      </c>
      <c r="Q944" t="s">
        <v>75</v>
      </c>
      <c r="R944" t="e">
        <f>VLOOKUP(Q944,#REF!,2,FALSE)</f>
        <v>#REF!</v>
      </c>
      <c r="S944">
        <v>1004</v>
      </c>
      <c r="T944" t="s">
        <v>2225</v>
      </c>
      <c r="U944" t="s">
        <v>1721</v>
      </c>
      <c r="V944" s="1">
        <v>46053</v>
      </c>
      <c r="W944" s="1">
        <v>46053</v>
      </c>
      <c r="X944" t="s">
        <v>77</v>
      </c>
      <c r="Y944" t="s">
        <v>646</v>
      </c>
      <c r="Z944" t="s">
        <v>6</v>
      </c>
      <c r="AA944" t="s">
        <v>646</v>
      </c>
      <c r="AB944" s="4">
        <f t="shared" si="76"/>
        <v>12375740</v>
      </c>
      <c r="AC944" s="5" t="s">
        <v>2215</v>
      </c>
      <c r="AD944" s="4">
        <f t="shared" si="77"/>
        <v>1031311.6666666666</v>
      </c>
      <c r="AE944" s="4">
        <f t="shared" si="75"/>
        <v>-206262.33333333337</v>
      </c>
    </row>
    <row r="945" spans="1:31" x14ac:dyDescent="0.25">
      <c r="A945" t="s">
        <v>0</v>
      </c>
      <c r="B945" s="3" t="s">
        <v>2219</v>
      </c>
      <c r="C945" t="s">
        <v>1718</v>
      </c>
      <c r="D945" t="s">
        <v>160</v>
      </c>
      <c r="E945" t="s">
        <v>1931</v>
      </c>
      <c r="F945" s="1">
        <v>46060</v>
      </c>
      <c r="G945" s="1">
        <v>46063</v>
      </c>
      <c r="H945" t="s">
        <v>882</v>
      </c>
      <c r="I945" t="s">
        <v>5</v>
      </c>
      <c r="J945" t="s">
        <v>6</v>
      </c>
      <c r="K945" t="s">
        <v>4</v>
      </c>
      <c r="L945" t="s">
        <v>1932</v>
      </c>
      <c r="M945" t="s">
        <v>1932</v>
      </c>
      <c r="N945" s="2">
        <v>299115</v>
      </c>
      <c r="O945" t="s">
        <v>1720</v>
      </c>
      <c r="P945" t="s">
        <v>9</v>
      </c>
      <c r="Q945" t="s">
        <v>75</v>
      </c>
      <c r="R945" t="e">
        <f>VLOOKUP(Q945,#REF!,2,FALSE)</f>
        <v>#REF!</v>
      </c>
      <c r="S945">
        <v>1004</v>
      </c>
      <c r="T945" t="s">
        <v>2225</v>
      </c>
      <c r="U945" t="s">
        <v>1721</v>
      </c>
      <c r="V945" s="1">
        <v>46053</v>
      </c>
      <c r="W945" s="1">
        <v>46053</v>
      </c>
      <c r="X945" t="s">
        <v>77</v>
      </c>
      <c r="Y945" t="s">
        <v>646</v>
      </c>
      <c r="Z945" t="s">
        <v>6</v>
      </c>
      <c r="AA945" t="s">
        <v>646</v>
      </c>
      <c r="AB945" s="4">
        <f t="shared" si="76"/>
        <v>2991150</v>
      </c>
      <c r="AC945" s="5" t="s">
        <v>2215</v>
      </c>
      <c r="AD945" s="4">
        <f t="shared" si="77"/>
        <v>249262.5</v>
      </c>
      <c r="AE945" s="4">
        <f t="shared" si="75"/>
        <v>-49852.5</v>
      </c>
    </row>
    <row r="946" spans="1:31" x14ac:dyDescent="0.25">
      <c r="A946" t="s">
        <v>0</v>
      </c>
      <c r="B946" s="3" t="s">
        <v>2219</v>
      </c>
      <c r="C946" t="s">
        <v>1718</v>
      </c>
      <c r="D946" t="s">
        <v>160</v>
      </c>
      <c r="E946" t="s">
        <v>1933</v>
      </c>
      <c r="F946" s="1">
        <v>46060</v>
      </c>
      <c r="G946" s="1">
        <v>46063</v>
      </c>
      <c r="H946" t="s">
        <v>882</v>
      </c>
      <c r="I946" t="s">
        <v>5</v>
      </c>
      <c r="J946" t="s">
        <v>6</v>
      </c>
      <c r="K946" t="s">
        <v>4</v>
      </c>
      <c r="L946" t="s">
        <v>1934</v>
      </c>
      <c r="M946" t="s">
        <v>1934</v>
      </c>
      <c r="N946" s="2">
        <v>1290444</v>
      </c>
      <c r="O946" t="s">
        <v>1720</v>
      </c>
      <c r="P946" t="s">
        <v>9</v>
      </c>
      <c r="Q946" t="s">
        <v>75</v>
      </c>
      <c r="R946" t="e">
        <f>VLOOKUP(Q946,#REF!,2,FALSE)</f>
        <v>#REF!</v>
      </c>
      <c r="S946">
        <v>1004</v>
      </c>
      <c r="T946" t="s">
        <v>2225</v>
      </c>
      <c r="U946" t="s">
        <v>1721</v>
      </c>
      <c r="V946" s="1">
        <v>46053</v>
      </c>
      <c r="W946" s="1">
        <v>46053</v>
      </c>
      <c r="X946" t="s">
        <v>77</v>
      </c>
      <c r="Y946" t="s">
        <v>646</v>
      </c>
      <c r="Z946" t="s">
        <v>6</v>
      </c>
      <c r="AA946" t="s">
        <v>646</v>
      </c>
      <c r="AB946" s="4">
        <f t="shared" ref="AB946:AB980" si="78">L946/0.1</f>
        <v>12904440</v>
      </c>
      <c r="AC946" s="5" t="s">
        <v>2215</v>
      </c>
      <c r="AD946" s="4">
        <f t="shared" si="77"/>
        <v>1075370</v>
      </c>
      <c r="AE946" s="4">
        <f t="shared" si="75"/>
        <v>-215074</v>
      </c>
    </row>
    <row r="947" spans="1:31" x14ac:dyDescent="0.25">
      <c r="A947" t="s">
        <v>0</v>
      </c>
      <c r="B947" s="3" t="s">
        <v>2219</v>
      </c>
      <c r="C947" t="s">
        <v>1718</v>
      </c>
      <c r="D947" t="s">
        <v>160</v>
      </c>
      <c r="E947" t="s">
        <v>1935</v>
      </c>
      <c r="F947" s="1">
        <v>46060</v>
      </c>
      <c r="G947" s="1">
        <v>46063</v>
      </c>
      <c r="H947" t="s">
        <v>882</v>
      </c>
      <c r="I947" t="s">
        <v>5</v>
      </c>
      <c r="J947" t="s">
        <v>6</v>
      </c>
      <c r="K947" t="s">
        <v>4</v>
      </c>
      <c r="L947" t="s">
        <v>1936</v>
      </c>
      <c r="M947" t="s">
        <v>1936</v>
      </c>
      <c r="N947" s="2">
        <v>1551507</v>
      </c>
      <c r="O947" t="s">
        <v>1720</v>
      </c>
      <c r="P947" t="s">
        <v>9</v>
      </c>
      <c r="Q947" t="s">
        <v>75</v>
      </c>
      <c r="R947" t="e">
        <f>VLOOKUP(Q947,#REF!,2,FALSE)</f>
        <v>#REF!</v>
      </c>
      <c r="S947">
        <v>1004</v>
      </c>
      <c r="T947" t="s">
        <v>2225</v>
      </c>
      <c r="U947" t="s">
        <v>1721</v>
      </c>
      <c r="V947" s="1">
        <v>46053</v>
      </c>
      <c r="W947" s="1">
        <v>46053</v>
      </c>
      <c r="X947" t="s">
        <v>77</v>
      </c>
      <c r="Y947" t="s">
        <v>646</v>
      </c>
      <c r="Z947" t="s">
        <v>6</v>
      </c>
      <c r="AA947" t="s">
        <v>646</v>
      </c>
      <c r="AB947" s="4">
        <f t="shared" si="78"/>
        <v>15515070</v>
      </c>
      <c r="AC947" s="5" t="s">
        <v>2215</v>
      </c>
      <c r="AD947" s="4">
        <f t="shared" si="77"/>
        <v>1292922.5</v>
      </c>
      <c r="AE947" s="4">
        <f t="shared" si="75"/>
        <v>-258584.5</v>
      </c>
    </row>
    <row r="948" spans="1:31" x14ac:dyDescent="0.25">
      <c r="A948" t="s">
        <v>0</v>
      </c>
      <c r="B948" s="3" t="s">
        <v>2219</v>
      </c>
      <c r="C948" t="s">
        <v>1718</v>
      </c>
      <c r="D948" t="s">
        <v>160</v>
      </c>
      <c r="E948" t="s">
        <v>1937</v>
      </c>
      <c r="F948" s="1">
        <v>46060</v>
      </c>
      <c r="G948" s="1">
        <v>46063</v>
      </c>
      <c r="H948" t="s">
        <v>882</v>
      </c>
      <c r="I948" t="s">
        <v>5</v>
      </c>
      <c r="J948" t="s">
        <v>6</v>
      </c>
      <c r="K948" t="s">
        <v>4</v>
      </c>
      <c r="L948" t="s">
        <v>1938</v>
      </c>
      <c r="M948" t="s">
        <v>1938</v>
      </c>
      <c r="N948" s="2">
        <v>246915</v>
      </c>
      <c r="O948" t="s">
        <v>1720</v>
      </c>
      <c r="P948" t="s">
        <v>9</v>
      </c>
      <c r="Q948" t="s">
        <v>75</v>
      </c>
      <c r="R948" t="e">
        <f>VLOOKUP(Q948,#REF!,2,FALSE)</f>
        <v>#REF!</v>
      </c>
      <c r="S948">
        <v>1004</v>
      </c>
      <c r="T948" t="s">
        <v>2225</v>
      </c>
      <c r="U948" t="s">
        <v>1721</v>
      </c>
      <c r="V948" s="1">
        <v>46053</v>
      </c>
      <c r="W948" s="1">
        <v>46053</v>
      </c>
      <c r="X948" t="s">
        <v>77</v>
      </c>
      <c r="Y948" t="s">
        <v>646</v>
      </c>
      <c r="Z948" t="s">
        <v>6</v>
      </c>
      <c r="AA948" t="s">
        <v>646</v>
      </c>
      <c r="AB948" s="4">
        <f t="shared" si="78"/>
        <v>2469150</v>
      </c>
      <c r="AC948" s="5" t="s">
        <v>2215</v>
      </c>
      <c r="AD948" s="4">
        <f t="shared" si="77"/>
        <v>205762.5</v>
      </c>
      <c r="AE948" s="4">
        <f t="shared" si="75"/>
        <v>-41152.5</v>
      </c>
    </row>
    <row r="949" spans="1:31" x14ac:dyDescent="0.25">
      <c r="A949" t="s">
        <v>0</v>
      </c>
      <c r="B949" s="3" t="s">
        <v>2219</v>
      </c>
      <c r="C949" t="s">
        <v>1718</v>
      </c>
      <c r="D949" t="s">
        <v>160</v>
      </c>
      <c r="E949" t="s">
        <v>1939</v>
      </c>
      <c r="F949" s="1">
        <v>46060</v>
      </c>
      <c r="G949" s="1">
        <v>46063</v>
      </c>
      <c r="H949" t="s">
        <v>882</v>
      </c>
      <c r="I949" t="s">
        <v>5</v>
      </c>
      <c r="J949" t="s">
        <v>6</v>
      </c>
      <c r="K949" t="s">
        <v>4</v>
      </c>
      <c r="L949" t="s">
        <v>1940</v>
      </c>
      <c r="M949" t="s">
        <v>1940</v>
      </c>
      <c r="N949" s="2">
        <v>52979</v>
      </c>
      <c r="O949" t="s">
        <v>1720</v>
      </c>
      <c r="P949" t="s">
        <v>9</v>
      </c>
      <c r="Q949" t="s">
        <v>75</v>
      </c>
      <c r="R949" t="e">
        <f>VLOOKUP(Q949,#REF!,2,FALSE)</f>
        <v>#REF!</v>
      </c>
      <c r="S949">
        <v>1004</v>
      </c>
      <c r="T949" t="s">
        <v>2225</v>
      </c>
      <c r="U949" t="s">
        <v>1721</v>
      </c>
      <c r="V949" s="1">
        <v>46053</v>
      </c>
      <c r="W949" s="1">
        <v>46053</v>
      </c>
      <c r="X949" t="s">
        <v>77</v>
      </c>
      <c r="Y949" t="s">
        <v>646</v>
      </c>
      <c r="Z949" t="s">
        <v>6</v>
      </c>
      <c r="AA949" t="s">
        <v>646</v>
      </c>
      <c r="AB949" s="4">
        <f t="shared" si="78"/>
        <v>529790</v>
      </c>
      <c r="AC949" s="5" t="s">
        <v>2215</v>
      </c>
      <c r="AD949" s="4">
        <f t="shared" si="77"/>
        <v>44149.166666666664</v>
      </c>
      <c r="AE949" s="4">
        <f t="shared" si="75"/>
        <v>-8829.8333333333358</v>
      </c>
    </row>
    <row r="950" spans="1:31" x14ac:dyDescent="0.25">
      <c r="A950" t="s">
        <v>0</v>
      </c>
      <c r="B950" s="3" t="s">
        <v>2219</v>
      </c>
      <c r="C950" t="s">
        <v>1718</v>
      </c>
      <c r="D950" t="s">
        <v>160</v>
      </c>
      <c r="E950" t="s">
        <v>1941</v>
      </c>
      <c r="F950" s="1">
        <v>46060</v>
      </c>
      <c r="G950" s="1">
        <v>46063</v>
      </c>
      <c r="H950" t="s">
        <v>882</v>
      </c>
      <c r="I950" t="s">
        <v>5</v>
      </c>
      <c r="J950" t="s">
        <v>6</v>
      </c>
      <c r="K950" t="s">
        <v>4</v>
      </c>
      <c r="L950" t="s">
        <v>1942</v>
      </c>
      <c r="M950" t="s">
        <v>1942</v>
      </c>
      <c r="N950" s="2">
        <v>15198</v>
      </c>
      <c r="O950" t="s">
        <v>1720</v>
      </c>
      <c r="P950" t="s">
        <v>9</v>
      </c>
      <c r="Q950" t="s">
        <v>75</v>
      </c>
      <c r="R950" t="e">
        <f>VLOOKUP(Q950,#REF!,2,FALSE)</f>
        <v>#REF!</v>
      </c>
      <c r="S950">
        <v>1004</v>
      </c>
      <c r="T950" t="s">
        <v>2225</v>
      </c>
      <c r="U950" t="s">
        <v>1721</v>
      </c>
      <c r="V950" s="1">
        <v>46053</v>
      </c>
      <c r="W950" s="1">
        <v>46053</v>
      </c>
      <c r="X950" t="s">
        <v>77</v>
      </c>
      <c r="Y950" t="s">
        <v>646</v>
      </c>
      <c r="Z950" t="s">
        <v>6</v>
      </c>
      <c r="AA950" t="s">
        <v>646</v>
      </c>
      <c r="AB950" s="4">
        <f t="shared" si="78"/>
        <v>151980</v>
      </c>
      <c r="AC950" s="5" t="s">
        <v>2215</v>
      </c>
      <c r="AD950" s="4">
        <f t="shared" si="77"/>
        <v>12665</v>
      </c>
      <c r="AE950" s="4">
        <f t="shared" si="75"/>
        <v>-2533</v>
      </c>
    </row>
    <row r="951" spans="1:31" x14ac:dyDescent="0.25">
      <c r="A951" t="s">
        <v>0</v>
      </c>
      <c r="B951" s="3" t="s">
        <v>2219</v>
      </c>
      <c r="C951" t="s">
        <v>1718</v>
      </c>
      <c r="D951" t="s">
        <v>160</v>
      </c>
      <c r="E951" t="s">
        <v>1943</v>
      </c>
      <c r="F951" s="1">
        <v>46060</v>
      </c>
      <c r="G951" s="1">
        <v>46063</v>
      </c>
      <c r="H951" t="s">
        <v>882</v>
      </c>
      <c r="I951" t="s">
        <v>5</v>
      </c>
      <c r="J951" t="s">
        <v>6</v>
      </c>
      <c r="K951" t="s">
        <v>4</v>
      </c>
      <c r="L951" t="s">
        <v>1944</v>
      </c>
      <c r="M951" t="s">
        <v>1944</v>
      </c>
      <c r="N951" s="2">
        <v>226211</v>
      </c>
      <c r="O951" t="s">
        <v>1720</v>
      </c>
      <c r="P951" t="s">
        <v>9</v>
      </c>
      <c r="Q951" t="s">
        <v>75</v>
      </c>
      <c r="R951" t="e">
        <f>VLOOKUP(Q951,#REF!,2,FALSE)</f>
        <v>#REF!</v>
      </c>
      <c r="S951">
        <v>1004</v>
      </c>
      <c r="T951" t="s">
        <v>2225</v>
      </c>
      <c r="U951" t="s">
        <v>1721</v>
      </c>
      <c r="V951" s="1">
        <v>46053</v>
      </c>
      <c r="W951" s="1">
        <v>46053</v>
      </c>
      <c r="X951" t="s">
        <v>77</v>
      </c>
      <c r="Y951" t="s">
        <v>646</v>
      </c>
      <c r="Z951" t="s">
        <v>6</v>
      </c>
      <c r="AA951" t="s">
        <v>646</v>
      </c>
      <c r="AB951" s="4">
        <f t="shared" si="78"/>
        <v>2262110</v>
      </c>
      <c r="AC951" s="5" t="s">
        <v>2215</v>
      </c>
      <c r="AD951" s="4">
        <f t="shared" si="77"/>
        <v>188509.16666666666</v>
      </c>
      <c r="AE951" s="4">
        <f t="shared" si="75"/>
        <v>-37701.833333333343</v>
      </c>
    </row>
    <row r="952" spans="1:31" x14ac:dyDescent="0.25">
      <c r="A952" t="s">
        <v>0</v>
      </c>
      <c r="B952" s="3" t="s">
        <v>2219</v>
      </c>
      <c r="C952" t="s">
        <v>1718</v>
      </c>
      <c r="D952" t="s">
        <v>160</v>
      </c>
      <c r="E952" t="s">
        <v>1945</v>
      </c>
      <c r="F952" s="1">
        <v>46060</v>
      </c>
      <c r="G952" s="1">
        <v>46063</v>
      </c>
      <c r="H952" t="s">
        <v>882</v>
      </c>
      <c r="I952" t="s">
        <v>5</v>
      </c>
      <c r="J952" t="s">
        <v>6</v>
      </c>
      <c r="K952" t="s">
        <v>4</v>
      </c>
      <c r="L952" t="s">
        <v>1946</v>
      </c>
      <c r="M952" t="s">
        <v>1946</v>
      </c>
      <c r="N952" s="2">
        <v>365237</v>
      </c>
      <c r="O952" t="s">
        <v>1720</v>
      </c>
      <c r="P952" t="s">
        <v>9</v>
      </c>
      <c r="Q952" t="s">
        <v>75</v>
      </c>
      <c r="R952" t="e">
        <f>VLOOKUP(Q952,#REF!,2,FALSE)</f>
        <v>#REF!</v>
      </c>
      <c r="S952">
        <v>1004</v>
      </c>
      <c r="T952" t="s">
        <v>2225</v>
      </c>
      <c r="U952" t="s">
        <v>1721</v>
      </c>
      <c r="V952" s="1">
        <v>46053</v>
      </c>
      <c r="W952" s="1">
        <v>46053</v>
      </c>
      <c r="X952" t="s">
        <v>77</v>
      </c>
      <c r="Y952" t="s">
        <v>646</v>
      </c>
      <c r="Z952" t="s">
        <v>6</v>
      </c>
      <c r="AA952" t="s">
        <v>646</v>
      </c>
      <c r="AB952" s="4">
        <f t="shared" si="78"/>
        <v>3652370</v>
      </c>
      <c r="AC952" s="5" t="s">
        <v>2215</v>
      </c>
      <c r="AD952" s="4">
        <f t="shared" si="77"/>
        <v>304364.16666666669</v>
      </c>
      <c r="AE952" s="4">
        <f t="shared" si="75"/>
        <v>-60872.833333333314</v>
      </c>
    </row>
    <row r="953" spans="1:31" x14ac:dyDescent="0.25">
      <c r="A953" t="s">
        <v>0</v>
      </c>
      <c r="B953" s="3" t="s">
        <v>2219</v>
      </c>
      <c r="C953" t="s">
        <v>1718</v>
      </c>
      <c r="D953" t="s">
        <v>160</v>
      </c>
      <c r="E953" t="s">
        <v>1947</v>
      </c>
      <c r="F953" s="1">
        <v>46060</v>
      </c>
      <c r="G953" s="1">
        <v>46063</v>
      </c>
      <c r="H953" t="s">
        <v>882</v>
      </c>
      <c r="I953" t="s">
        <v>5</v>
      </c>
      <c r="J953" t="s">
        <v>6</v>
      </c>
      <c r="K953" t="s">
        <v>4</v>
      </c>
      <c r="L953" t="s">
        <v>1948</v>
      </c>
      <c r="M953" t="s">
        <v>1948</v>
      </c>
      <c r="N953" s="2">
        <v>513203</v>
      </c>
      <c r="O953" t="s">
        <v>1720</v>
      </c>
      <c r="P953" t="s">
        <v>9</v>
      </c>
      <c r="Q953" t="s">
        <v>75</v>
      </c>
      <c r="R953" t="e">
        <f>VLOOKUP(Q953,#REF!,2,FALSE)</f>
        <v>#REF!</v>
      </c>
      <c r="S953">
        <v>1004</v>
      </c>
      <c r="T953" t="s">
        <v>2225</v>
      </c>
      <c r="U953" t="s">
        <v>1721</v>
      </c>
      <c r="V953" s="1">
        <v>46053</v>
      </c>
      <c r="W953" s="1">
        <v>46053</v>
      </c>
      <c r="X953" t="s">
        <v>77</v>
      </c>
      <c r="Y953" t="s">
        <v>646</v>
      </c>
      <c r="Z953" t="s">
        <v>6</v>
      </c>
      <c r="AA953" t="s">
        <v>646</v>
      </c>
      <c r="AB953" s="4">
        <f t="shared" si="78"/>
        <v>5132030</v>
      </c>
      <c r="AC953" s="5" t="s">
        <v>2215</v>
      </c>
      <c r="AD953" s="4">
        <f t="shared" si="77"/>
        <v>427669.16666666669</v>
      </c>
      <c r="AE953" s="4">
        <f t="shared" si="75"/>
        <v>-85533.833333333314</v>
      </c>
    </row>
    <row r="954" spans="1:31" x14ac:dyDescent="0.25">
      <c r="A954" t="s">
        <v>0</v>
      </c>
      <c r="B954" s="3" t="s">
        <v>2219</v>
      </c>
      <c r="C954" t="s">
        <v>1718</v>
      </c>
      <c r="D954" t="s">
        <v>160</v>
      </c>
      <c r="E954" t="s">
        <v>1949</v>
      </c>
      <c r="F954" s="1">
        <v>46060</v>
      </c>
      <c r="G954" s="1">
        <v>46063</v>
      </c>
      <c r="H954" t="s">
        <v>882</v>
      </c>
      <c r="I954" t="s">
        <v>5</v>
      </c>
      <c r="J954" t="s">
        <v>6</v>
      </c>
      <c r="K954" t="s">
        <v>4</v>
      </c>
      <c r="L954" t="s">
        <v>1950</v>
      </c>
      <c r="M954" t="s">
        <v>1950</v>
      </c>
      <c r="N954" s="2">
        <v>900344</v>
      </c>
      <c r="O954" t="s">
        <v>1720</v>
      </c>
      <c r="P954" t="s">
        <v>9</v>
      </c>
      <c r="Q954" t="s">
        <v>75</v>
      </c>
      <c r="R954" t="e">
        <f>VLOOKUP(Q954,#REF!,2,FALSE)</f>
        <v>#REF!</v>
      </c>
      <c r="S954">
        <v>1004</v>
      </c>
      <c r="T954" t="s">
        <v>2225</v>
      </c>
      <c r="U954" t="s">
        <v>1721</v>
      </c>
      <c r="V954" s="1">
        <v>46053</v>
      </c>
      <c r="W954" s="1">
        <v>46053</v>
      </c>
      <c r="X954" t="s">
        <v>77</v>
      </c>
      <c r="Y954" t="s">
        <v>646</v>
      </c>
      <c r="Z954" t="s">
        <v>6</v>
      </c>
      <c r="AA954" t="s">
        <v>646</v>
      </c>
      <c r="AB954" s="4">
        <f t="shared" si="78"/>
        <v>9003440</v>
      </c>
      <c r="AC954" s="5" t="s">
        <v>2215</v>
      </c>
      <c r="AD954" s="4">
        <f t="shared" si="77"/>
        <v>750286.66666666663</v>
      </c>
      <c r="AE954" s="4">
        <f t="shared" si="75"/>
        <v>-150057.33333333337</v>
      </c>
    </row>
    <row r="955" spans="1:31" x14ac:dyDescent="0.25">
      <c r="A955" t="s">
        <v>0</v>
      </c>
      <c r="B955" s="3" t="s">
        <v>2219</v>
      </c>
      <c r="C955" t="s">
        <v>1718</v>
      </c>
      <c r="D955" t="s">
        <v>160</v>
      </c>
      <c r="E955" t="s">
        <v>1951</v>
      </c>
      <c r="F955" s="1">
        <v>46060</v>
      </c>
      <c r="G955" s="1">
        <v>46063</v>
      </c>
      <c r="H955" t="s">
        <v>882</v>
      </c>
      <c r="I955" t="s">
        <v>5</v>
      </c>
      <c r="J955" t="s">
        <v>6</v>
      </c>
      <c r="K955" t="s">
        <v>4</v>
      </c>
      <c r="L955" t="s">
        <v>1952</v>
      </c>
      <c r="M955" t="s">
        <v>1952</v>
      </c>
      <c r="N955" s="2">
        <v>134355</v>
      </c>
      <c r="O955" t="s">
        <v>1720</v>
      </c>
      <c r="P955" t="s">
        <v>9</v>
      </c>
      <c r="Q955" t="s">
        <v>75</v>
      </c>
      <c r="R955" t="e">
        <f>VLOOKUP(Q955,#REF!,2,FALSE)</f>
        <v>#REF!</v>
      </c>
      <c r="S955">
        <v>1004</v>
      </c>
      <c r="T955" t="s">
        <v>2225</v>
      </c>
      <c r="U955" t="s">
        <v>1721</v>
      </c>
      <c r="V955" s="1">
        <v>46053</v>
      </c>
      <c r="W955" s="1">
        <v>46053</v>
      </c>
      <c r="X955" t="s">
        <v>77</v>
      </c>
      <c r="Y955" t="s">
        <v>646</v>
      </c>
      <c r="Z955" t="s">
        <v>6</v>
      </c>
      <c r="AA955" t="s">
        <v>646</v>
      </c>
      <c r="AB955" s="4">
        <f t="shared" si="78"/>
        <v>1343550</v>
      </c>
      <c r="AC955" s="5" t="s">
        <v>2215</v>
      </c>
      <c r="AD955" s="4">
        <f t="shared" si="77"/>
        <v>111962.5</v>
      </c>
      <c r="AE955" s="4">
        <f t="shared" si="75"/>
        <v>-22392.5</v>
      </c>
    </row>
    <row r="956" spans="1:31" x14ac:dyDescent="0.25">
      <c r="A956" t="s">
        <v>0</v>
      </c>
      <c r="B956" s="3" t="s">
        <v>2219</v>
      </c>
      <c r="C956" t="s">
        <v>1718</v>
      </c>
      <c r="D956" t="s">
        <v>160</v>
      </c>
      <c r="E956" t="s">
        <v>1953</v>
      </c>
      <c r="F956" s="1">
        <v>46060</v>
      </c>
      <c r="G956" s="1">
        <v>46063</v>
      </c>
      <c r="H956" t="s">
        <v>882</v>
      </c>
      <c r="I956" t="s">
        <v>5</v>
      </c>
      <c r="J956" t="s">
        <v>6</v>
      </c>
      <c r="K956" t="s">
        <v>4</v>
      </c>
      <c r="L956" t="s">
        <v>1954</v>
      </c>
      <c r="M956" t="s">
        <v>1954</v>
      </c>
      <c r="N956" s="2">
        <v>10787</v>
      </c>
      <c r="O956" t="s">
        <v>1720</v>
      </c>
      <c r="P956" t="s">
        <v>9</v>
      </c>
      <c r="Q956" t="s">
        <v>75</v>
      </c>
      <c r="R956" t="e">
        <f>VLOOKUP(Q956,#REF!,2,FALSE)</f>
        <v>#REF!</v>
      </c>
      <c r="S956">
        <v>1004</v>
      </c>
      <c r="T956" t="s">
        <v>2225</v>
      </c>
      <c r="U956" t="s">
        <v>1721</v>
      </c>
      <c r="V956" s="1">
        <v>46053</v>
      </c>
      <c r="W956" s="1">
        <v>46053</v>
      </c>
      <c r="X956" t="s">
        <v>77</v>
      </c>
      <c r="Y956" t="s">
        <v>646</v>
      </c>
      <c r="Z956" t="s">
        <v>6</v>
      </c>
      <c r="AA956" t="s">
        <v>646</v>
      </c>
      <c r="AB956" s="4">
        <f t="shared" si="78"/>
        <v>107870</v>
      </c>
      <c r="AC956" s="5" t="s">
        <v>2215</v>
      </c>
      <c r="AD956" s="4">
        <f t="shared" si="77"/>
        <v>8989.1666666666661</v>
      </c>
      <c r="AE956" s="4">
        <f t="shared" si="75"/>
        <v>-1797.8333333333339</v>
      </c>
    </row>
    <row r="957" spans="1:31" x14ac:dyDescent="0.25">
      <c r="A957" t="s">
        <v>0</v>
      </c>
      <c r="B957" s="3" t="s">
        <v>2219</v>
      </c>
      <c r="C957" t="s">
        <v>1718</v>
      </c>
      <c r="D957" t="s">
        <v>160</v>
      </c>
      <c r="E957" t="s">
        <v>1955</v>
      </c>
      <c r="F957" s="1">
        <v>46060</v>
      </c>
      <c r="G957" s="1">
        <v>46063</v>
      </c>
      <c r="H957" t="s">
        <v>882</v>
      </c>
      <c r="I957" t="s">
        <v>5</v>
      </c>
      <c r="J957" t="s">
        <v>6</v>
      </c>
      <c r="K957" t="s">
        <v>4</v>
      </c>
      <c r="L957" t="s">
        <v>1956</v>
      </c>
      <c r="M957" t="s">
        <v>1956</v>
      </c>
      <c r="N957" s="2">
        <v>123316</v>
      </c>
      <c r="O957" t="s">
        <v>1720</v>
      </c>
      <c r="P957" t="s">
        <v>9</v>
      </c>
      <c r="Q957" t="s">
        <v>75</v>
      </c>
      <c r="R957" t="e">
        <f>VLOOKUP(Q957,#REF!,2,FALSE)</f>
        <v>#REF!</v>
      </c>
      <c r="S957">
        <v>1004</v>
      </c>
      <c r="T957" t="s">
        <v>2225</v>
      </c>
      <c r="U957" t="s">
        <v>1721</v>
      </c>
      <c r="V957" s="1">
        <v>46053</v>
      </c>
      <c r="W957" s="1">
        <v>46053</v>
      </c>
      <c r="X957" t="s">
        <v>77</v>
      </c>
      <c r="Y957" t="s">
        <v>646</v>
      </c>
      <c r="Z957" t="s">
        <v>6</v>
      </c>
      <c r="AA957" t="s">
        <v>646</v>
      </c>
      <c r="AB957" s="4">
        <f t="shared" si="78"/>
        <v>1233160</v>
      </c>
      <c r="AC957" s="5" t="s">
        <v>2215</v>
      </c>
      <c r="AD957" s="4">
        <f t="shared" si="77"/>
        <v>102763.33333333333</v>
      </c>
      <c r="AE957" s="4">
        <f t="shared" si="75"/>
        <v>-20552.666666666672</v>
      </c>
    </row>
    <row r="958" spans="1:31" x14ac:dyDescent="0.25">
      <c r="A958" t="s">
        <v>0</v>
      </c>
      <c r="B958" s="3" t="s">
        <v>2219</v>
      </c>
      <c r="C958" t="s">
        <v>1718</v>
      </c>
      <c r="D958" t="s">
        <v>160</v>
      </c>
      <c r="E958" t="s">
        <v>1957</v>
      </c>
      <c r="F958" s="1">
        <v>46060</v>
      </c>
      <c r="G958" s="1">
        <v>46063</v>
      </c>
      <c r="H958" t="s">
        <v>882</v>
      </c>
      <c r="I958" t="s">
        <v>5</v>
      </c>
      <c r="J958" t="s">
        <v>6</v>
      </c>
      <c r="K958" t="s">
        <v>4</v>
      </c>
      <c r="L958" t="s">
        <v>1958</v>
      </c>
      <c r="M958" t="s">
        <v>1958</v>
      </c>
      <c r="N958" s="2">
        <v>10747</v>
      </c>
      <c r="O958" t="s">
        <v>1720</v>
      </c>
      <c r="P958" t="s">
        <v>9</v>
      </c>
      <c r="Q958" t="s">
        <v>75</v>
      </c>
      <c r="R958" t="e">
        <f>VLOOKUP(Q958,#REF!,2,FALSE)</f>
        <v>#REF!</v>
      </c>
      <c r="S958">
        <v>1004</v>
      </c>
      <c r="T958" t="s">
        <v>2225</v>
      </c>
      <c r="U958" t="s">
        <v>1721</v>
      </c>
      <c r="V958" s="1">
        <v>46053</v>
      </c>
      <c r="W958" s="1">
        <v>46053</v>
      </c>
      <c r="X958" t="s">
        <v>77</v>
      </c>
      <c r="Y958" t="s">
        <v>646</v>
      </c>
      <c r="Z958" t="s">
        <v>6</v>
      </c>
      <c r="AA958" t="s">
        <v>646</v>
      </c>
      <c r="AB958" s="4">
        <f t="shared" si="78"/>
        <v>107470</v>
      </c>
      <c r="AC958" s="5" t="s">
        <v>2215</v>
      </c>
      <c r="AD958" s="4">
        <f t="shared" si="77"/>
        <v>8955.8333333333339</v>
      </c>
      <c r="AE958" s="4">
        <f t="shared" si="75"/>
        <v>-1791.1666666666661</v>
      </c>
    </row>
    <row r="959" spans="1:31" x14ac:dyDescent="0.25">
      <c r="A959" t="s">
        <v>0</v>
      </c>
      <c r="B959" s="3" t="s">
        <v>2219</v>
      </c>
      <c r="C959" t="s">
        <v>1718</v>
      </c>
      <c r="D959" t="s">
        <v>160</v>
      </c>
      <c r="E959" t="s">
        <v>1959</v>
      </c>
      <c r="F959" s="1">
        <v>46060</v>
      </c>
      <c r="G959" s="1">
        <v>46063</v>
      </c>
      <c r="H959" t="s">
        <v>882</v>
      </c>
      <c r="I959" t="s">
        <v>5</v>
      </c>
      <c r="J959" t="s">
        <v>6</v>
      </c>
      <c r="K959" t="s">
        <v>4</v>
      </c>
      <c r="L959" t="s">
        <v>1960</v>
      </c>
      <c r="M959" t="s">
        <v>1960</v>
      </c>
      <c r="N959" s="2">
        <v>1045</v>
      </c>
      <c r="O959" t="s">
        <v>1720</v>
      </c>
      <c r="P959" t="s">
        <v>9</v>
      </c>
      <c r="Q959" t="s">
        <v>75</v>
      </c>
      <c r="R959" t="e">
        <f>VLOOKUP(Q959,#REF!,2,FALSE)</f>
        <v>#REF!</v>
      </c>
      <c r="S959">
        <v>1004</v>
      </c>
      <c r="T959" t="s">
        <v>2225</v>
      </c>
      <c r="U959" t="s">
        <v>1721</v>
      </c>
      <c r="V959" s="1">
        <v>46053</v>
      </c>
      <c r="W959" s="1">
        <v>46053</v>
      </c>
      <c r="X959" t="s">
        <v>77</v>
      </c>
      <c r="Y959" t="s">
        <v>646</v>
      </c>
      <c r="Z959" t="s">
        <v>6</v>
      </c>
      <c r="AA959" t="s">
        <v>646</v>
      </c>
      <c r="AB959" s="4">
        <f t="shared" si="78"/>
        <v>10450</v>
      </c>
      <c r="AC959" s="5" t="s">
        <v>2215</v>
      </c>
      <c r="AD959" s="4">
        <f t="shared" si="77"/>
        <v>870.83333333333337</v>
      </c>
      <c r="AE959" s="4">
        <f t="shared" si="75"/>
        <v>-174.16666666666663</v>
      </c>
    </row>
    <row r="960" spans="1:31" x14ac:dyDescent="0.25">
      <c r="A960" t="s">
        <v>0</v>
      </c>
      <c r="B960" s="3" t="s">
        <v>2219</v>
      </c>
      <c r="C960" t="s">
        <v>1718</v>
      </c>
      <c r="D960" t="s">
        <v>160</v>
      </c>
      <c r="E960" t="s">
        <v>1961</v>
      </c>
      <c r="F960" s="1">
        <v>46060</v>
      </c>
      <c r="G960" s="1">
        <v>46063</v>
      </c>
      <c r="H960" t="s">
        <v>882</v>
      </c>
      <c r="I960" t="s">
        <v>5</v>
      </c>
      <c r="J960" t="s">
        <v>6</v>
      </c>
      <c r="K960" t="s">
        <v>4</v>
      </c>
      <c r="L960" t="s">
        <v>1962</v>
      </c>
      <c r="M960" t="s">
        <v>1962</v>
      </c>
      <c r="N960" s="2">
        <v>1225657</v>
      </c>
      <c r="O960" t="s">
        <v>1720</v>
      </c>
      <c r="P960" t="s">
        <v>9</v>
      </c>
      <c r="Q960" t="s">
        <v>75</v>
      </c>
      <c r="R960" t="e">
        <f>VLOOKUP(Q960,#REF!,2,FALSE)</f>
        <v>#REF!</v>
      </c>
      <c r="S960">
        <v>1004</v>
      </c>
      <c r="T960" t="s">
        <v>2225</v>
      </c>
      <c r="U960" t="s">
        <v>1721</v>
      </c>
      <c r="V960" s="1">
        <v>46053</v>
      </c>
      <c r="W960" s="1">
        <v>46053</v>
      </c>
      <c r="X960" t="s">
        <v>77</v>
      </c>
      <c r="Y960" t="s">
        <v>646</v>
      </c>
      <c r="Z960" t="s">
        <v>6</v>
      </c>
      <c r="AA960" t="s">
        <v>646</v>
      </c>
      <c r="AB960" s="4">
        <f t="shared" si="78"/>
        <v>12256570</v>
      </c>
      <c r="AC960" s="5" t="s">
        <v>2215</v>
      </c>
      <c r="AD960" s="4">
        <f t="shared" si="77"/>
        <v>1021380.8333333334</v>
      </c>
      <c r="AE960" s="4">
        <f t="shared" si="75"/>
        <v>-204276.16666666663</v>
      </c>
    </row>
    <row r="961" spans="1:31" x14ac:dyDescent="0.25">
      <c r="A961" t="s">
        <v>0</v>
      </c>
      <c r="B961" s="3" t="s">
        <v>2219</v>
      </c>
      <c r="C961" t="s">
        <v>1718</v>
      </c>
      <c r="D961" t="s">
        <v>160</v>
      </c>
      <c r="E961" t="s">
        <v>1963</v>
      </c>
      <c r="F961" s="1">
        <v>46060</v>
      </c>
      <c r="G961" s="1">
        <v>46063</v>
      </c>
      <c r="H961" t="s">
        <v>882</v>
      </c>
      <c r="I961" t="s">
        <v>5</v>
      </c>
      <c r="J961" t="s">
        <v>6</v>
      </c>
      <c r="K961" t="s">
        <v>4</v>
      </c>
      <c r="L961" t="s">
        <v>1964</v>
      </c>
      <c r="M961" t="s">
        <v>1964</v>
      </c>
      <c r="N961" s="2">
        <v>195238</v>
      </c>
      <c r="O961" t="s">
        <v>1720</v>
      </c>
      <c r="P961" t="s">
        <v>9</v>
      </c>
      <c r="Q961" t="s">
        <v>75</v>
      </c>
      <c r="R961" t="e">
        <f>VLOOKUP(Q961,#REF!,2,FALSE)</f>
        <v>#REF!</v>
      </c>
      <c r="S961">
        <v>1004</v>
      </c>
      <c r="T961" t="s">
        <v>2225</v>
      </c>
      <c r="U961" t="s">
        <v>1721</v>
      </c>
      <c r="V961" s="1">
        <v>46053</v>
      </c>
      <c r="W961" s="1">
        <v>46053</v>
      </c>
      <c r="X961" t="s">
        <v>77</v>
      </c>
      <c r="Y961" t="s">
        <v>646</v>
      </c>
      <c r="Z961" t="s">
        <v>6</v>
      </c>
      <c r="AA961" t="s">
        <v>646</v>
      </c>
      <c r="AB961" s="4">
        <f t="shared" si="78"/>
        <v>1952380</v>
      </c>
      <c r="AC961" s="5" t="s">
        <v>2215</v>
      </c>
      <c r="AD961" s="4">
        <f t="shared" si="77"/>
        <v>162698.33333333334</v>
      </c>
      <c r="AE961" s="4">
        <f t="shared" si="75"/>
        <v>-32539.666666666657</v>
      </c>
    </row>
    <row r="962" spans="1:31" x14ac:dyDescent="0.25">
      <c r="A962" t="s">
        <v>0</v>
      </c>
      <c r="B962" s="3" t="s">
        <v>2219</v>
      </c>
      <c r="C962" t="s">
        <v>1718</v>
      </c>
      <c r="D962" t="s">
        <v>160</v>
      </c>
      <c r="E962" t="s">
        <v>1965</v>
      </c>
      <c r="F962" s="1">
        <v>46060</v>
      </c>
      <c r="G962" s="1">
        <v>46063</v>
      </c>
      <c r="H962" t="s">
        <v>882</v>
      </c>
      <c r="I962" t="s">
        <v>5</v>
      </c>
      <c r="J962" t="s">
        <v>6</v>
      </c>
      <c r="K962" t="s">
        <v>4</v>
      </c>
      <c r="L962" t="s">
        <v>1966</v>
      </c>
      <c r="M962" t="s">
        <v>1966</v>
      </c>
      <c r="N962" s="2">
        <v>817396</v>
      </c>
      <c r="O962" t="s">
        <v>1720</v>
      </c>
      <c r="P962" t="s">
        <v>9</v>
      </c>
      <c r="Q962" t="s">
        <v>75</v>
      </c>
      <c r="R962" t="e">
        <f>VLOOKUP(Q962,#REF!,2,FALSE)</f>
        <v>#REF!</v>
      </c>
      <c r="S962">
        <v>1004</v>
      </c>
      <c r="T962" t="s">
        <v>2225</v>
      </c>
      <c r="U962" t="s">
        <v>1721</v>
      </c>
      <c r="V962" s="1">
        <v>46053</v>
      </c>
      <c r="W962" s="1">
        <v>46053</v>
      </c>
      <c r="X962" t="s">
        <v>77</v>
      </c>
      <c r="Y962" t="s">
        <v>646</v>
      </c>
      <c r="Z962" t="s">
        <v>6</v>
      </c>
      <c r="AA962" t="s">
        <v>646</v>
      </c>
      <c r="AB962" s="4">
        <f t="shared" si="78"/>
        <v>8173960</v>
      </c>
      <c r="AC962" s="5" t="s">
        <v>2215</v>
      </c>
      <c r="AD962" s="4">
        <f t="shared" si="77"/>
        <v>681163.33333333337</v>
      </c>
      <c r="AE962" s="4">
        <f t="shared" ref="AE962:AE1025" si="79">AD962-L962</f>
        <v>-136232.66666666663</v>
      </c>
    </row>
    <row r="963" spans="1:31" x14ac:dyDescent="0.25">
      <c r="A963" t="s">
        <v>0</v>
      </c>
      <c r="B963" s="3" t="s">
        <v>2219</v>
      </c>
      <c r="C963" t="s">
        <v>1718</v>
      </c>
      <c r="D963" t="s">
        <v>160</v>
      </c>
      <c r="E963" t="s">
        <v>1967</v>
      </c>
      <c r="F963" s="1">
        <v>46060</v>
      </c>
      <c r="G963" s="1">
        <v>46063</v>
      </c>
      <c r="H963" t="s">
        <v>882</v>
      </c>
      <c r="I963" t="s">
        <v>5</v>
      </c>
      <c r="J963" t="s">
        <v>6</v>
      </c>
      <c r="K963" t="s">
        <v>4</v>
      </c>
      <c r="L963" t="s">
        <v>1968</v>
      </c>
      <c r="M963" t="s">
        <v>1968</v>
      </c>
      <c r="N963" s="2">
        <v>188859</v>
      </c>
      <c r="O963" t="s">
        <v>1720</v>
      </c>
      <c r="P963" t="s">
        <v>9</v>
      </c>
      <c r="Q963" t="s">
        <v>75</v>
      </c>
      <c r="R963" t="e">
        <f>VLOOKUP(Q963,#REF!,2,FALSE)</f>
        <v>#REF!</v>
      </c>
      <c r="S963">
        <v>1004</v>
      </c>
      <c r="T963" t="s">
        <v>2225</v>
      </c>
      <c r="U963" t="s">
        <v>1721</v>
      </c>
      <c r="V963" s="1">
        <v>46053</v>
      </c>
      <c r="W963" s="1">
        <v>46053</v>
      </c>
      <c r="X963" t="s">
        <v>77</v>
      </c>
      <c r="Y963" t="s">
        <v>646</v>
      </c>
      <c r="Z963" t="s">
        <v>6</v>
      </c>
      <c r="AA963" t="s">
        <v>646</v>
      </c>
      <c r="AB963" s="4">
        <f t="shared" si="78"/>
        <v>1888590</v>
      </c>
      <c r="AC963" s="5" t="s">
        <v>2215</v>
      </c>
      <c r="AD963" s="4">
        <f t="shared" si="77"/>
        <v>157382.5</v>
      </c>
      <c r="AE963" s="4">
        <f t="shared" si="79"/>
        <v>-31476.5</v>
      </c>
    </row>
    <row r="964" spans="1:31" x14ac:dyDescent="0.25">
      <c r="A964" t="s">
        <v>0</v>
      </c>
      <c r="B964" s="3" t="s">
        <v>2219</v>
      </c>
      <c r="C964" t="s">
        <v>1718</v>
      </c>
      <c r="D964" t="s">
        <v>160</v>
      </c>
      <c r="E964" t="s">
        <v>1969</v>
      </c>
      <c r="F964" s="1">
        <v>46060</v>
      </c>
      <c r="G964" s="1">
        <v>46063</v>
      </c>
      <c r="H964" t="s">
        <v>882</v>
      </c>
      <c r="I964" t="s">
        <v>5</v>
      </c>
      <c r="J964" t="s">
        <v>6</v>
      </c>
      <c r="K964" t="s">
        <v>4</v>
      </c>
      <c r="L964" t="s">
        <v>1970</v>
      </c>
      <c r="M964" t="s">
        <v>1970</v>
      </c>
      <c r="N964" s="2">
        <v>561797</v>
      </c>
      <c r="O964" t="s">
        <v>1720</v>
      </c>
      <c r="P964" t="s">
        <v>9</v>
      </c>
      <c r="Q964" t="s">
        <v>75</v>
      </c>
      <c r="R964" t="e">
        <f>VLOOKUP(Q964,#REF!,2,FALSE)</f>
        <v>#REF!</v>
      </c>
      <c r="S964">
        <v>1004</v>
      </c>
      <c r="T964" t="s">
        <v>2225</v>
      </c>
      <c r="U964" t="s">
        <v>1721</v>
      </c>
      <c r="V964" s="1">
        <v>46053</v>
      </c>
      <c r="W964" s="1">
        <v>46053</v>
      </c>
      <c r="X964" t="s">
        <v>77</v>
      </c>
      <c r="Y964" t="s">
        <v>646</v>
      </c>
      <c r="Z964" t="s">
        <v>6</v>
      </c>
      <c r="AA964" t="s">
        <v>646</v>
      </c>
      <c r="AB964" s="4">
        <f t="shared" si="78"/>
        <v>5617970</v>
      </c>
      <c r="AC964" s="5" t="s">
        <v>2215</v>
      </c>
      <c r="AD964" s="4">
        <f t="shared" si="77"/>
        <v>468164.16666666669</v>
      </c>
      <c r="AE964" s="4">
        <f t="shared" si="79"/>
        <v>-93632.833333333314</v>
      </c>
    </row>
    <row r="965" spans="1:31" x14ac:dyDescent="0.25">
      <c r="A965" t="s">
        <v>0</v>
      </c>
      <c r="B965" s="3" t="s">
        <v>2219</v>
      </c>
      <c r="C965" t="s">
        <v>1718</v>
      </c>
      <c r="D965" t="s">
        <v>160</v>
      </c>
      <c r="E965" t="s">
        <v>1971</v>
      </c>
      <c r="F965" s="1">
        <v>46060</v>
      </c>
      <c r="G965" s="1">
        <v>46063</v>
      </c>
      <c r="H965" t="s">
        <v>882</v>
      </c>
      <c r="I965" t="s">
        <v>5</v>
      </c>
      <c r="J965" t="s">
        <v>6</v>
      </c>
      <c r="K965" t="s">
        <v>4</v>
      </c>
      <c r="L965" t="s">
        <v>1972</v>
      </c>
      <c r="M965" t="s">
        <v>1972</v>
      </c>
      <c r="N965" s="2">
        <v>112297</v>
      </c>
      <c r="O965" t="s">
        <v>1720</v>
      </c>
      <c r="P965" t="s">
        <v>9</v>
      </c>
      <c r="Q965" t="s">
        <v>75</v>
      </c>
      <c r="R965" t="e">
        <f>VLOOKUP(Q965,#REF!,2,FALSE)</f>
        <v>#REF!</v>
      </c>
      <c r="S965">
        <v>1004</v>
      </c>
      <c r="T965" t="s">
        <v>2225</v>
      </c>
      <c r="U965" t="s">
        <v>1721</v>
      </c>
      <c r="V965" s="1">
        <v>46053</v>
      </c>
      <c r="W965" s="1">
        <v>46053</v>
      </c>
      <c r="X965" t="s">
        <v>77</v>
      </c>
      <c r="Y965" t="s">
        <v>646</v>
      </c>
      <c r="Z965" t="s">
        <v>6</v>
      </c>
      <c r="AA965" t="s">
        <v>646</v>
      </c>
      <c r="AB965" s="4">
        <f t="shared" si="78"/>
        <v>1122970</v>
      </c>
      <c r="AC965" s="5" t="s">
        <v>2215</v>
      </c>
      <c r="AD965" s="4">
        <f t="shared" si="77"/>
        <v>93580.833333333328</v>
      </c>
      <c r="AE965" s="4">
        <f t="shared" si="79"/>
        <v>-18716.166666666672</v>
      </c>
    </row>
    <row r="966" spans="1:31" x14ac:dyDescent="0.25">
      <c r="A966" t="s">
        <v>0</v>
      </c>
      <c r="B966" s="3" t="s">
        <v>2219</v>
      </c>
      <c r="C966" t="s">
        <v>1718</v>
      </c>
      <c r="D966" t="s">
        <v>160</v>
      </c>
      <c r="E966" t="s">
        <v>1973</v>
      </c>
      <c r="F966" s="1">
        <v>46060</v>
      </c>
      <c r="G966" s="1">
        <v>46063</v>
      </c>
      <c r="H966" t="s">
        <v>882</v>
      </c>
      <c r="I966" t="s">
        <v>5</v>
      </c>
      <c r="J966" t="s">
        <v>6</v>
      </c>
      <c r="K966" t="s">
        <v>4</v>
      </c>
      <c r="L966" t="s">
        <v>1974</v>
      </c>
      <c r="M966" t="s">
        <v>1974</v>
      </c>
      <c r="N966" s="2">
        <v>731211</v>
      </c>
      <c r="O966" t="s">
        <v>1720</v>
      </c>
      <c r="P966" t="s">
        <v>9</v>
      </c>
      <c r="Q966" t="s">
        <v>75</v>
      </c>
      <c r="R966" t="e">
        <f>VLOOKUP(Q966,#REF!,2,FALSE)</f>
        <v>#REF!</v>
      </c>
      <c r="S966">
        <v>1004</v>
      </c>
      <c r="T966" t="s">
        <v>2225</v>
      </c>
      <c r="U966" t="s">
        <v>1721</v>
      </c>
      <c r="V966" s="1">
        <v>46053</v>
      </c>
      <c r="W966" s="1">
        <v>46053</v>
      </c>
      <c r="X966" t="s">
        <v>77</v>
      </c>
      <c r="Y966" t="s">
        <v>646</v>
      </c>
      <c r="Z966" t="s">
        <v>6</v>
      </c>
      <c r="AA966" t="s">
        <v>646</v>
      </c>
      <c r="AB966" s="4">
        <f t="shared" si="78"/>
        <v>7312110</v>
      </c>
      <c r="AC966" s="5" t="s">
        <v>2215</v>
      </c>
      <c r="AD966" s="4">
        <f t="shared" si="77"/>
        <v>609342.5</v>
      </c>
      <c r="AE966" s="4">
        <f t="shared" si="79"/>
        <v>-121868.5</v>
      </c>
    </row>
    <row r="967" spans="1:31" x14ac:dyDescent="0.25">
      <c r="A967" t="s">
        <v>0</v>
      </c>
      <c r="B967" s="3" t="s">
        <v>2219</v>
      </c>
      <c r="C967" t="s">
        <v>1718</v>
      </c>
      <c r="D967" t="s">
        <v>160</v>
      </c>
      <c r="E967" t="s">
        <v>1975</v>
      </c>
      <c r="F967" s="1">
        <v>46060</v>
      </c>
      <c r="G967" s="1">
        <v>46063</v>
      </c>
      <c r="H967" t="s">
        <v>882</v>
      </c>
      <c r="I967" t="s">
        <v>5</v>
      </c>
      <c r="J967" t="s">
        <v>6</v>
      </c>
      <c r="K967" t="s">
        <v>4</v>
      </c>
      <c r="L967" t="s">
        <v>1976</v>
      </c>
      <c r="M967" t="s">
        <v>1976</v>
      </c>
      <c r="N967" s="2">
        <v>419821</v>
      </c>
      <c r="O967" t="s">
        <v>1720</v>
      </c>
      <c r="P967" t="s">
        <v>9</v>
      </c>
      <c r="Q967" t="s">
        <v>75</v>
      </c>
      <c r="R967" t="e">
        <f>VLOOKUP(Q967,#REF!,2,FALSE)</f>
        <v>#REF!</v>
      </c>
      <c r="S967">
        <v>1004</v>
      </c>
      <c r="T967" t="s">
        <v>2225</v>
      </c>
      <c r="U967" t="s">
        <v>1721</v>
      </c>
      <c r="V967" s="1">
        <v>46053</v>
      </c>
      <c r="W967" s="1">
        <v>46053</v>
      </c>
      <c r="X967" t="s">
        <v>77</v>
      </c>
      <c r="Y967" t="s">
        <v>646</v>
      </c>
      <c r="Z967" t="s">
        <v>6</v>
      </c>
      <c r="AA967" t="s">
        <v>646</v>
      </c>
      <c r="AB967" s="4">
        <f t="shared" si="78"/>
        <v>4198210</v>
      </c>
      <c r="AC967" s="5" t="s">
        <v>2215</v>
      </c>
      <c r="AD967" s="4">
        <f t="shared" si="77"/>
        <v>349850.83333333331</v>
      </c>
      <c r="AE967" s="4">
        <f t="shared" si="79"/>
        <v>-69970.166666666686</v>
      </c>
    </row>
    <row r="968" spans="1:31" x14ac:dyDescent="0.25">
      <c r="A968" t="s">
        <v>0</v>
      </c>
      <c r="B968" s="3" t="s">
        <v>2219</v>
      </c>
      <c r="C968" t="s">
        <v>1718</v>
      </c>
      <c r="D968" t="s">
        <v>160</v>
      </c>
      <c r="E968" t="s">
        <v>1977</v>
      </c>
      <c r="F968" s="1">
        <v>46060</v>
      </c>
      <c r="G968" s="1">
        <v>46063</v>
      </c>
      <c r="H968" t="s">
        <v>882</v>
      </c>
      <c r="I968" t="s">
        <v>5</v>
      </c>
      <c r="J968" t="s">
        <v>6</v>
      </c>
      <c r="K968" t="s">
        <v>4</v>
      </c>
      <c r="L968" t="s">
        <v>1978</v>
      </c>
      <c r="M968" t="s">
        <v>1978</v>
      </c>
      <c r="N968" s="2">
        <v>682643</v>
      </c>
      <c r="O968" t="s">
        <v>1720</v>
      </c>
      <c r="P968" t="s">
        <v>9</v>
      </c>
      <c r="Q968" t="s">
        <v>75</v>
      </c>
      <c r="R968" t="e">
        <f>VLOOKUP(Q968,#REF!,2,FALSE)</f>
        <v>#REF!</v>
      </c>
      <c r="S968">
        <v>1004</v>
      </c>
      <c r="T968" t="s">
        <v>2225</v>
      </c>
      <c r="U968" t="s">
        <v>1721</v>
      </c>
      <c r="V968" s="1">
        <v>46053</v>
      </c>
      <c r="W968" s="1">
        <v>46053</v>
      </c>
      <c r="X968" t="s">
        <v>77</v>
      </c>
      <c r="Y968" t="s">
        <v>646</v>
      </c>
      <c r="Z968" t="s">
        <v>6</v>
      </c>
      <c r="AA968" t="s">
        <v>646</v>
      </c>
      <c r="AB968" s="4">
        <f t="shared" si="78"/>
        <v>6826430</v>
      </c>
      <c r="AC968" s="5" t="s">
        <v>2215</v>
      </c>
      <c r="AD968" s="4">
        <f t="shared" si="77"/>
        <v>568869.16666666663</v>
      </c>
      <c r="AE968" s="4">
        <f t="shared" si="79"/>
        <v>-113773.83333333337</v>
      </c>
    </row>
    <row r="969" spans="1:31" x14ac:dyDescent="0.25">
      <c r="A969" t="s">
        <v>0</v>
      </c>
      <c r="B969" s="3" t="s">
        <v>2219</v>
      </c>
      <c r="C969" t="s">
        <v>1718</v>
      </c>
      <c r="D969" t="s">
        <v>160</v>
      </c>
      <c r="E969" t="s">
        <v>1979</v>
      </c>
      <c r="F969" s="1">
        <v>46060</v>
      </c>
      <c r="G969" s="1">
        <v>46063</v>
      </c>
      <c r="H969" t="s">
        <v>882</v>
      </c>
      <c r="I969" t="s">
        <v>5</v>
      </c>
      <c r="J969" t="s">
        <v>6</v>
      </c>
      <c r="K969" t="s">
        <v>4</v>
      </c>
      <c r="L969" t="s">
        <v>1980</v>
      </c>
      <c r="M969" t="s">
        <v>1980</v>
      </c>
      <c r="N969" s="2">
        <v>72365</v>
      </c>
      <c r="O969" t="s">
        <v>1720</v>
      </c>
      <c r="P969" t="s">
        <v>9</v>
      </c>
      <c r="Q969" t="s">
        <v>75</v>
      </c>
      <c r="R969" t="e">
        <f>VLOOKUP(Q969,#REF!,2,FALSE)</f>
        <v>#REF!</v>
      </c>
      <c r="S969">
        <v>1004</v>
      </c>
      <c r="T969" t="s">
        <v>2225</v>
      </c>
      <c r="U969" t="s">
        <v>1721</v>
      </c>
      <c r="V969" s="1">
        <v>46053</v>
      </c>
      <c r="W969" s="1">
        <v>46053</v>
      </c>
      <c r="X969" t="s">
        <v>77</v>
      </c>
      <c r="Y969" t="s">
        <v>646</v>
      </c>
      <c r="Z969" t="s">
        <v>6</v>
      </c>
      <c r="AA969" t="s">
        <v>646</v>
      </c>
      <c r="AB969" s="4">
        <f t="shared" si="78"/>
        <v>723650</v>
      </c>
      <c r="AC969" s="5" t="s">
        <v>2215</v>
      </c>
      <c r="AD969" s="4">
        <f t="shared" si="77"/>
        <v>60304.166666666664</v>
      </c>
      <c r="AE969" s="4">
        <f t="shared" si="79"/>
        <v>-12060.833333333336</v>
      </c>
    </row>
    <row r="970" spans="1:31" x14ac:dyDescent="0.25">
      <c r="A970" t="s">
        <v>0</v>
      </c>
      <c r="B970" s="3" t="s">
        <v>2219</v>
      </c>
      <c r="C970" t="s">
        <v>1718</v>
      </c>
      <c r="D970" t="s">
        <v>160</v>
      </c>
      <c r="E970" t="s">
        <v>1981</v>
      </c>
      <c r="F970" s="1">
        <v>46060</v>
      </c>
      <c r="G970" s="1">
        <v>46063</v>
      </c>
      <c r="H970" t="s">
        <v>882</v>
      </c>
      <c r="I970" t="s">
        <v>5</v>
      </c>
      <c r="J970" t="s">
        <v>6</v>
      </c>
      <c r="K970" t="s">
        <v>4</v>
      </c>
      <c r="L970" t="s">
        <v>1982</v>
      </c>
      <c r="M970" t="s">
        <v>1982</v>
      </c>
      <c r="N970" s="2">
        <v>54016</v>
      </c>
      <c r="O970" t="s">
        <v>1720</v>
      </c>
      <c r="P970" t="s">
        <v>9</v>
      </c>
      <c r="Q970" t="s">
        <v>75</v>
      </c>
      <c r="R970" t="e">
        <f>VLOOKUP(Q970,#REF!,2,FALSE)</f>
        <v>#REF!</v>
      </c>
      <c r="S970">
        <v>1004</v>
      </c>
      <c r="T970" t="s">
        <v>2225</v>
      </c>
      <c r="U970" t="s">
        <v>1721</v>
      </c>
      <c r="V970" s="1">
        <v>46053</v>
      </c>
      <c r="W970" s="1">
        <v>46053</v>
      </c>
      <c r="X970" t="s">
        <v>77</v>
      </c>
      <c r="Y970" t="s">
        <v>646</v>
      </c>
      <c r="Z970" t="s">
        <v>6</v>
      </c>
      <c r="AA970" t="s">
        <v>646</v>
      </c>
      <c r="AB970" s="4">
        <f t="shared" si="78"/>
        <v>540160</v>
      </c>
      <c r="AC970" s="5" t="s">
        <v>2215</v>
      </c>
      <c r="AD970" s="4">
        <f t="shared" si="77"/>
        <v>45013.333333333336</v>
      </c>
      <c r="AE970" s="4">
        <f t="shared" si="79"/>
        <v>-9002.6666666666642</v>
      </c>
    </row>
    <row r="971" spans="1:31" x14ac:dyDescent="0.25">
      <c r="A971" t="s">
        <v>0</v>
      </c>
      <c r="B971" s="3" t="s">
        <v>2219</v>
      </c>
      <c r="C971" t="s">
        <v>1718</v>
      </c>
      <c r="D971" t="s">
        <v>160</v>
      </c>
      <c r="E971" t="s">
        <v>1983</v>
      </c>
      <c r="F971" s="1">
        <v>46060</v>
      </c>
      <c r="G971" s="1">
        <v>46063</v>
      </c>
      <c r="H971" t="s">
        <v>882</v>
      </c>
      <c r="I971" t="s">
        <v>5</v>
      </c>
      <c r="J971" t="s">
        <v>6</v>
      </c>
      <c r="K971" t="s">
        <v>4</v>
      </c>
      <c r="L971" t="s">
        <v>1984</v>
      </c>
      <c r="M971" t="s">
        <v>1984</v>
      </c>
      <c r="N971" s="2">
        <v>972486</v>
      </c>
      <c r="O971" t="s">
        <v>1720</v>
      </c>
      <c r="P971" t="s">
        <v>9</v>
      </c>
      <c r="Q971" t="s">
        <v>75</v>
      </c>
      <c r="R971" t="e">
        <f>VLOOKUP(Q971,#REF!,2,FALSE)</f>
        <v>#REF!</v>
      </c>
      <c r="S971">
        <v>1004</v>
      </c>
      <c r="T971" t="s">
        <v>2225</v>
      </c>
      <c r="U971" t="s">
        <v>1721</v>
      </c>
      <c r="V971" s="1">
        <v>46053</v>
      </c>
      <c r="W971" s="1">
        <v>46053</v>
      </c>
      <c r="X971" t="s">
        <v>77</v>
      </c>
      <c r="Y971" t="s">
        <v>646</v>
      </c>
      <c r="Z971" t="s">
        <v>6</v>
      </c>
      <c r="AA971" t="s">
        <v>646</v>
      </c>
      <c r="AB971" s="4">
        <f t="shared" si="78"/>
        <v>9724860</v>
      </c>
      <c r="AC971" s="5" t="s">
        <v>2215</v>
      </c>
      <c r="AD971" s="4">
        <f t="shared" si="77"/>
        <v>810405</v>
      </c>
      <c r="AE971" s="4">
        <f t="shared" si="79"/>
        <v>-162081</v>
      </c>
    </row>
    <row r="972" spans="1:31" x14ac:dyDescent="0.25">
      <c r="A972" t="s">
        <v>0</v>
      </c>
      <c r="B972" s="3" t="s">
        <v>2219</v>
      </c>
      <c r="C972" t="s">
        <v>1718</v>
      </c>
      <c r="D972" t="s">
        <v>160</v>
      </c>
      <c r="E972" t="s">
        <v>1985</v>
      </c>
      <c r="F972" s="1">
        <v>46060</v>
      </c>
      <c r="G972" s="1">
        <v>46063</v>
      </c>
      <c r="H972" t="s">
        <v>882</v>
      </c>
      <c r="I972" t="s">
        <v>5</v>
      </c>
      <c r="J972" t="s">
        <v>6</v>
      </c>
      <c r="K972" t="s">
        <v>4</v>
      </c>
      <c r="L972" t="s">
        <v>1986</v>
      </c>
      <c r="M972" t="s">
        <v>1986</v>
      </c>
      <c r="N972" s="2">
        <v>273152</v>
      </c>
      <c r="O972" t="s">
        <v>1720</v>
      </c>
      <c r="P972" t="s">
        <v>9</v>
      </c>
      <c r="Q972" t="s">
        <v>75</v>
      </c>
      <c r="R972" t="e">
        <f>VLOOKUP(Q972,#REF!,2,FALSE)</f>
        <v>#REF!</v>
      </c>
      <c r="S972">
        <v>1004</v>
      </c>
      <c r="T972" t="s">
        <v>2225</v>
      </c>
      <c r="U972" t="s">
        <v>1721</v>
      </c>
      <c r="V972" s="1">
        <v>46053</v>
      </c>
      <c r="W972" s="1">
        <v>46053</v>
      </c>
      <c r="X972" t="s">
        <v>77</v>
      </c>
      <c r="Y972" t="s">
        <v>646</v>
      </c>
      <c r="Z972" t="s">
        <v>6</v>
      </c>
      <c r="AA972" t="s">
        <v>646</v>
      </c>
      <c r="AB972" s="4">
        <f t="shared" si="78"/>
        <v>2731520</v>
      </c>
      <c r="AC972" s="5" t="s">
        <v>2215</v>
      </c>
      <c r="AD972" s="4">
        <f t="shared" si="77"/>
        <v>227626.66666666666</v>
      </c>
      <c r="AE972" s="4">
        <f t="shared" si="79"/>
        <v>-45525.333333333343</v>
      </c>
    </row>
    <row r="973" spans="1:31" x14ac:dyDescent="0.25">
      <c r="A973" t="s">
        <v>0</v>
      </c>
      <c r="B973" s="3" t="s">
        <v>2219</v>
      </c>
      <c r="C973" t="s">
        <v>1718</v>
      </c>
      <c r="D973" t="s">
        <v>160</v>
      </c>
      <c r="E973" t="s">
        <v>1987</v>
      </c>
      <c r="F973" s="1">
        <v>46060</v>
      </c>
      <c r="G973" s="1">
        <v>46063</v>
      </c>
      <c r="H973" t="s">
        <v>882</v>
      </c>
      <c r="I973" t="s">
        <v>5</v>
      </c>
      <c r="J973" t="s">
        <v>6</v>
      </c>
      <c r="K973" t="s">
        <v>4</v>
      </c>
      <c r="L973" t="s">
        <v>1988</v>
      </c>
      <c r="M973" t="s">
        <v>1988</v>
      </c>
      <c r="N973" s="2">
        <v>620442</v>
      </c>
      <c r="O973" t="s">
        <v>1720</v>
      </c>
      <c r="P973" t="s">
        <v>9</v>
      </c>
      <c r="Q973" t="s">
        <v>75</v>
      </c>
      <c r="R973" t="e">
        <f>VLOOKUP(Q973,#REF!,2,FALSE)</f>
        <v>#REF!</v>
      </c>
      <c r="S973">
        <v>1004</v>
      </c>
      <c r="T973" t="s">
        <v>2225</v>
      </c>
      <c r="U973" t="s">
        <v>1721</v>
      </c>
      <c r="V973" s="1">
        <v>46053</v>
      </c>
      <c r="W973" s="1">
        <v>46053</v>
      </c>
      <c r="X973" t="s">
        <v>77</v>
      </c>
      <c r="Y973" t="s">
        <v>646</v>
      </c>
      <c r="Z973" t="s">
        <v>6</v>
      </c>
      <c r="AA973" t="s">
        <v>646</v>
      </c>
      <c r="AB973" s="4">
        <f t="shared" si="78"/>
        <v>6204420</v>
      </c>
      <c r="AC973" s="5" t="s">
        <v>2215</v>
      </c>
      <c r="AD973" s="4">
        <f t="shared" si="77"/>
        <v>517035</v>
      </c>
      <c r="AE973" s="4">
        <f t="shared" si="79"/>
        <v>-103407</v>
      </c>
    </row>
    <row r="974" spans="1:31" x14ac:dyDescent="0.25">
      <c r="A974" t="s">
        <v>0</v>
      </c>
      <c r="B974" s="3" t="s">
        <v>2219</v>
      </c>
      <c r="C974" t="s">
        <v>1718</v>
      </c>
      <c r="D974" t="s">
        <v>160</v>
      </c>
      <c r="E974" t="s">
        <v>1989</v>
      </c>
      <c r="F974" s="1">
        <v>46060</v>
      </c>
      <c r="G974" s="1">
        <v>46063</v>
      </c>
      <c r="H974" t="s">
        <v>882</v>
      </c>
      <c r="I974" t="s">
        <v>5</v>
      </c>
      <c r="J974" t="s">
        <v>6</v>
      </c>
      <c r="K974" t="s">
        <v>4</v>
      </c>
      <c r="L974" t="s">
        <v>1990</v>
      </c>
      <c r="M974" t="s">
        <v>1990</v>
      </c>
      <c r="N974" s="2">
        <v>68971</v>
      </c>
      <c r="O974" t="s">
        <v>1720</v>
      </c>
      <c r="P974" t="s">
        <v>9</v>
      </c>
      <c r="Q974" t="s">
        <v>75</v>
      </c>
      <c r="R974" t="e">
        <f>VLOOKUP(Q974,#REF!,2,FALSE)</f>
        <v>#REF!</v>
      </c>
      <c r="S974">
        <v>1004</v>
      </c>
      <c r="T974" t="s">
        <v>2225</v>
      </c>
      <c r="U974" t="s">
        <v>1721</v>
      </c>
      <c r="V974" s="1">
        <v>46053</v>
      </c>
      <c r="W974" s="1">
        <v>46053</v>
      </c>
      <c r="X974" t="s">
        <v>77</v>
      </c>
      <c r="Y974" t="s">
        <v>646</v>
      </c>
      <c r="Z974" t="s">
        <v>6</v>
      </c>
      <c r="AA974" t="s">
        <v>646</v>
      </c>
      <c r="AB974" s="4">
        <f t="shared" si="78"/>
        <v>689710</v>
      </c>
      <c r="AC974" s="5" t="s">
        <v>2215</v>
      </c>
      <c r="AD974" s="4">
        <f t="shared" si="77"/>
        <v>57475.833333333336</v>
      </c>
      <c r="AE974" s="4">
        <f t="shared" si="79"/>
        <v>-11495.166666666664</v>
      </c>
    </row>
    <row r="975" spans="1:31" x14ac:dyDescent="0.25">
      <c r="A975" t="s">
        <v>0</v>
      </c>
      <c r="B975" s="3" t="s">
        <v>2219</v>
      </c>
      <c r="C975" t="s">
        <v>1718</v>
      </c>
      <c r="D975" t="s">
        <v>160</v>
      </c>
      <c r="E975" t="s">
        <v>1991</v>
      </c>
      <c r="F975" s="1">
        <v>46060</v>
      </c>
      <c r="G975" s="1">
        <v>46063</v>
      </c>
      <c r="H975" t="s">
        <v>882</v>
      </c>
      <c r="I975" t="s">
        <v>5</v>
      </c>
      <c r="J975" t="s">
        <v>6</v>
      </c>
      <c r="K975" t="s">
        <v>4</v>
      </c>
      <c r="L975" t="s">
        <v>1992</v>
      </c>
      <c r="M975" t="s">
        <v>1992</v>
      </c>
      <c r="N975" s="2">
        <v>22233</v>
      </c>
      <c r="O975" t="s">
        <v>1720</v>
      </c>
      <c r="P975" t="s">
        <v>9</v>
      </c>
      <c r="Q975" t="s">
        <v>75</v>
      </c>
      <c r="R975" t="e">
        <f>VLOOKUP(Q975,#REF!,2,FALSE)</f>
        <v>#REF!</v>
      </c>
      <c r="S975">
        <v>1004</v>
      </c>
      <c r="T975" t="s">
        <v>2225</v>
      </c>
      <c r="U975" t="s">
        <v>1721</v>
      </c>
      <c r="V975" s="1">
        <v>46053</v>
      </c>
      <c r="W975" s="1">
        <v>46053</v>
      </c>
      <c r="X975" t="s">
        <v>77</v>
      </c>
      <c r="Y975" t="s">
        <v>646</v>
      </c>
      <c r="Z975" t="s">
        <v>6</v>
      </c>
      <c r="AA975" t="s">
        <v>646</v>
      </c>
      <c r="AB975" s="4">
        <f t="shared" si="78"/>
        <v>222330</v>
      </c>
      <c r="AC975" s="5" t="s">
        <v>2215</v>
      </c>
      <c r="AD975" s="4">
        <f t="shared" si="77"/>
        <v>18527.5</v>
      </c>
      <c r="AE975" s="4">
        <f t="shared" si="79"/>
        <v>-3705.5</v>
      </c>
    </row>
    <row r="976" spans="1:31" x14ac:dyDescent="0.25">
      <c r="A976" t="s">
        <v>0</v>
      </c>
      <c r="B976" s="3" t="s">
        <v>2219</v>
      </c>
      <c r="C976" t="s">
        <v>1718</v>
      </c>
      <c r="D976" t="s">
        <v>160</v>
      </c>
      <c r="E976" t="s">
        <v>1993</v>
      </c>
      <c r="F976" s="1">
        <v>46060</v>
      </c>
      <c r="G976" s="1">
        <v>46063</v>
      </c>
      <c r="H976" t="s">
        <v>882</v>
      </c>
      <c r="I976" t="s">
        <v>5</v>
      </c>
      <c r="J976" t="s">
        <v>6</v>
      </c>
      <c r="K976" t="s">
        <v>4</v>
      </c>
      <c r="L976" t="s">
        <v>1994</v>
      </c>
      <c r="M976" t="s">
        <v>1994</v>
      </c>
      <c r="N976" s="2">
        <v>54288</v>
      </c>
      <c r="O976" t="s">
        <v>1720</v>
      </c>
      <c r="P976" t="s">
        <v>9</v>
      </c>
      <c r="Q976" t="s">
        <v>75</v>
      </c>
      <c r="R976" t="e">
        <f>VLOOKUP(Q976,#REF!,2,FALSE)</f>
        <v>#REF!</v>
      </c>
      <c r="S976">
        <v>1004</v>
      </c>
      <c r="T976" t="s">
        <v>2225</v>
      </c>
      <c r="U976" t="s">
        <v>1721</v>
      </c>
      <c r="V976" s="1">
        <v>46053</v>
      </c>
      <c r="W976" s="1">
        <v>46053</v>
      </c>
      <c r="X976" t="s">
        <v>77</v>
      </c>
      <c r="Y976" t="s">
        <v>646</v>
      </c>
      <c r="Z976" t="s">
        <v>6</v>
      </c>
      <c r="AA976" t="s">
        <v>646</v>
      </c>
      <c r="AB976" s="4">
        <f t="shared" si="78"/>
        <v>542880</v>
      </c>
      <c r="AC976" s="5" t="s">
        <v>2215</v>
      </c>
      <c r="AD976" s="4">
        <f t="shared" si="77"/>
        <v>45240</v>
      </c>
      <c r="AE976" s="4">
        <f t="shared" si="79"/>
        <v>-9048</v>
      </c>
    </row>
    <row r="977" spans="1:31" x14ac:dyDescent="0.25">
      <c r="A977" t="s">
        <v>0</v>
      </c>
      <c r="B977" s="3" t="s">
        <v>2219</v>
      </c>
      <c r="C977" t="s">
        <v>1718</v>
      </c>
      <c r="D977" t="s">
        <v>160</v>
      </c>
      <c r="E977" t="s">
        <v>1995</v>
      </c>
      <c r="F977" s="1">
        <v>46060</v>
      </c>
      <c r="G977" s="1">
        <v>46063</v>
      </c>
      <c r="H977" t="s">
        <v>882</v>
      </c>
      <c r="I977" t="s">
        <v>5</v>
      </c>
      <c r="J977" t="s">
        <v>6</v>
      </c>
      <c r="K977" t="s">
        <v>4</v>
      </c>
      <c r="L977" t="s">
        <v>1996</v>
      </c>
      <c r="M977" t="s">
        <v>1996</v>
      </c>
      <c r="N977" s="2">
        <v>12310</v>
      </c>
      <c r="O977" t="s">
        <v>1720</v>
      </c>
      <c r="P977" t="s">
        <v>9</v>
      </c>
      <c r="Q977" t="s">
        <v>75</v>
      </c>
      <c r="R977" t="e">
        <f>VLOOKUP(Q977,#REF!,2,FALSE)</f>
        <v>#REF!</v>
      </c>
      <c r="S977">
        <v>1004</v>
      </c>
      <c r="T977" t="s">
        <v>2225</v>
      </c>
      <c r="U977" t="s">
        <v>1721</v>
      </c>
      <c r="V977" s="1">
        <v>46053</v>
      </c>
      <c r="W977" s="1">
        <v>46053</v>
      </c>
      <c r="X977" t="s">
        <v>77</v>
      </c>
      <c r="Y977" t="s">
        <v>646</v>
      </c>
      <c r="Z977" t="s">
        <v>6</v>
      </c>
      <c r="AA977" t="s">
        <v>646</v>
      </c>
      <c r="AB977" s="4">
        <f t="shared" si="78"/>
        <v>123100</v>
      </c>
      <c r="AC977" s="5" t="s">
        <v>2215</v>
      </c>
      <c r="AD977" s="4">
        <f t="shared" si="77"/>
        <v>10258.333333333334</v>
      </c>
      <c r="AE977" s="4">
        <f t="shared" si="79"/>
        <v>-2051.6666666666661</v>
      </c>
    </row>
    <row r="978" spans="1:31" x14ac:dyDescent="0.25">
      <c r="A978" t="s">
        <v>0</v>
      </c>
      <c r="B978" s="3" t="s">
        <v>2219</v>
      </c>
      <c r="C978" t="s">
        <v>1718</v>
      </c>
      <c r="D978" t="s">
        <v>160</v>
      </c>
      <c r="E978" t="s">
        <v>1997</v>
      </c>
      <c r="F978" s="1">
        <v>46060</v>
      </c>
      <c r="G978" s="1">
        <v>46063</v>
      </c>
      <c r="H978" t="s">
        <v>882</v>
      </c>
      <c r="I978" t="s">
        <v>5</v>
      </c>
      <c r="J978" t="s">
        <v>6</v>
      </c>
      <c r="K978" t="s">
        <v>4</v>
      </c>
      <c r="L978" t="s">
        <v>1998</v>
      </c>
      <c r="M978" t="s">
        <v>1998</v>
      </c>
      <c r="N978" s="2">
        <v>6453</v>
      </c>
      <c r="O978" t="s">
        <v>1720</v>
      </c>
      <c r="P978" t="s">
        <v>9</v>
      </c>
      <c r="Q978" t="s">
        <v>75</v>
      </c>
      <c r="R978" t="e">
        <f>VLOOKUP(Q978,#REF!,2,FALSE)</f>
        <v>#REF!</v>
      </c>
      <c r="S978">
        <v>1004</v>
      </c>
      <c r="T978" t="s">
        <v>2225</v>
      </c>
      <c r="U978" t="s">
        <v>1721</v>
      </c>
      <c r="V978" s="1">
        <v>46053</v>
      </c>
      <c r="W978" s="1">
        <v>46053</v>
      </c>
      <c r="X978" t="s">
        <v>77</v>
      </c>
      <c r="Y978" t="s">
        <v>646</v>
      </c>
      <c r="Z978" t="s">
        <v>6</v>
      </c>
      <c r="AA978" t="s">
        <v>646</v>
      </c>
      <c r="AB978" s="4">
        <f t="shared" si="78"/>
        <v>64530</v>
      </c>
      <c r="AC978" s="5" t="s">
        <v>2215</v>
      </c>
      <c r="AD978" s="4">
        <f t="shared" ref="AD978:AD980" si="80">AB978/12</f>
        <v>5377.5</v>
      </c>
      <c r="AE978" s="4">
        <f t="shared" si="79"/>
        <v>-1075.5</v>
      </c>
    </row>
    <row r="979" spans="1:31" x14ac:dyDescent="0.25">
      <c r="A979" t="s">
        <v>0</v>
      </c>
      <c r="B979" s="3" t="s">
        <v>2219</v>
      </c>
      <c r="C979" t="s">
        <v>1718</v>
      </c>
      <c r="D979" t="s">
        <v>160</v>
      </c>
      <c r="E979" t="s">
        <v>1999</v>
      </c>
      <c r="F979" s="1">
        <v>46060</v>
      </c>
      <c r="G979" s="1">
        <v>46063</v>
      </c>
      <c r="H979" t="s">
        <v>882</v>
      </c>
      <c r="I979" t="s">
        <v>5</v>
      </c>
      <c r="J979" t="s">
        <v>6</v>
      </c>
      <c r="K979" t="s">
        <v>4</v>
      </c>
      <c r="L979" t="s">
        <v>2000</v>
      </c>
      <c r="M979" t="s">
        <v>2000</v>
      </c>
      <c r="N979" s="2">
        <v>232109</v>
      </c>
      <c r="O979" t="s">
        <v>1720</v>
      </c>
      <c r="P979" t="s">
        <v>9</v>
      </c>
      <c r="Q979" t="s">
        <v>75</v>
      </c>
      <c r="R979" t="e">
        <f>VLOOKUP(Q979,#REF!,2,FALSE)</f>
        <v>#REF!</v>
      </c>
      <c r="S979">
        <v>1004</v>
      </c>
      <c r="T979" t="s">
        <v>2225</v>
      </c>
      <c r="U979" t="s">
        <v>1721</v>
      </c>
      <c r="V979" s="1">
        <v>46053</v>
      </c>
      <c r="W979" s="1">
        <v>46053</v>
      </c>
      <c r="X979" t="s">
        <v>77</v>
      </c>
      <c r="Y979" t="s">
        <v>646</v>
      </c>
      <c r="Z979" t="s">
        <v>6</v>
      </c>
      <c r="AA979" t="s">
        <v>646</v>
      </c>
      <c r="AB979" s="4">
        <f t="shared" si="78"/>
        <v>2321090</v>
      </c>
      <c r="AC979" s="5" t="s">
        <v>2215</v>
      </c>
      <c r="AD979" s="4">
        <f t="shared" si="80"/>
        <v>193424.16666666666</v>
      </c>
      <c r="AE979" s="4">
        <f t="shared" si="79"/>
        <v>-38684.833333333343</v>
      </c>
    </row>
    <row r="980" spans="1:31" x14ac:dyDescent="0.25">
      <c r="A980" t="s">
        <v>0</v>
      </c>
      <c r="B980" s="3" t="s">
        <v>2219</v>
      </c>
      <c r="C980" t="s">
        <v>2001</v>
      </c>
      <c r="D980" t="s">
        <v>160</v>
      </c>
      <c r="E980" t="s">
        <v>1465</v>
      </c>
      <c r="F980" s="1">
        <v>46058</v>
      </c>
      <c r="G980" s="1">
        <v>46063</v>
      </c>
      <c r="H980" t="s">
        <v>2002</v>
      </c>
      <c r="I980" t="s">
        <v>5</v>
      </c>
      <c r="J980" t="s">
        <v>6</v>
      </c>
      <c r="K980" t="s">
        <v>4</v>
      </c>
      <c r="L980" t="s">
        <v>2003</v>
      </c>
      <c r="M980" t="s">
        <v>2003</v>
      </c>
      <c r="N980" s="2">
        <v>5474015</v>
      </c>
      <c r="O980" t="s">
        <v>2004</v>
      </c>
      <c r="P980" t="s">
        <v>9</v>
      </c>
      <c r="Q980" t="s">
        <v>75</v>
      </c>
      <c r="R980" t="e">
        <f>VLOOKUP(Q980,#REF!,2,FALSE)</f>
        <v>#REF!</v>
      </c>
      <c r="S980" t="e">
        <v>#N/A</v>
      </c>
      <c r="T980" t="e">
        <v>#N/A</v>
      </c>
      <c r="U980" t="s">
        <v>2005</v>
      </c>
      <c r="V980" s="1">
        <v>46058</v>
      </c>
      <c r="W980" s="1">
        <v>46058</v>
      </c>
      <c r="X980" t="s">
        <v>68</v>
      </c>
      <c r="Y980" t="s">
        <v>2006</v>
      </c>
      <c r="Z980" t="s">
        <v>6</v>
      </c>
      <c r="AA980" t="s">
        <v>2006</v>
      </c>
      <c r="AB980" s="4">
        <f t="shared" si="78"/>
        <v>54740150</v>
      </c>
      <c r="AC980" s="5" t="s">
        <v>2215</v>
      </c>
      <c r="AD980" s="4">
        <f t="shared" si="80"/>
        <v>4561679.166666667</v>
      </c>
      <c r="AE980" s="4">
        <f t="shared" si="79"/>
        <v>-912335.83333333302</v>
      </c>
    </row>
    <row r="981" spans="1:31" x14ac:dyDescent="0.25">
      <c r="A981" t="s">
        <v>0</v>
      </c>
      <c r="B981" s="3" t="s">
        <v>2219</v>
      </c>
      <c r="C981" t="s">
        <v>2001</v>
      </c>
      <c r="D981" t="s">
        <v>160</v>
      </c>
      <c r="E981" t="s">
        <v>1467</v>
      </c>
      <c r="F981" s="1">
        <v>46058</v>
      </c>
      <c r="G981" s="1">
        <v>46063</v>
      </c>
      <c r="H981" t="s">
        <v>2002</v>
      </c>
      <c r="I981" t="s">
        <v>5</v>
      </c>
      <c r="J981" t="s">
        <v>6</v>
      </c>
      <c r="K981" t="s">
        <v>4</v>
      </c>
      <c r="L981" t="s">
        <v>2007</v>
      </c>
      <c r="M981" t="s">
        <v>2007</v>
      </c>
      <c r="N981" s="2">
        <v>136101</v>
      </c>
      <c r="O981" t="s">
        <v>2004</v>
      </c>
      <c r="P981" t="s">
        <v>9</v>
      </c>
      <c r="Q981" t="s">
        <v>82</v>
      </c>
      <c r="R981" t="e">
        <f>VLOOKUP(Q981,#REF!,2,FALSE)</f>
        <v>#REF!</v>
      </c>
      <c r="S981" t="e">
        <v>#N/A</v>
      </c>
      <c r="T981" t="e">
        <v>#N/A</v>
      </c>
      <c r="U981" t="s">
        <v>2005</v>
      </c>
      <c r="V981" s="1">
        <v>46058</v>
      </c>
      <c r="W981" s="1">
        <v>46058</v>
      </c>
      <c r="X981" t="s">
        <v>68</v>
      </c>
      <c r="Y981" t="s">
        <v>2006</v>
      </c>
      <c r="Z981" t="s">
        <v>6</v>
      </c>
      <c r="AA981" t="s">
        <v>2006</v>
      </c>
      <c r="AB981" s="4">
        <f>L981/0.08</f>
        <v>1701262.5</v>
      </c>
      <c r="AC981" s="6">
        <v>0.1</v>
      </c>
      <c r="AD981" s="4">
        <f>AB981*AC981</f>
        <v>170126.25</v>
      </c>
      <c r="AE981" s="4">
        <f t="shared" si="79"/>
        <v>34025.25</v>
      </c>
    </row>
    <row r="982" spans="1:31" x14ac:dyDescent="0.25">
      <c r="A982" t="s">
        <v>0</v>
      </c>
      <c r="B982" s="3" t="s">
        <v>2219</v>
      </c>
      <c r="C982" t="s">
        <v>2002</v>
      </c>
      <c r="D982" t="s">
        <v>160</v>
      </c>
      <c r="E982" t="s">
        <v>1465</v>
      </c>
      <c r="F982" s="1">
        <v>46058</v>
      </c>
      <c r="G982" s="1">
        <v>46063</v>
      </c>
      <c r="H982" t="s">
        <v>2002</v>
      </c>
      <c r="I982" t="s">
        <v>66</v>
      </c>
      <c r="J982" t="s">
        <v>6</v>
      </c>
      <c r="K982" t="s">
        <v>4</v>
      </c>
      <c r="L982" t="s">
        <v>2003</v>
      </c>
      <c r="M982" t="s">
        <v>2003</v>
      </c>
      <c r="N982" s="2">
        <v>5474015</v>
      </c>
      <c r="O982" t="s">
        <v>2004</v>
      </c>
      <c r="P982" t="s">
        <v>9</v>
      </c>
      <c r="Q982" t="s">
        <v>75</v>
      </c>
      <c r="R982" t="e">
        <f>VLOOKUP(Q982,#REF!,2,FALSE)</f>
        <v>#REF!</v>
      </c>
      <c r="S982" t="e">
        <v>#N/A</v>
      </c>
      <c r="T982" t="e">
        <v>#N/A</v>
      </c>
      <c r="U982" t="s">
        <v>2008</v>
      </c>
      <c r="V982" s="1">
        <v>46058</v>
      </c>
      <c r="W982" s="1">
        <v>46058</v>
      </c>
      <c r="X982" t="s">
        <v>68</v>
      </c>
      <c r="Y982" t="s">
        <v>2006</v>
      </c>
      <c r="Z982" t="s">
        <v>6</v>
      </c>
      <c r="AA982" t="s">
        <v>2006</v>
      </c>
      <c r="AB982" s="4">
        <f>L982/0.1</f>
        <v>54740150</v>
      </c>
      <c r="AC982" s="5" t="s">
        <v>2215</v>
      </c>
      <c r="AD982" s="4">
        <f>AB982/12</f>
        <v>4561679.166666667</v>
      </c>
      <c r="AE982" s="4">
        <f t="shared" si="79"/>
        <v>-912335.83333333302</v>
      </c>
    </row>
    <row r="983" spans="1:31" x14ac:dyDescent="0.25">
      <c r="A983" t="s">
        <v>0</v>
      </c>
      <c r="B983" s="3" t="s">
        <v>2219</v>
      </c>
      <c r="C983" t="s">
        <v>2002</v>
      </c>
      <c r="D983" t="s">
        <v>160</v>
      </c>
      <c r="E983" t="s">
        <v>1467</v>
      </c>
      <c r="F983" s="1">
        <v>46058</v>
      </c>
      <c r="G983" s="1">
        <v>46063</v>
      </c>
      <c r="H983" t="s">
        <v>2002</v>
      </c>
      <c r="I983" t="s">
        <v>66</v>
      </c>
      <c r="J983" t="s">
        <v>6</v>
      </c>
      <c r="K983" t="s">
        <v>4</v>
      </c>
      <c r="L983" t="s">
        <v>2007</v>
      </c>
      <c r="M983" t="s">
        <v>2007</v>
      </c>
      <c r="N983" s="2">
        <v>136101</v>
      </c>
      <c r="O983" t="s">
        <v>2004</v>
      </c>
      <c r="P983" t="s">
        <v>9</v>
      </c>
      <c r="Q983" t="s">
        <v>82</v>
      </c>
      <c r="R983" t="e">
        <f>VLOOKUP(Q983,#REF!,2,FALSE)</f>
        <v>#REF!</v>
      </c>
      <c r="S983" t="e">
        <v>#N/A</v>
      </c>
      <c r="T983" t="e">
        <v>#N/A</v>
      </c>
      <c r="U983" t="s">
        <v>2008</v>
      </c>
      <c r="V983" s="1">
        <v>46058</v>
      </c>
      <c r="W983" s="1">
        <v>46058</v>
      </c>
      <c r="X983" t="s">
        <v>68</v>
      </c>
      <c r="Y983" t="s">
        <v>2006</v>
      </c>
      <c r="Z983" t="s">
        <v>6</v>
      </c>
      <c r="AA983" t="s">
        <v>2006</v>
      </c>
      <c r="AB983" s="4">
        <f>L983/0.08</f>
        <v>1701262.5</v>
      </c>
      <c r="AC983" s="6">
        <v>0.1</v>
      </c>
      <c r="AD983" s="4">
        <f>AB983*AC983</f>
        <v>170126.25</v>
      </c>
      <c r="AE983" s="4">
        <f t="shared" si="79"/>
        <v>34025.25</v>
      </c>
    </row>
    <row r="984" spans="1:31" x14ac:dyDescent="0.25">
      <c r="A984" t="s">
        <v>0</v>
      </c>
      <c r="B984" s="3" t="s">
        <v>2219</v>
      </c>
      <c r="C984" t="s">
        <v>2009</v>
      </c>
      <c r="D984" t="s">
        <v>160</v>
      </c>
      <c r="E984" t="s">
        <v>1465</v>
      </c>
      <c r="F984" s="1">
        <v>46060</v>
      </c>
      <c r="G984" s="1">
        <v>46063</v>
      </c>
      <c r="H984" t="s">
        <v>2010</v>
      </c>
      <c r="I984" t="s">
        <v>5</v>
      </c>
      <c r="J984" t="s">
        <v>6</v>
      </c>
      <c r="K984" t="s">
        <v>4</v>
      </c>
      <c r="L984" t="s">
        <v>2003</v>
      </c>
      <c r="M984" t="s">
        <v>2003</v>
      </c>
      <c r="N984" s="2">
        <v>5474015</v>
      </c>
      <c r="O984" t="s">
        <v>2004</v>
      </c>
      <c r="P984" t="s">
        <v>9</v>
      </c>
      <c r="Q984" t="s">
        <v>75</v>
      </c>
      <c r="R984" t="e">
        <f>VLOOKUP(Q984,#REF!,2,FALSE)</f>
        <v>#REF!</v>
      </c>
      <c r="S984">
        <v>1004</v>
      </c>
      <c r="T984" t="s">
        <v>2225</v>
      </c>
      <c r="U984" t="s">
        <v>2011</v>
      </c>
      <c r="V984" s="1">
        <v>46058</v>
      </c>
      <c r="W984" s="1">
        <v>46058</v>
      </c>
      <c r="X984" t="s">
        <v>68</v>
      </c>
      <c r="Y984" t="s">
        <v>2006</v>
      </c>
      <c r="Z984" t="s">
        <v>6</v>
      </c>
      <c r="AA984" t="s">
        <v>2006</v>
      </c>
      <c r="AB984" s="4">
        <f>L984/0.1</f>
        <v>54740150</v>
      </c>
      <c r="AC984" s="5" t="s">
        <v>2215</v>
      </c>
      <c r="AD984" s="4">
        <f>AB984/12</f>
        <v>4561679.166666667</v>
      </c>
      <c r="AE984" s="4">
        <f t="shared" si="79"/>
        <v>-912335.83333333302</v>
      </c>
    </row>
    <row r="985" spans="1:31" x14ac:dyDescent="0.25">
      <c r="A985" t="s">
        <v>0</v>
      </c>
      <c r="B985" s="3" t="s">
        <v>2219</v>
      </c>
      <c r="C985" t="s">
        <v>2009</v>
      </c>
      <c r="D985" t="s">
        <v>160</v>
      </c>
      <c r="E985" t="s">
        <v>1467</v>
      </c>
      <c r="F985" s="1">
        <v>46060</v>
      </c>
      <c r="G985" s="1">
        <v>46063</v>
      </c>
      <c r="H985" t="s">
        <v>2012</v>
      </c>
      <c r="I985" t="s">
        <v>5</v>
      </c>
      <c r="J985" t="s">
        <v>6</v>
      </c>
      <c r="K985" t="s">
        <v>4</v>
      </c>
      <c r="L985" t="s">
        <v>2007</v>
      </c>
      <c r="M985" t="s">
        <v>2007</v>
      </c>
      <c r="N985" s="2">
        <v>136101</v>
      </c>
      <c r="O985" t="s">
        <v>2004</v>
      </c>
      <c r="P985" t="s">
        <v>9</v>
      </c>
      <c r="Q985" t="s">
        <v>82</v>
      </c>
      <c r="R985" t="e">
        <f>VLOOKUP(Q985,#REF!,2,FALSE)</f>
        <v>#REF!</v>
      </c>
      <c r="S985">
        <v>1004</v>
      </c>
      <c r="T985" t="s">
        <v>2225</v>
      </c>
      <c r="U985" t="s">
        <v>2011</v>
      </c>
      <c r="V985" s="1">
        <v>46058</v>
      </c>
      <c r="W985" s="1">
        <v>46058</v>
      </c>
      <c r="X985" t="s">
        <v>68</v>
      </c>
      <c r="Y985" t="s">
        <v>2006</v>
      </c>
      <c r="Z985" t="s">
        <v>6</v>
      </c>
      <c r="AA985" t="s">
        <v>2006</v>
      </c>
      <c r="AB985" s="4">
        <f>L985/0.08</f>
        <v>1701262.5</v>
      </c>
      <c r="AC985" s="6">
        <v>0.1</v>
      </c>
      <c r="AD985" s="4">
        <f>AB985*AC985</f>
        <v>170126.25</v>
      </c>
      <c r="AE985" s="4">
        <f t="shared" si="79"/>
        <v>34025.25</v>
      </c>
    </row>
    <row r="986" spans="1:31" x14ac:dyDescent="0.25">
      <c r="A986" t="s">
        <v>0</v>
      </c>
      <c r="B986" s="3" t="s">
        <v>2219</v>
      </c>
      <c r="C986" t="s">
        <v>2009</v>
      </c>
      <c r="D986" t="s">
        <v>160</v>
      </c>
      <c r="E986" t="s">
        <v>1469</v>
      </c>
      <c r="F986" s="1">
        <v>46060</v>
      </c>
      <c r="G986" s="1">
        <v>46063</v>
      </c>
      <c r="H986" t="s">
        <v>2013</v>
      </c>
      <c r="I986" t="s">
        <v>5</v>
      </c>
      <c r="J986" t="s">
        <v>6</v>
      </c>
      <c r="K986" t="s">
        <v>4</v>
      </c>
      <c r="L986" t="s">
        <v>2014</v>
      </c>
      <c r="M986" t="s">
        <v>2014</v>
      </c>
      <c r="N986" s="2">
        <v>224405</v>
      </c>
      <c r="O986" t="s">
        <v>2004</v>
      </c>
      <c r="P986" t="s">
        <v>9</v>
      </c>
      <c r="Q986" t="s">
        <v>86</v>
      </c>
      <c r="R986" t="e">
        <f>VLOOKUP(Q986,#REF!,2,FALSE)</f>
        <v>#REF!</v>
      </c>
      <c r="S986">
        <v>1004</v>
      </c>
      <c r="T986" t="s">
        <v>2225</v>
      </c>
      <c r="U986" t="s">
        <v>2011</v>
      </c>
      <c r="V986" s="1">
        <v>46058</v>
      </c>
      <c r="W986" s="1">
        <v>46058</v>
      </c>
      <c r="X986" t="s">
        <v>68</v>
      </c>
      <c r="Y986" t="s">
        <v>2006</v>
      </c>
      <c r="Z986" t="s">
        <v>6</v>
      </c>
      <c r="AA986" t="s">
        <v>2006</v>
      </c>
      <c r="AB986" s="4">
        <f>L986/0.03</f>
        <v>7480166.666666667</v>
      </c>
      <c r="AC986" s="6">
        <v>0.04</v>
      </c>
      <c r="AD986" s="4">
        <f>AB986*AC986</f>
        <v>299206.66666666669</v>
      </c>
      <c r="AE986" s="4">
        <f t="shared" si="79"/>
        <v>74801.666666666686</v>
      </c>
    </row>
    <row r="987" spans="1:31" x14ac:dyDescent="0.25">
      <c r="A987" t="s">
        <v>0</v>
      </c>
      <c r="B987" s="3" t="s">
        <v>2219</v>
      </c>
      <c r="C987" t="s">
        <v>2015</v>
      </c>
      <c r="D987" t="s">
        <v>160</v>
      </c>
      <c r="E987" t="s">
        <v>65</v>
      </c>
      <c r="F987" s="1">
        <v>46081</v>
      </c>
      <c r="G987" s="1">
        <v>46081</v>
      </c>
      <c r="H987" t="s">
        <v>2016</v>
      </c>
      <c r="I987" t="s">
        <v>5</v>
      </c>
      <c r="J987" t="s">
        <v>6</v>
      </c>
      <c r="K987" t="s">
        <v>4</v>
      </c>
      <c r="L987" t="s">
        <v>2017</v>
      </c>
      <c r="M987" t="s">
        <v>2017</v>
      </c>
      <c r="N987" s="2">
        <v>59511</v>
      </c>
      <c r="O987" t="s">
        <v>2018</v>
      </c>
      <c r="P987" t="s">
        <v>9</v>
      </c>
      <c r="Q987" t="s">
        <v>75</v>
      </c>
      <c r="R987" t="e">
        <f>VLOOKUP(Q987,#REF!,2,FALSE)</f>
        <v>#REF!</v>
      </c>
      <c r="S987">
        <v>1004</v>
      </c>
      <c r="T987" t="s">
        <v>2225</v>
      </c>
      <c r="U987" t="s">
        <v>2019</v>
      </c>
      <c r="V987" s="1">
        <v>46081</v>
      </c>
      <c r="W987" s="1">
        <v>46081</v>
      </c>
      <c r="X987" t="s">
        <v>77</v>
      </c>
      <c r="Y987" t="s">
        <v>646</v>
      </c>
      <c r="Z987" t="s">
        <v>6</v>
      </c>
      <c r="AA987" t="s">
        <v>646</v>
      </c>
      <c r="AB987" s="4">
        <f t="shared" ref="AB987:AB1018" si="81">L987/0.1</f>
        <v>595110</v>
      </c>
      <c r="AC987" s="5" t="s">
        <v>2215</v>
      </c>
      <c r="AD987" s="4">
        <f t="shared" ref="AD987:AD1042" si="82">AB987/12</f>
        <v>49592.5</v>
      </c>
      <c r="AE987" s="4">
        <f t="shared" si="79"/>
        <v>-9918.5</v>
      </c>
    </row>
    <row r="988" spans="1:31" x14ac:dyDescent="0.25">
      <c r="A988" t="s">
        <v>0</v>
      </c>
      <c r="B988" s="3" t="s">
        <v>2219</v>
      </c>
      <c r="C988" t="s">
        <v>2015</v>
      </c>
      <c r="D988" t="s">
        <v>160</v>
      </c>
      <c r="E988" t="s">
        <v>188</v>
      </c>
      <c r="F988" s="1">
        <v>46081</v>
      </c>
      <c r="G988" s="1">
        <v>46081</v>
      </c>
      <c r="H988" t="s">
        <v>2016</v>
      </c>
      <c r="I988" t="s">
        <v>5</v>
      </c>
      <c r="J988" t="s">
        <v>6</v>
      </c>
      <c r="K988" t="s">
        <v>4</v>
      </c>
      <c r="L988" t="s">
        <v>2020</v>
      </c>
      <c r="M988" t="s">
        <v>2020</v>
      </c>
      <c r="N988" s="2">
        <v>29282</v>
      </c>
      <c r="O988" t="s">
        <v>2018</v>
      </c>
      <c r="P988" t="s">
        <v>9</v>
      </c>
      <c r="Q988" t="s">
        <v>75</v>
      </c>
      <c r="R988" t="e">
        <f>VLOOKUP(Q988,#REF!,2,FALSE)</f>
        <v>#REF!</v>
      </c>
      <c r="S988">
        <v>1004</v>
      </c>
      <c r="T988" t="s">
        <v>2225</v>
      </c>
      <c r="U988" t="s">
        <v>2019</v>
      </c>
      <c r="V988" s="1">
        <v>46081</v>
      </c>
      <c r="W988" s="1">
        <v>46081</v>
      </c>
      <c r="X988" t="s">
        <v>77</v>
      </c>
      <c r="Y988" t="s">
        <v>646</v>
      </c>
      <c r="Z988" t="s">
        <v>6</v>
      </c>
      <c r="AA988" t="s">
        <v>646</v>
      </c>
      <c r="AB988" s="4">
        <f t="shared" si="81"/>
        <v>292820</v>
      </c>
      <c r="AC988" s="5" t="s">
        <v>2215</v>
      </c>
      <c r="AD988" s="4">
        <f t="shared" si="82"/>
        <v>24401.666666666668</v>
      </c>
      <c r="AE988" s="4">
        <f t="shared" si="79"/>
        <v>-4880.3333333333321</v>
      </c>
    </row>
    <row r="989" spans="1:31" x14ac:dyDescent="0.25">
      <c r="A989" t="s">
        <v>0</v>
      </c>
      <c r="B989" s="3" t="s">
        <v>2219</v>
      </c>
      <c r="C989" t="s">
        <v>2015</v>
      </c>
      <c r="D989" t="s">
        <v>160</v>
      </c>
      <c r="E989" t="s">
        <v>12</v>
      </c>
      <c r="F989" s="1">
        <v>46081</v>
      </c>
      <c r="G989" s="1">
        <v>46081</v>
      </c>
      <c r="H989" t="s">
        <v>2016</v>
      </c>
      <c r="I989" t="s">
        <v>5</v>
      </c>
      <c r="J989" t="s">
        <v>6</v>
      </c>
      <c r="K989" t="s">
        <v>4</v>
      </c>
      <c r="L989" t="s">
        <v>2021</v>
      </c>
      <c r="M989" t="s">
        <v>2021</v>
      </c>
      <c r="N989" s="2">
        <v>12053</v>
      </c>
      <c r="O989" t="s">
        <v>2018</v>
      </c>
      <c r="P989" t="s">
        <v>9</v>
      </c>
      <c r="Q989" t="s">
        <v>75</v>
      </c>
      <c r="R989" t="e">
        <f>VLOOKUP(Q989,#REF!,2,FALSE)</f>
        <v>#REF!</v>
      </c>
      <c r="S989">
        <v>1004</v>
      </c>
      <c r="T989" t="s">
        <v>2225</v>
      </c>
      <c r="U989" t="s">
        <v>2019</v>
      </c>
      <c r="V989" s="1">
        <v>46081</v>
      </c>
      <c r="W989" s="1">
        <v>46081</v>
      </c>
      <c r="X989" t="s">
        <v>77</v>
      </c>
      <c r="Y989" t="s">
        <v>646</v>
      </c>
      <c r="Z989" t="s">
        <v>6</v>
      </c>
      <c r="AA989" t="s">
        <v>646</v>
      </c>
      <c r="AB989" s="4">
        <f t="shared" si="81"/>
        <v>120530</v>
      </c>
      <c r="AC989" s="5" t="s">
        <v>2215</v>
      </c>
      <c r="AD989" s="4">
        <f t="shared" si="82"/>
        <v>10044.166666666666</v>
      </c>
      <c r="AE989" s="4">
        <f t="shared" si="79"/>
        <v>-2008.8333333333339</v>
      </c>
    </row>
    <row r="990" spans="1:31" x14ac:dyDescent="0.25">
      <c r="A990" t="s">
        <v>0</v>
      </c>
      <c r="B990" s="3" t="s">
        <v>2219</v>
      </c>
      <c r="C990" t="s">
        <v>2015</v>
      </c>
      <c r="D990" t="s">
        <v>160</v>
      </c>
      <c r="E990" t="s">
        <v>3</v>
      </c>
      <c r="F990" s="1">
        <v>46081</v>
      </c>
      <c r="G990" s="1">
        <v>46081</v>
      </c>
      <c r="H990" t="s">
        <v>2016</v>
      </c>
      <c r="I990" t="s">
        <v>5</v>
      </c>
      <c r="J990" t="s">
        <v>6</v>
      </c>
      <c r="K990" t="s">
        <v>4</v>
      </c>
      <c r="L990" t="s">
        <v>2022</v>
      </c>
      <c r="M990" t="s">
        <v>2022</v>
      </c>
      <c r="N990" s="2">
        <v>374219</v>
      </c>
      <c r="O990" t="s">
        <v>2018</v>
      </c>
      <c r="P990" t="s">
        <v>9</v>
      </c>
      <c r="Q990" t="s">
        <v>75</v>
      </c>
      <c r="R990" t="e">
        <f>VLOOKUP(Q990,#REF!,2,FALSE)</f>
        <v>#REF!</v>
      </c>
      <c r="S990">
        <v>1004</v>
      </c>
      <c r="T990" t="s">
        <v>2225</v>
      </c>
      <c r="U990" t="s">
        <v>2019</v>
      </c>
      <c r="V990" s="1">
        <v>46081</v>
      </c>
      <c r="W990" s="1">
        <v>46081</v>
      </c>
      <c r="X990" t="s">
        <v>77</v>
      </c>
      <c r="Y990" t="s">
        <v>646</v>
      </c>
      <c r="Z990" t="s">
        <v>6</v>
      </c>
      <c r="AA990" t="s">
        <v>646</v>
      </c>
      <c r="AB990" s="4">
        <f t="shared" si="81"/>
        <v>3742190</v>
      </c>
      <c r="AC990" s="5" t="s">
        <v>2215</v>
      </c>
      <c r="AD990" s="4">
        <f t="shared" si="82"/>
        <v>311849.16666666669</v>
      </c>
      <c r="AE990" s="4">
        <f t="shared" si="79"/>
        <v>-62369.833333333314</v>
      </c>
    </row>
    <row r="991" spans="1:31" x14ac:dyDescent="0.25">
      <c r="A991" t="s">
        <v>0</v>
      </c>
      <c r="B991" s="3" t="s">
        <v>2219</v>
      </c>
      <c r="C991" t="s">
        <v>2015</v>
      </c>
      <c r="D991" t="s">
        <v>160</v>
      </c>
      <c r="E991" t="s">
        <v>22</v>
      </c>
      <c r="F991" s="1">
        <v>46081</v>
      </c>
      <c r="G991" s="1">
        <v>46081</v>
      </c>
      <c r="H991" t="s">
        <v>2016</v>
      </c>
      <c r="I991" t="s">
        <v>5</v>
      </c>
      <c r="J991" t="s">
        <v>6</v>
      </c>
      <c r="K991" t="s">
        <v>4</v>
      </c>
      <c r="L991" t="s">
        <v>2023</v>
      </c>
      <c r="M991" t="s">
        <v>2023</v>
      </c>
      <c r="N991" s="2">
        <v>9653</v>
      </c>
      <c r="O991" t="s">
        <v>2018</v>
      </c>
      <c r="P991" t="s">
        <v>9</v>
      </c>
      <c r="Q991" t="s">
        <v>75</v>
      </c>
      <c r="R991" t="e">
        <f>VLOOKUP(Q991,#REF!,2,FALSE)</f>
        <v>#REF!</v>
      </c>
      <c r="S991">
        <v>1004</v>
      </c>
      <c r="T991" t="s">
        <v>2225</v>
      </c>
      <c r="U991" t="s">
        <v>2019</v>
      </c>
      <c r="V991" s="1">
        <v>46081</v>
      </c>
      <c r="W991" s="1">
        <v>46081</v>
      </c>
      <c r="X991" t="s">
        <v>77</v>
      </c>
      <c r="Y991" t="s">
        <v>646</v>
      </c>
      <c r="Z991" t="s">
        <v>6</v>
      </c>
      <c r="AA991" t="s">
        <v>646</v>
      </c>
      <c r="AB991" s="4">
        <f t="shared" si="81"/>
        <v>96530</v>
      </c>
      <c r="AC991" s="5" t="s">
        <v>2215</v>
      </c>
      <c r="AD991" s="4">
        <f t="shared" si="82"/>
        <v>8044.166666666667</v>
      </c>
      <c r="AE991" s="4">
        <f t="shared" si="79"/>
        <v>-1608.833333333333</v>
      </c>
    </row>
    <row r="992" spans="1:31" x14ac:dyDescent="0.25">
      <c r="A992" t="s">
        <v>0</v>
      </c>
      <c r="B992" s="3" t="s">
        <v>2219</v>
      </c>
      <c r="C992" t="s">
        <v>2015</v>
      </c>
      <c r="D992" t="s">
        <v>160</v>
      </c>
      <c r="E992" t="s">
        <v>16</v>
      </c>
      <c r="F992" s="1">
        <v>46081</v>
      </c>
      <c r="G992" s="1">
        <v>46081</v>
      </c>
      <c r="H992" t="s">
        <v>2016</v>
      </c>
      <c r="I992" t="s">
        <v>5</v>
      </c>
      <c r="J992" t="s">
        <v>6</v>
      </c>
      <c r="K992" t="s">
        <v>4</v>
      </c>
      <c r="L992" t="s">
        <v>2024</v>
      </c>
      <c r="M992" t="s">
        <v>2024</v>
      </c>
      <c r="N992" s="2">
        <v>49035</v>
      </c>
      <c r="O992" t="s">
        <v>2018</v>
      </c>
      <c r="P992" t="s">
        <v>9</v>
      </c>
      <c r="Q992" t="s">
        <v>75</v>
      </c>
      <c r="R992" t="e">
        <f>VLOOKUP(Q992,#REF!,2,FALSE)</f>
        <v>#REF!</v>
      </c>
      <c r="S992">
        <v>1004</v>
      </c>
      <c r="T992" t="s">
        <v>2225</v>
      </c>
      <c r="U992" t="s">
        <v>2019</v>
      </c>
      <c r="V992" s="1">
        <v>46081</v>
      </c>
      <c r="W992" s="1">
        <v>46081</v>
      </c>
      <c r="X992" t="s">
        <v>77</v>
      </c>
      <c r="Y992" t="s">
        <v>646</v>
      </c>
      <c r="Z992" t="s">
        <v>6</v>
      </c>
      <c r="AA992" t="s">
        <v>646</v>
      </c>
      <c r="AB992" s="4">
        <f t="shared" si="81"/>
        <v>490350</v>
      </c>
      <c r="AC992" s="5" t="s">
        <v>2215</v>
      </c>
      <c r="AD992" s="4">
        <f t="shared" si="82"/>
        <v>40862.5</v>
      </c>
      <c r="AE992" s="4">
        <f t="shared" si="79"/>
        <v>-8172.5</v>
      </c>
    </row>
    <row r="993" spans="1:31" x14ac:dyDescent="0.25">
      <c r="A993" t="s">
        <v>0</v>
      </c>
      <c r="B993" s="3" t="s">
        <v>2219</v>
      </c>
      <c r="C993" t="s">
        <v>2015</v>
      </c>
      <c r="D993" t="s">
        <v>160</v>
      </c>
      <c r="E993" t="s">
        <v>43</v>
      </c>
      <c r="F993" s="1">
        <v>46081</v>
      </c>
      <c r="G993" s="1">
        <v>46081</v>
      </c>
      <c r="H993" t="s">
        <v>2016</v>
      </c>
      <c r="I993" t="s">
        <v>5</v>
      </c>
      <c r="J993" t="s">
        <v>6</v>
      </c>
      <c r="K993" t="s">
        <v>4</v>
      </c>
      <c r="L993" t="s">
        <v>2025</v>
      </c>
      <c r="M993" t="s">
        <v>2025</v>
      </c>
      <c r="N993" s="2">
        <v>54416</v>
      </c>
      <c r="O993" t="s">
        <v>2018</v>
      </c>
      <c r="P993" t="s">
        <v>9</v>
      </c>
      <c r="Q993" t="s">
        <v>75</v>
      </c>
      <c r="R993" t="e">
        <f>VLOOKUP(Q993,#REF!,2,FALSE)</f>
        <v>#REF!</v>
      </c>
      <c r="S993">
        <v>1004</v>
      </c>
      <c r="T993" t="s">
        <v>2225</v>
      </c>
      <c r="U993" t="s">
        <v>2019</v>
      </c>
      <c r="V993" s="1">
        <v>46081</v>
      </c>
      <c r="W993" s="1">
        <v>46081</v>
      </c>
      <c r="X993" t="s">
        <v>77</v>
      </c>
      <c r="Y993" t="s">
        <v>646</v>
      </c>
      <c r="Z993" t="s">
        <v>6</v>
      </c>
      <c r="AA993" t="s">
        <v>646</v>
      </c>
      <c r="AB993" s="4">
        <f t="shared" si="81"/>
        <v>544160</v>
      </c>
      <c r="AC993" s="5" t="s">
        <v>2215</v>
      </c>
      <c r="AD993" s="4">
        <f t="shared" si="82"/>
        <v>45346.666666666664</v>
      </c>
      <c r="AE993" s="4">
        <f t="shared" si="79"/>
        <v>-9069.3333333333358</v>
      </c>
    </row>
    <row r="994" spans="1:31" x14ac:dyDescent="0.25">
      <c r="A994" t="s">
        <v>0</v>
      </c>
      <c r="B994" s="3" t="s">
        <v>2219</v>
      </c>
      <c r="C994" t="s">
        <v>2015</v>
      </c>
      <c r="D994" t="s">
        <v>160</v>
      </c>
      <c r="E994" t="s">
        <v>104</v>
      </c>
      <c r="F994" s="1">
        <v>46081</v>
      </c>
      <c r="G994" s="1">
        <v>46081</v>
      </c>
      <c r="H994" t="s">
        <v>2016</v>
      </c>
      <c r="I994" t="s">
        <v>5</v>
      </c>
      <c r="J994" t="s">
        <v>6</v>
      </c>
      <c r="K994" t="s">
        <v>4</v>
      </c>
      <c r="L994" t="s">
        <v>2026</v>
      </c>
      <c r="M994" t="s">
        <v>2026</v>
      </c>
      <c r="N994" s="2">
        <v>79605</v>
      </c>
      <c r="O994" t="s">
        <v>2018</v>
      </c>
      <c r="P994" t="s">
        <v>9</v>
      </c>
      <c r="Q994" t="s">
        <v>75</v>
      </c>
      <c r="R994" t="e">
        <f>VLOOKUP(Q994,#REF!,2,FALSE)</f>
        <v>#REF!</v>
      </c>
      <c r="S994">
        <v>1004</v>
      </c>
      <c r="T994" t="s">
        <v>2225</v>
      </c>
      <c r="U994" t="s">
        <v>2019</v>
      </c>
      <c r="V994" s="1">
        <v>46081</v>
      </c>
      <c r="W994" s="1">
        <v>46081</v>
      </c>
      <c r="X994" t="s">
        <v>77</v>
      </c>
      <c r="Y994" t="s">
        <v>646</v>
      </c>
      <c r="Z994" t="s">
        <v>6</v>
      </c>
      <c r="AA994" t="s">
        <v>646</v>
      </c>
      <c r="AB994" s="4">
        <f t="shared" si="81"/>
        <v>796050</v>
      </c>
      <c r="AC994" s="5" t="s">
        <v>2215</v>
      </c>
      <c r="AD994" s="4">
        <f t="shared" si="82"/>
        <v>66337.5</v>
      </c>
      <c r="AE994" s="4">
        <f t="shared" si="79"/>
        <v>-13267.5</v>
      </c>
    </row>
    <row r="995" spans="1:31" x14ac:dyDescent="0.25">
      <c r="A995" t="s">
        <v>0</v>
      </c>
      <c r="B995" s="3" t="s">
        <v>2219</v>
      </c>
      <c r="C995" t="s">
        <v>2015</v>
      </c>
      <c r="D995" t="s">
        <v>160</v>
      </c>
      <c r="E995" t="s">
        <v>109</v>
      </c>
      <c r="F995" s="1">
        <v>46081</v>
      </c>
      <c r="G995" s="1">
        <v>46081</v>
      </c>
      <c r="H995" t="s">
        <v>2016</v>
      </c>
      <c r="I995" t="s">
        <v>5</v>
      </c>
      <c r="J995" t="s">
        <v>6</v>
      </c>
      <c r="K995" t="s">
        <v>4</v>
      </c>
      <c r="L995" t="s">
        <v>2027</v>
      </c>
      <c r="M995" t="s">
        <v>2027</v>
      </c>
      <c r="N995" s="2">
        <v>12953</v>
      </c>
      <c r="O995" t="s">
        <v>2018</v>
      </c>
      <c r="P995" t="s">
        <v>9</v>
      </c>
      <c r="Q995" t="s">
        <v>75</v>
      </c>
      <c r="R995" t="e">
        <f>VLOOKUP(Q995,#REF!,2,FALSE)</f>
        <v>#REF!</v>
      </c>
      <c r="S995">
        <v>1004</v>
      </c>
      <c r="T995" t="s">
        <v>2225</v>
      </c>
      <c r="U995" t="s">
        <v>2019</v>
      </c>
      <c r="V995" s="1">
        <v>46081</v>
      </c>
      <c r="W995" s="1">
        <v>46081</v>
      </c>
      <c r="X995" t="s">
        <v>77</v>
      </c>
      <c r="Y995" t="s">
        <v>646</v>
      </c>
      <c r="Z995" t="s">
        <v>6</v>
      </c>
      <c r="AA995" t="s">
        <v>646</v>
      </c>
      <c r="AB995" s="4">
        <f t="shared" si="81"/>
        <v>129530</v>
      </c>
      <c r="AC995" s="5" t="s">
        <v>2215</v>
      </c>
      <c r="AD995" s="4">
        <f t="shared" si="82"/>
        <v>10794.166666666666</v>
      </c>
      <c r="AE995" s="4">
        <f t="shared" si="79"/>
        <v>-2158.8333333333339</v>
      </c>
    </row>
    <row r="996" spans="1:31" x14ac:dyDescent="0.25">
      <c r="A996" t="s">
        <v>0</v>
      </c>
      <c r="B996" s="3" t="s">
        <v>2219</v>
      </c>
      <c r="C996" t="s">
        <v>2015</v>
      </c>
      <c r="D996" t="s">
        <v>160</v>
      </c>
      <c r="E996" t="s">
        <v>203</v>
      </c>
      <c r="F996" s="1">
        <v>46081</v>
      </c>
      <c r="G996" s="1">
        <v>46081</v>
      </c>
      <c r="H996" t="s">
        <v>2016</v>
      </c>
      <c r="I996" t="s">
        <v>5</v>
      </c>
      <c r="J996" t="s">
        <v>6</v>
      </c>
      <c r="K996" t="s">
        <v>4</v>
      </c>
      <c r="L996" t="s">
        <v>2028</v>
      </c>
      <c r="M996" t="s">
        <v>2028</v>
      </c>
      <c r="N996" s="2">
        <v>6027</v>
      </c>
      <c r="O996" t="s">
        <v>2018</v>
      </c>
      <c r="P996" t="s">
        <v>9</v>
      </c>
      <c r="Q996" t="s">
        <v>75</v>
      </c>
      <c r="R996" t="e">
        <f>VLOOKUP(Q996,#REF!,2,FALSE)</f>
        <v>#REF!</v>
      </c>
      <c r="S996">
        <v>1004</v>
      </c>
      <c r="T996" t="s">
        <v>2225</v>
      </c>
      <c r="U996" t="s">
        <v>2019</v>
      </c>
      <c r="V996" s="1">
        <v>46081</v>
      </c>
      <c r="W996" s="1">
        <v>46081</v>
      </c>
      <c r="X996" t="s">
        <v>77</v>
      </c>
      <c r="Y996" t="s">
        <v>646</v>
      </c>
      <c r="Z996" t="s">
        <v>6</v>
      </c>
      <c r="AA996" t="s">
        <v>646</v>
      </c>
      <c r="AB996" s="4">
        <f t="shared" si="81"/>
        <v>60270</v>
      </c>
      <c r="AC996" s="5" t="s">
        <v>2215</v>
      </c>
      <c r="AD996" s="4">
        <f t="shared" si="82"/>
        <v>5022.5</v>
      </c>
      <c r="AE996" s="4">
        <f t="shared" si="79"/>
        <v>-1004.5</v>
      </c>
    </row>
    <row r="997" spans="1:31" x14ac:dyDescent="0.25">
      <c r="A997" t="s">
        <v>0</v>
      </c>
      <c r="B997" s="3" t="s">
        <v>2219</v>
      </c>
      <c r="C997" t="s">
        <v>2015</v>
      </c>
      <c r="D997" t="s">
        <v>160</v>
      </c>
      <c r="E997" t="s">
        <v>208</v>
      </c>
      <c r="F997" s="1">
        <v>46081</v>
      </c>
      <c r="G997" s="1">
        <v>46081</v>
      </c>
      <c r="H997" t="s">
        <v>2016</v>
      </c>
      <c r="I997" t="s">
        <v>5</v>
      </c>
      <c r="J997" t="s">
        <v>6</v>
      </c>
      <c r="K997" t="s">
        <v>4</v>
      </c>
      <c r="L997" t="s">
        <v>1405</v>
      </c>
      <c r="M997" t="s">
        <v>1405</v>
      </c>
      <c r="N997" s="2">
        <v>13257</v>
      </c>
      <c r="O997" t="s">
        <v>2018</v>
      </c>
      <c r="P997" t="s">
        <v>9</v>
      </c>
      <c r="Q997" t="s">
        <v>75</v>
      </c>
      <c r="R997" t="e">
        <f>VLOOKUP(Q997,#REF!,2,FALSE)</f>
        <v>#REF!</v>
      </c>
      <c r="S997">
        <v>1004</v>
      </c>
      <c r="T997" t="s">
        <v>2225</v>
      </c>
      <c r="U997" t="s">
        <v>2019</v>
      </c>
      <c r="V997" s="1">
        <v>46081</v>
      </c>
      <c r="W997" s="1">
        <v>46081</v>
      </c>
      <c r="X997" t="s">
        <v>77</v>
      </c>
      <c r="Y997" t="s">
        <v>646</v>
      </c>
      <c r="Z997" t="s">
        <v>6</v>
      </c>
      <c r="AA997" t="s">
        <v>646</v>
      </c>
      <c r="AB997" s="4">
        <f t="shared" si="81"/>
        <v>132570</v>
      </c>
      <c r="AC997" s="5" t="s">
        <v>2215</v>
      </c>
      <c r="AD997" s="4">
        <f t="shared" si="82"/>
        <v>11047.5</v>
      </c>
      <c r="AE997" s="4">
        <f t="shared" si="79"/>
        <v>-2209.5</v>
      </c>
    </row>
    <row r="998" spans="1:31" x14ac:dyDescent="0.25">
      <c r="A998" t="s">
        <v>0</v>
      </c>
      <c r="B998" s="3" t="s">
        <v>2219</v>
      </c>
      <c r="C998" t="s">
        <v>2015</v>
      </c>
      <c r="D998" t="s">
        <v>160</v>
      </c>
      <c r="E998" t="s">
        <v>67</v>
      </c>
      <c r="F998" s="1">
        <v>46081</v>
      </c>
      <c r="G998" s="1">
        <v>46081</v>
      </c>
      <c r="H998" t="s">
        <v>2016</v>
      </c>
      <c r="I998" t="s">
        <v>5</v>
      </c>
      <c r="J998" t="s">
        <v>6</v>
      </c>
      <c r="K998" t="s">
        <v>4</v>
      </c>
      <c r="L998" t="s">
        <v>2029</v>
      </c>
      <c r="M998" t="s">
        <v>2029</v>
      </c>
      <c r="N998" s="2">
        <v>17908</v>
      </c>
      <c r="O998" t="s">
        <v>2018</v>
      </c>
      <c r="P998" t="s">
        <v>9</v>
      </c>
      <c r="Q998" t="s">
        <v>75</v>
      </c>
      <c r="R998" t="e">
        <f>VLOOKUP(Q998,#REF!,2,FALSE)</f>
        <v>#REF!</v>
      </c>
      <c r="S998">
        <v>1004</v>
      </c>
      <c r="T998" t="s">
        <v>2225</v>
      </c>
      <c r="U998" t="s">
        <v>2019</v>
      </c>
      <c r="V998" s="1">
        <v>46081</v>
      </c>
      <c r="W998" s="1">
        <v>46081</v>
      </c>
      <c r="X998" t="s">
        <v>77</v>
      </c>
      <c r="Y998" t="s">
        <v>646</v>
      </c>
      <c r="Z998" t="s">
        <v>6</v>
      </c>
      <c r="AA998" t="s">
        <v>646</v>
      </c>
      <c r="AB998" s="4">
        <f t="shared" si="81"/>
        <v>179080</v>
      </c>
      <c r="AC998" s="5" t="s">
        <v>2215</v>
      </c>
      <c r="AD998" s="4">
        <f t="shared" si="82"/>
        <v>14923.333333333334</v>
      </c>
      <c r="AE998" s="4">
        <f t="shared" si="79"/>
        <v>-2984.6666666666661</v>
      </c>
    </row>
    <row r="999" spans="1:31" x14ac:dyDescent="0.25">
      <c r="A999" t="s">
        <v>0</v>
      </c>
      <c r="B999" s="3" t="s">
        <v>2219</v>
      </c>
      <c r="C999" t="s">
        <v>2015</v>
      </c>
      <c r="D999" t="s">
        <v>160</v>
      </c>
      <c r="E999" t="s">
        <v>227</v>
      </c>
      <c r="F999" s="1">
        <v>46081</v>
      </c>
      <c r="G999" s="1">
        <v>46081</v>
      </c>
      <c r="H999" t="s">
        <v>2016</v>
      </c>
      <c r="I999" t="s">
        <v>5</v>
      </c>
      <c r="J999" t="s">
        <v>6</v>
      </c>
      <c r="K999" t="s">
        <v>4</v>
      </c>
      <c r="L999" t="s">
        <v>2030</v>
      </c>
      <c r="M999" t="s">
        <v>2030</v>
      </c>
      <c r="N999" s="2">
        <v>9909</v>
      </c>
      <c r="O999" t="s">
        <v>2018</v>
      </c>
      <c r="P999" t="s">
        <v>9</v>
      </c>
      <c r="Q999" t="s">
        <v>75</v>
      </c>
      <c r="R999" t="e">
        <f>VLOOKUP(Q999,#REF!,2,FALSE)</f>
        <v>#REF!</v>
      </c>
      <c r="S999">
        <v>1004</v>
      </c>
      <c r="T999" t="s">
        <v>2225</v>
      </c>
      <c r="U999" t="s">
        <v>2019</v>
      </c>
      <c r="V999" s="1">
        <v>46081</v>
      </c>
      <c r="W999" s="1">
        <v>46081</v>
      </c>
      <c r="X999" t="s">
        <v>77</v>
      </c>
      <c r="Y999" t="s">
        <v>646</v>
      </c>
      <c r="Z999" t="s">
        <v>6</v>
      </c>
      <c r="AA999" t="s">
        <v>646</v>
      </c>
      <c r="AB999" s="4">
        <f t="shared" si="81"/>
        <v>99090</v>
      </c>
      <c r="AC999" s="5" t="s">
        <v>2215</v>
      </c>
      <c r="AD999" s="4">
        <f t="shared" si="82"/>
        <v>8257.5</v>
      </c>
      <c r="AE999" s="4">
        <f t="shared" si="79"/>
        <v>-1651.5</v>
      </c>
    </row>
    <row r="1000" spans="1:31" x14ac:dyDescent="0.25">
      <c r="A1000" t="s">
        <v>0</v>
      </c>
      <c r="B1000" s="3" t="s">
        <v>2219</v>
      </c>
      <c r="C1000" t="s">
        <v>2015</v>
      </c>
      <c r="D1000" t="s">
        <v>160</v>
      </c>
      <c r="E1000" t="s">
        <v>143</v>
      </c>
      <c r="F1000" s="1">
        <v>46081</v>
      </c>
      <c r="G1000" s="1">
        <v>46081</v>
      </c>
      <c r="H1000" t="s">
        <v>2016</v>
      </c>
      <c r="I1000" t="s">
        <v>5</v>
      </c>
      <c r="J1000" t="s">
        <v>6</v>
      </c>
      <c r="K1000" t="s">
        <v>4</v>
      </c>
      <c r="L1000" t="s">
        <v>2031</v>
      </c>
      <c r="M1000" t="s">
        <v>2031</v>
      </c>
      <c r="N1000" s="2">
        <v>10536</v>
      </c>
      <c r="O1000" t="s">
        <v>2018</v>
      </c>
      <c r="P1000" t="s">
        <v>9</v>
      </c>
      <c r="Q1000" t="s">
        <v>75</v>
      </c>
      <c r="R1000" t="e">
        <f>VLOOKUP(Q1000,#REF!,2,FALSE)</f>
        <v>#REF!</v>
      </c>
      <c r="S1000">
        <v>1004</v>
      </c>
      <c r="T1000" t="s">
        <v>2225</v>
      </c>
      <c r="U1000" t="s">
        <v>2019</v>
      </c>
      <c r="V1000" s="1">
        <v>46081</v>
      </c>
      <c r="W1000" s="1">
        <v>46081</v>
      </c>
      <c r="X1000" t="s">
        <v>77</v>
      </c>
      <c r="Y1000" t="s">
        <v>646</v>
      </c>
      <c r="Z1000" t="s">
        <v>6</v>
      </c>
      <c r="AA1000" t="s">
        <v>646</v>
      </c>
      <c r="AB1000" s="4">
        <f t="shared" si="81"/>
        <v>105360</v>
      </c>
      <c r="AC1000" s="5" t="s">
        <v>2215</v>
      </c>
      <c r="AD1000" s="4">
        <f t="shared" si="82"/>
        <v>8780</v>
      </c>
      <c r="AE1000" s="4">
        <f t="shared" si="79"/>
        <v>-1756</v>
      </c>
    </row>
    <row r="1001" spans="1:31" x14ac:dyDescent="0.25">
      <c r="A1001" t="s">
        <v>0</v>
      </c>
      <c r="B1001" s="3" t="s">
        <v>2219</v>
      </c>
      <c r="C1001" t="s">
        <v>2015</v>
      </c>
      <c r="D1001" t="s">
        <v>160</v>
      </c>
      <c r="E1001" t="s">
        <v>147</v>
      </c>
      <c r="F1001" s="1">
        <v>46081</v>
      </c>
      <c r="G1001" s="1">
        <v>46081</v>
      </c>
      <c r="H1001" t="s">
        <v>2016</v>
      </c>
      <c r="I1001" t="s">
        <v>5</v>
      </c>
      <c r="J1001" t="s">
        <v>6</v>
      </c>
      <c r="K1001" t="s">
        <v>4</v>
      </c>
      <c r="L1001" t="s">
        <v>2032</v>
      </c>
      <c r="M1001" t="s">
        <v>2032</v>
      </c>
      <c r="N1001" s="2">
        <v>274582</v>
      </c>
      <c r="O1001" t="s">
        <v>2018</v>
      </c>
      <c r="P1001" t="s">
        <v>9</v>
      </c>
      <c r="Q1001" t="s">
        <v>75</v>
      </c>
      <c r="R1001" t="e">
        <f>VLOOKUP(Q1001,#REF!,2,FALSE)</f>
        <v>#REF!</v>
      </c>
      <c r="S1001">
        <v>1004</v>
      </c>
      <c r="T1001" t="s">
        <v>2225</v>
      </c>
      <c r="U1001" t="s">
        <v>2019</v>
      </c>
      <c r="V1001" s="1">
        <v>46081</v>
      </c>
      <c r="W1001" s="1">
        <v>46081</v>
      </c>
      <c r="X1001" t="s">
        <v>77</v>
      </c>
      <c r="Y1001" t="s">
        <v>646</v>
      </c>
      <c r="Z1001" t="s">
        <v>6</v>
      </c>
      <c r="AA1001" t="s">
        <v>646</v>
      </c>
      <c r="AB1001" s="4">
        <f t="shared" si="81"/>
        <v>2745820</v>
      </c>
      <c r="AC1001" s="5" t="s">
        <v>2215</v>
      </c>
      <c r="AD1001" s="4">
        <f t="shared" si="82"/>
        <v>228818.33333333334</v>
      </c>
      <c r="AE1001" s="4">
        <f t="shared" si="79"/>
        <v>-45763.666666666657</v>
      </c>
    </row>
    <row r="1002" spans="1:31" x14ac:dyDescent="0.25">
      <c r="A1002" t="s">
        <v>0</v>
      </c>
      <c r="B1002" s="3" t="s">
        <v>2219</v>
      </c>
      <c r="C1002" t="s">
        <v>2015</v>
      </c>
      <c r="D1002" t="s">
        <v>160</v>
      </c>
      <c r="E1002" t="s">
        <v>149</v>
      </c>
      <c r="F1002" s="1">
        <v>46081</v>
      </c>
      <c r="G1002" s="1">
        <v>46081</v>
      </c>
      <c r="H1002" t="s">
        <v>2016</v>
      </c>
      <c r="I1002" t="s">
        <v>5</v>
      </c>
      <c r="J1002" t="s">
        <v>6</v>
      </c>
      <c r="K1002" t="s">
        <v>4</v>
      </c>
      <c r="L1002" t="s">
        <v>2033</v>
      </c>
      <c r="M1002" t="s">
        <v>2033</v>
      </c>
      <c r="N1002" s="2">
        <v>38851</v>
      </c>
      <c r="O1002" t="s">
        <v>2018</v>
      </c>
      <c r="P1002" t="s">
        <v>9</v>
      </c>
      <c r="Q1002" t="s">
        <v>75</v>
      </c>
      <c r="R1002" t="e">
        <f>VLOOKUP(Q1002,#REF!,2,FALSE)</f>
        <v>#REF!</v>
      </c>
      <c r="S1002">
        <v>1004</v>
      </c>
      <c r="T1002" t="s">
        <v>2225</v>
      </c>
      <c r="U1002" t="s">
        <v>2019</v>
      </c>
      <c r="V1002" s="1">
        <v>46081</v>
      </c>
      <c r="W1002" s="1">
        <v>46081</v>
      </c>
      <c r="X1002" t="s">
        <v>77</v>
      </c>
      <c r="Y1002" t="s">
        <v>646</v>
      </c>
      <c r="Z1002" t="s">
        <v>6</v>
      </c>
      <c r="AA1002" t="s">
        <v>646</v>
      </c>
      <c r="AB1002" s="4">
        <f t="shared" si="81"/>
        <v>388510</v>
      </c>
      <c r="AC1002" s="5" t="s">
        <v>2215</v>
      </c>
      <c r="AD1002" s="4">
        <f t="shared" si="82"/>
        <v>32375.833333333332</v>
      </c>
      <c r="AE1002" s="4">
        <f t="shared" si="79"/>
        <v>-6475.1666666666679</v>
      </c>
    </row>
    <row r="1003" spans="1:31" x14ac:dyDescent="0.25">
      <c r="A1003" t="s">
        <v>0</v>
      </c>
      <c r="B1003" s="3" t="s">
        <v>2219</v>
      </c>
      <c r="C1003" t="s">
        <v>2015</v>
      </c>
      <c r="D1003" t="s">
        <v>160</v>
      </c>
      <c r="E1003" t="s">
        <v>2034</v>
      </c>
      <c r="F1003" s="1">
        <v>46081</v>
      </c>
      <c r="G1003" s="1">
        <v>46081</v>
      </c>
      <c r="H1003" t="s">
        <v>2016</v>
      </c>
      <c r="I1003" t="s">
        <v>5</v>
      </c>
      <c r="J1003" t="s">
        <v>6</v>
      </c>
      <c r="K1003" t="s">
        <v>4</v>
      </c>
      <c r="L1003" t="s">
        <v>2035</v>
      </c>
      <c r="M1003" t="s">
        <v>2035</v>
      </c>
      <c r="N1003" s="2">
        <v>192357</v>
      </c>
      <c r="O1003" t="s">
        <v>2018</v>
      </c>
      <c r="P1003" t="s">
        <v>9</v>
      </c>
      <c r="Q1003" t="s">
        <v>75</v>
      </c>
      <c r="R1003" t="e">
        <f>VLOOKUP(Q1003,#REF!,2,FALSE)</f>
        <v>#REF!</v>
      </c>
      <c r="S1003">
        <v>1004</v>
      </c>
      <c r="T1003" t="s">
        <v>2225</v>
      </c>
      <c r="U1003" t="s">
        <v>2019</v>
      </c>
      <c r="V1003" s="1">
        <v>46081</v>
      </c>
      <c r="W1003" s="1">
        <v>46081</v>
      </c>
      <c r="X1003" t="s">
        <v>77</v>
      </c>
      <c r="Y1003" t="s">
        <v>646</v>
      </c>
      <c r="Z1003" t="s">
        <v>6</v>
      </c>
      <c r="AA1003" t="s">
        <v>646</v>
      </c>
      <c r="AB1003" s="4">
        <f t="shared" si="81"/>
        <v>1923570</v>
      </c>
      <c r="AC1003" s="5" t="s">
        <v>2215</v>
      </c>
      <c r="AD1003" s="4">
        <f t="shared" si="82"/>
        <v>160297.5</v>
      </c>
      <c r="AE1003" s="4">
        <f t="shared" si="79"/>
        <v>-32059.5</v>
      </c>
    </row>
    <row r="1004" spans="1:31" x14ac:dyDescent="0.25">
      <c r="A1004" t="s">
        <v>0</v>
      </c>
      <c r="B1004" s="3" t="s">
        <v>2219</v>
      </c>
      <c r="C1004" t="s">
        <v>2015</v>
      </c>
      <c r="D1004" t="s">
        <v>160</v>
      </c>
      <c r="E1004" t="s">
        <v>413</v>
      </c>
      <c r="F1004" s="1">
        <v>46081</v>
      </c>
      <c r="G1004" s="1">
        <v>46081</v>
      </c>
      <c r="H1004" t="s">
        <v>2016</v>
      </c>
      <c r="I1004" t="s">
        <v>5</v>
      </c>
      <c r="J1004" t="s">
        <v>6</v>
      </c>
      <c r="K1004" t="s">
        <v>4</v>
      </c>
      <c r="L1004" t="s">
        <v>2036</v>
      </c>
      <c r="M1004" t="s">
        <v>2036</v>
      </c>
      <c r="N1004" s="2">
        <v>314445</v>
      </c>
      <c r="O1004" t="s">
        <v>2018</v>
      </c>
      <c r="P1004" t="s">
        <v>9</v>
      </c>
      <c r="Q1004" t="s">
        <v>75</v>
      </c>
      <c r="R1004" t="e">
        <f>VLOOKUP(Q1004,#REF!,2,FALSE)</f>
        <v>#REF!</v>
      </c>
      <c r="S1004">
        <v>1004</v>
      </c>
      <c r="T1004" t="s">
        <v>2225</v>
      </c>
      <c r="U1004" t="s">
        <v>2019</v>
      </c>
      <c r="V1004" s="1">
        <v>46081</v>
      </c>
      <c r="W1004" s="1">
        <v>46081</v>
      </c>
      <c r="X1004" t="s">
        <v>77</v>
      </c>
      <c r="Y1004" t="s">
        <v>646</v>
      </c>
      <c r="Z1004" t="s">
        <v>6</v>
      </c>
      <c r="AA1004" t="s">
        <v>646</v>
      </c>
      <c r="AB1004" s="4">
        <f t="shared" si="81"/>
        <v>3144450</v>
      </c>
      <c r="AC1004" s="5" t="s">
        <v>2215</v>
      </c>
      <c r="AD1004" s="4">
        <f t="shared" si="82"/>
        <v>262037.5</v>
      </c>
      <c r="AE1004" s="4">
        <f t="shared" si="79"/>
        <v>-52407.5</v>
      </c>
    </row>
    <row r="1005" spans="1:31" x14ac:dyDescent="0.25">
      <c r="A1005" t="s">
        <v>0</v>
      </c>
      <c r="B1005" s="3" t="s">
        <v>2219</v>
      </c>
      <c r="C1005" t="s">
        <v>2015</v>
      </c>
      <c r="D1005" t="s">
        <v>160</v>
      </c>
      <c r="E1005" t="s">
        <v>418</v>
      </c>
      <c r="F1005" s="1">
        <v>46081</v>
      </c>
      <c r="G1005" s="1">
        <v>46081</v>
      </c>
      <c r="H1005" t="s">
        <v>2016</v>
      </c>
      <c r="I1005" t="s">
        <v>5</v>
      </c>
      <c r="J1005" t="s">
        <v>6</v>
      </c>
      <c r="K1005" t="s">
        <v>4</v>
      </c>
      <c r="L1005" t="s">
        <v>2037</v>
      </c>
      <c r="M1005" t="s">
        <v>2037</v>
      </c>
      <c r="N1005" s="2">
        <v>512212</v>
      </c>
      <c r="O1005" t="s">
        <v>2018</v>
      </c>
      <c r="P1005" t="s">
        <v>9</v>
      </c>
      <c r="Q1005" t="s">
        <v>75</v>
      </c>
      <c r="R1005" t="e">
        <f>VLOOKUP(Q1005,#REF!,2,FALSE)</f>
        <v>#REF!</v>
      </c>
      <c r="S1005">
        <v>1004</v>
      </c>
      <c r="T1005" t="s">
        <v>2225</v>
      </c>
      <c r="U1005" t="s">
        <v>2019</v>
      </c>
      <c r="V1005" s="1">
        <v>46081</v>
      </c>
      <c r="W1005" s="1">
        <v>46081</v>
      </c>
      <c r="X1005" t="s">
        <v>77</v>
      </c>
      <c r="Y1005" t="s">
        <v>646</v>
      </c>
      <c r="Z1005" t="s">
        <v>6</v>
      </c>
      <c r="AA1005" t="s">
        <v>646</v>
      </c>
      <c r="AB1005" s="4">
        <f t="shared" si="81"/>
        <v>5122120</v>
      </c>
      <c r="AC1005" s="5" t="s">
        <v>2215</v>
      </c>
      <c r="AD1005" s="4">
        <f t="shared" si="82"/>
        <v>426843.33333333331</v>
      </c>
      <c r="AE1005" s="4">
        <f t="shared" si="79"/>
        <v>-85368.666666666686</v>
      </c>
    </row>
    <row r="1006" spans="1:31" x14ac:dyDescent="0.25">
      <c r="A1006" t="s">
        <v>0</v>
      </c>
      <c r="B1006" s="3" t="s">
        <v>2219</v>
      </c>
      <c r="C1006" t="s">
        <v>2015</v>
      </c>
      <c r="D1006" t="s">
        <v>160</v>
      </c>
      <c r="E1006" t="s">
        <v>152</v>
      </c>
      <c r="F1006" s="1">
        <v>46081</v>
      </c>
      <c r="G1006" s="1">
        <v>46081</v>
      </c>
      <c r="H1006" t="s">
        <v>2016</v>
      </c>
      <c r="I1006" t="s">
        <v>5</v>
      </c>
      <c r="J1006" t="s">
        <v>6</v>
      </c>
      <c r="K1006" t="s">
        <v>4</v>
      </c>
      <c r="L1006" t="s">
        <v>2038</v>
      </c>
      <c r="M1006" t="s">
        <v>2038</v>
      </c>
      <c r="N1006" s="2">
        <v>263119</v>
      </c>
      <c r="O1006" t="s">
        <v>2018</v>
      </c>
      <c r="P1006" t="s">
        <v>9</v>
      </c>
      <c r="Q1006" t="s">
        <v>75</v>
      </c>
      <c r="R1006" t="e">
        <f>VLOOKUP(Q1006,#REF!,2,FALSE)</f>
        <v>#REF!</v>
      </c>
      <c r="S1006">
        <v>1004</v>
      </c>
      <c r="T1006" t="s">
        <v>2225</v>
      </c>
      <c r="U1006" t="s">
        <v>2019</v>
      </c>
      <c r="V1006" s="1">
        <v>46081</v>
      </c>
      <c r="W1006" s="1">
        <v>46081</v>
      </c>
      <c r="X1006" t="s">
        <v>77</v>
      </c>
      <c r="Y1006" t="s">
        <v>646</v>
      </c>
      <c r="Z1006" t="s">
        <v>6</v>
      </c>
      <c r="AA1006" t="s">
        <v>646</v>
      </c>
      <c r="AB1006" s="4">
        <f t="shared" si="81"/>
        <v>2631190</v>
      </c>
      <c r="AC1006" s="5" t="s">
        <v>2215</v>
      </c>
      <c r="AD1006" s="4">
        <f t="shared" si="82"/>
        <v>219265.83333333334</v>
      </c>
      <c r="AE1006" s="4">
        <f t="shared" si="79"/>
        <v>-43853.166666666657</v>
      </c>
    </row>
    <row r="1007" spans="1:31" x14ac:dyDescent="0.25">
      <c r="A1007" t="s">
        <v>0</v>
      </c>
      <c r="B1007" s="3" t="s">
        <v>2219</v>
      </c>
      <c r="C1007" t="s">
        <v>2015</v>
      </c>
      <c r="D1007" t="s">
        <v>160</v>
      </c>
      <c r="E1007" t="s">
        <v>157</v>
      </c>
      <c r="F1007" s="1">
        <v>46081</v>
      </c>
      <c r="G1007" s="1">
        <v>46081</v>
      </c>
      <c r="H1007" t="s">
        <v>2016</v>
      </c>
      <c r="I1007" t="s">
        <v>5</v>
      </c>
      <c r="J1007" t="s">
        <v>6</v>
      </c>
      <c r="K1007" t="s">
        <v>4</v>
      </c>
      <c r="L1007" t="s">
        <v>2039</v>
      </c>
      <c r="M1007" t="s">
        <v>2039</v>
      </c>
      <c r="N1007" s="2">
        <v>48922</v>
      </c>
      <c r="O1007" t="s">
        <v>2018</v>
      </c>
      <c r="P1007" t="s">
        <v>9</v>
      </c>
      <c r="Q1007" t="s">
        <v>75</v>
      </c>
      <c r="R1007" t="e">
        <f>VLOOKUP(Q1007,#REF!,2,FALSE)</f>
        <v>#REF!</v>
      </c>
      <c r="S1007">
        <v>1004</v>
      </c>
      <c r="T1007" t="s">
        <v>2225</v>
      </c>
      <c r="U1007" t="s">
        <v>2019</v>
      </c>
      <c r="V1007" s="1">
        <v>46081</v>
      </c>
      <c r="W1007" s="1">
        <v>46081</v>
      </c>
      <c r="X1007" t="s">
        <v>77</v>
      </c>
      <c r="Y1007" t="s">
        <v>646</v>
      </c>
      <c r="Z1007" t="s">
        <v>6</v>
      </c>
      <c r="AA1007" t="s">
        <v>646</v>
      </c>
      <c r="AB1007" s="4">
        <f t="shared" si="81"/>
        <v>489220</v>
      </c>
      <c r="AC1007" s="5" t="s">
        <v>2215</v>
      </c>
      <c r="AD1007" s="4">
        <f t="shared" si="82"/>
        <v>40768.333333333336</v>
      </c>
      <c r="AE1007" s="4">
        <f t="shared" si="79"/>
        <v>-8153.6666666666642</v>
      </c>
    </row>
    <row r="1008" spans="1:31" x14ac:dyDescent="0.25">
      <c r="A1008" t="s">
        <v>0</v>
      </c>
      <c r="B1008" s="3" t="s">
        <v>2219</v>
      </c>
      <c r="C1008" t="s">
        <v>2015</v>
      </c>
      <c r="D1008" t="s">
        <v>160</v>
      </c>
      <c r="E1008" t="s">
        <v>88</v>
      </c>
      <c r="F1008" s="1">
        <v>46081</v>
      </c>
      <c r="G1008" s="1">
        <v>46081</v>
      </c>
      <c r="H1008" t="s">
        <v>2016</v>
      </c>
      <c r="I1008" t="s">
        <v>5</v>
      </c>
      <c r="J1008" t="s">
        <v>6</v>
      </c>
      <c r="K1008" t="s">
        <v>4</v>
      </c>
      <c r="L1008" t="s">
        <v>2040</v>
      </c>
      <c r="M1008" t="s">
        <v>2040</v>
      </c>
      <c r="N1008" s="2">
        <v>630425</v>
      </c>
      <c r="O1008" t="s">
        <v>2018</v>
      </c>
      <c r="P1008" t="s">
        <v>9</v>
      </c>
      <c r="Q1008" t="s">
        <v>75</v>
      </c>
      <c r="R1008" t="e">
        <f>VLOOKUP(Q1008,#REF!,2,FALSE)</f>
        <v>#REF!</v>
      </c>
      <c r="S1008">
        <v>1004</v>
      </c>
      <c r="T1008" t="s">
        <v>2225</v>
      </c>
      <c r="U1008" t="s">
        <v>2019</v>
      </c>
      <c r="V1008" s="1">
        <v>46081</v>
      </c>
      <c r="W1008" s="1">
        <v>46081</v>
      </c>
      <c r="X1008" t="s">
        <v>77</v>
      </c>
      <c r="Y1008" t="s">
        <v>646</v>
      </c>
      <c r="Z1008" t="s">
        <v>6</v>
      </c>
      <c r="AA1008" t="s">
        <v>646</v>
      </c>
      <c r="AB1008" s="4">
        <f t="shared" si="81"/>
        <v>6304250</v>
      </c>
      <c r="AC1008" s="5" t="s">
        <v>2215</v>
      </c>
      <c r="AD1008" s="4">
        <f t="shared" si="82"/>
        <v>525354.16666666663</v>
      </c>
      <c r="AE1008" s="4">
        <f t="shared" si="79"/>
        <v>-105070.83333333337</v>
      </c>
    </row>
    <row r="1009" spans="1:31" x14ac:dyDescent="0.25">
      <c r="A1009" t="s">
        <v>0</v>
      </c>
      <c r="B1009" s="3" t="s">
        <v>2219</v>
      </c>
      <c r="C1009" t="s">
        <v>2015</v>
      </c>
      <c r="D1009" t="s">
        <v>160</v>
      </c>
      <c r="E1009" t="s">
        <v>92</v>
      </c>
      <c r="F1009" s="1">
        <v>46081</v>
      </c>
      <c r="G1009" s="1">
        <v>46081</v>
      </c>
      <c r="H1009" t="s">
        <v>2016</v>
      </c>
      <c r="I1009" t="s">
        <v>5</v>
      </c>
      <c r="J1009" t="s">
        <v>6</v>
      </c>
      <c r="K1009" t="s">
        <v>4</v>
      </c>
      <c r="L1009" t="s">
        <v>2041</v>
      </c>
      <c r="M1009" t="s">
        <v>2041</v>
      </c>
      <c r="N1009" s="2">
        <v>111821</v>
      </c>
      <c r="O1009" t="s">
        <v>2018</v>
      </c>
      <c r="P1009" t="s">
        <v>9</v>
      </c>
      <c r="Q1009" t="s">
        <v>75</v>
      </c>
      <c r="R1009" t="e">
        <f>VLOOKUP(Q1009,#REF!,2,FALSE)</f>
        <v>#REF!</v>
      </c>
      <c r="S1009">
        <v>1004</v>
      </c>
      <c r="T1009" t="s">
        <v>2225</v>
      </c>
      <c r="U1009" t="s">
        <v>2019</v>
      </c>
      <c r="V1009" s="1">
        <v>46081</v>
      </c>
      <c r="W1009" s="1">
        <v>46081</v>
      </c>
      <c r="X1009" t="s">
        <v>77</v>
      </c>
      <c r="Y1009" t="s">
        <v>646</v>
      </c>
      <c r="Z1009" t="s">
        <v>6</v>
      </c>
      <c r="AA1009" t="s">
        <v>646</v>
      </c>
      <c r="AB1009" s="4">
        <f t="shared" si="81"/>
        <v>1118210</v>
      </c>
      <c r="AC1009" s="5" t="s">
        <v>2215</v>
      </c>
      <c r="AD1009" s="4">
        <f t="shared" si="82"/>
        <v>93184.166666666672</v>
      </c>
      <c r="AE1009" s="4">
        <f t="shared" si="79"/>
        <v>-18636.833333333328</v>
      </c>
    </row>
    <row r="1010" spans="1:31" x14ac:dyDescent="0.25">
      <c r="A1010" t="s">
        <v>0</v>
      </c>
      <c r="B1010" s="3" t="s">
        <v>2219</v>
      </c>
      <c r="C1010" t="s">
        <v>2015</v>
      </c>
      <c r="D1010" t="s">
        <v>160</v>
      </c>
      <c r="E1010" t="s">
        <v>94</v>
      </c>
      <c r="F1010" s="1">
        <v>46081</v>
      </c>
      <c r="G1010" s="1">
        <v>46081</v>
      </c>
      <c r="H1010" t="s">
        <v>2016</v>
      </c>
      <c r="I1010" t="s">
        <v>5</v>
      </c>
      <c r="J1010" t="s">
        <v>6</v>
      </c>
      <c r="K1010" t="s">
        <v>4</v>
      </c>
      <c r="L1010" t="s">
        <v>2042</v>
      </c>
      <c r="M1010" t="s">
        <v>2042</v>
      </c>
      <c r="N1010" s="2">
        <v>143734</v>
      </c>
      <c r="O1010" t="s">
        <v>2018</v>
      </c>
      <c r="P1010" t="s">
        <v>9</v>
      </c>
      <c r="Q1010" t="s">
        <v>75</v>
      </c>
      <c r="R1010" t="e">
        <f>VLOOKUP(Q1010,#REF!,2,FALSE)</f>
        <v>#REF!</v>
      </c>
      <c r="S1010">
        <v>1004</v>
      </c>
      <c r="T1010" t="s">
        <v>2225</v>
      </c>
      <c r="U1010" t="s">
        <v>2019</v>
      </c>
      <c r="V1010" s="1">
        <v>46081</v>
      </c>
      <c r="W1010" s="1">
        <v>46081</v>
      </c>
      <c r="X1010" t="s">
        <v>77</v>
      </c>
      <c r="Y1010" t="s">
        <v>646</v>
      </c>
      <c r="Z1010" t="s">
        <v>6</v>
      </c>
      <c r="AA1010" t="s">
        <v>646</v>
      </c>
      <c r="AB1010" s="4">
        <f t="shared" si="81"/>
        <v>1437340</v>
      </c>
      <c r="AC1010" s="5" t="s">
        <v>2215</v>
      </c>
      <c r="AD1010" s="4">
        <f t="shared" si="82"/>
        <v>119778.33333333333</v>
      </c>
      <c r="AE1010" s="4">
        <f t="shared" si="79"/>
        <v>-23955.666666666672</v>
      </c>
    </row>
    <row r="1011" spans="1:31" x14ac:dyDescent="0.25">
      <c r="A1011" t="s">
        <v>0</v>
      </c>
      <c r="B1011" s="3" t="s">
        <v>2219</v>
      </c>
      <c r="C1011" t="s">
        <v>2015</v>
      </c>
      <c r="D1011" t="s">
        <v>160</v>
      </c>
      <c r="E1011" t="s">
        <v>194</v>
      </c>
      <c r="F1011" s="1">
        <v>46081</v>
      </c>
      <c r="G1011" s="1">
        <v>46081</v>
      </c>
      <c r="H1011" t="s">
        <v>2016</v>
      </c>
      <c r="I1011" t="s">
        <v>5</v>
      </c>
      <c r="J1011" t="s">
        <v>6</v>
      </c>
      <c r="K1011" t="s">
        <v>4</v>
      </c>
      <c r="L1011" t="s">
        <v>2043</v>
      </c>
      <c r="M1011" t="s">
        <v>2043</v>
      </c>
      <c r="N1011" s="2">
        <v>69699</v>
      </c>
      <c r="O1011" t="s">
        <v>2018</v>
      </c>
      <c r="P1011" t="s">
        <v>9</v>
      </c>
      <c r="Q1011" t="s">
        <v>75</v>
      </c>
      <c r="R1011" t="e">
        <f>VLOOKUP(Q1011,#REF!,2,FALSE)</f>
        <v>#REF!</v>
      </c>
      <c r="S1011">
        <v>1004</v>
      </c>
      <c r="T1011" t="s">
        <v>2225</v>
      </c>
      <c r="U1011" t="s">
        <v>2019</v>
      </c>
      <c r="V1011" s="1">
        <v>46081</v>
      </c>
      <c r="W1011" s="1">
        <v>46081</v>
      </c>
      <c r="X1011" t="s">
        <v>77</v>
      </c>
      <c r="Y1011" t="s">
        <v>646</v>
      </c>
      <c r="Z1011" t="s">
        <v>6</v>
      </c>
      <c r="AA1011" t="s">
        <v>646</v>
      </c>
      <c r="AB1011" s="4">
        <f t="shared" si="81"/>
        <v>696990</v>
      </c>
      <c r="AC1011" s="5" t="s">
        <v>2215</v>
      </c>
      <c r="AD1011" s="4">
        <f t="shared" si="82"/>
        <v>58082.5</v>
      </c>
      <c r="AE1011" s="4">
        <f t="shared" si="79"/>
        <v>-11616.5</v>
      </c>
    </row>
    <row r="1012" spans="1:31" x14ac:dyDescent="0.25">
      <c r="A1012" t="s">
        <v>0</v>
      </c>
      <c r="B1012" s="3" t="s">
        <v>2219</v>
      </c>
      <c r="C1012" t="s">
        <v>2015</v>
      </c>
      <c r="D1012" t="s">
        <v>160</v>
      </c>
      <c r="E1012" t="s">
        <v>198</v>
      </c>
      <c r="F1012" s="1">
        <v>46081</v>
      </c>
      <c r="G1012" s="1">
        <v>46081</v>
      </c>
      <c r="H1012" t="s">
        <v>2016</v>
      </c>
      <c r="I1012" t="s">
        <v>5</v>
      </c>
      <c r="J1012" t="s">
        <v>6</v>
      </c>
      <c r="K1012" t="s">
        <v>4</v>
      </c>
      <c r="L1012" t="s">
        <v>2044</v>
      </c>
      <c r="M1012" t="s">
        <v>2044</v>
      </c>
      <c r="N1012" s="2">
        <v>77664</v>
      </c>
      <c r="O1012" t="s">
        <v>2018</v>
      </c>
      <c r="P1012" t="s">
        <v>9</v>
      </c>
      <c r="Q1012" t="s">
        <v>75</v>
      </c>
      <c r="R1012" t="e">
        <f>VLOOKUP(Q1012,#REF!,2,FALSE)</f>
        <v>#REF!</v>
      </c>
      <c r="S1012">
        <v>1004</v>
      </c>
      <c r="T1012" t="s">
        <v>2225</v>
      </c>
      <c r="U1012" t="s">
        <v>2019</v>
      </c>
      <c r="V1012" s="1">
        <v>46081</v>
      </c>
      <c r="W1012" s="1">
        <v>46081</v>
      </c>
      <c r="X1012" t="s">
        <v>77</v>
      </c>
      <c r="Y1012" t="s">
        <v>646</v>
      </c>
      <c r="Z1012" t="s">
        <v>6</v>
      </c>
      <c r="AA1012" t="s">
        <v>646</v>
      </c>
      <c r="AB1012" s="4">
        <f t="shared" si="81"/>
        <v>776640</v>
      </c>
      <c r="AC1012" s="5" t="s">
        <v>2215</v>
      </c>
      <c r="AD1012" s="4">
        <f t="shared" si="82"/>
        <v>64720</v>
      </c>
      <c r="AE1012" s="4">
        <f t="shared" si="79"/>
        <v>-12944</v>
      </c>
    </row>
    <row r="1013" spans="1:31" x14ac:dyDescent="0.25">
      <c r="A1013" t="s">
        <v>0</v>
      </c>
      <c r="B1013" s="3" t="s">
        <v>2219</v>
      </c>
      <c r="C1013" t="s">
        <v>2015</v>
      </c>
      <c r="D1013" t="s">
        <v>160</v>
      </c>
      <c r="E1013" t="s">
        <v>200</v>
      </c>
      <c r="F1013" s="1">
        <v>46081</v>
      </c>
      <c r="G1013" s="1">
        <v>46081</v>
      </c>
      <c r="H1013" t="s">
        <v>2016</v>
      </c>
      <c r="I1013" t="s">
        <v>5</v>
      </c>
      <c r="J1013" t="s">
        <v>6</v>
      </c>
      <c r="K1013" t="s">
        <v>4</v>
      </c>
      <c r="L1013" t="s">
        <v>2045</v>
      </c>
      <c r="M1013" t="s">
        <v>2045</v>
      </c>
      <c r="N1013" s="2">
        <v>117972</v>
      </c>
      <c r="O1013" t="s">
        <v>2018</v>
      </c>
      <c r="P1013" t="s">
        <v>9</v>
      </c>
      <c r="Q1013" t="s">
        <v>75</v>
      </c>
      <c r="R1013" t="e">
        <f>VLOOKUP(Q1013,#REF!,2,FALSE)</f>
        <v>#REF!</v>
      </c>
      <c r="S1013">
        <v>1004</v>
      </c>
      <c r="T1013" t="s">
        <v>2225</v>
      </c>
      <c r="U1013" t="s">
        <v>2019</v>
      </c>
      <c r="V1013" s="1">
        <v>46081</v>
      </c>
      <c r="W1013" s="1">
        <v>46081</v>
      </c>
      <c r="X1013" t="s">
        <v>77</v>
      </c>
      <c r="Y1013" t="s">
        <v>646</v>
      </c>
      <c r="Z1013" t="s">
        <v>6</v>
      </c>
      <c r="AA1013" t="s">
        <v>646</v>
      </c>
      <c r="AB1013" s="4">
        <f t="shared" si="81"/>
        <v>1179720</v>
      </c>
      <c r="AC1013" s="5" t="s">
        <v>2215</v>
      </c>
      <c r="AD1013" s="4">
        <f t="shared" si="82"/>
        <v>98310</v>
      </c>
      <c r="AE1013" s="4">
        <f t="shared" si="79"/>
        <v>-19662</v>
      </c>
    </row>
    <row r="1014" spans="1:31" x14ac:dyDescent="0.25">
      <c r="A1014" t="s">
        <v>0</v>
      </c>
      <c r="B1014" s="3" t="s">
        <v>2219</v>
      </c>
      <c r="C1014" t="s">
        <v>2015</v>
      </c>
      <c r="D1014" t="s">
        <v>160</v>
      </c>
      <c r="E1014" t="s">
        <v>71</v>
      </c>
      <c r="F1014" s="1">
        <v>46081</v>
      </c>
      <c r="G1014" s="1">
        <v>46081</v>
      </c>
      <c r="H1014" t="s">
        <v>2016</v>
      </c>
      <c r="I1014" t="s">
        <v>5</v>
      </c>
      <c r="J1014" t="s">
        <v>6</v>
      </c>
      <c r="K1014" t="s">
        <v>4</v>
      </c>
      <c r="L1014" t="s">
        <v>2046</v>
      </c>
      <c r="M1014" t="s">
        <v>2046</v>
      </c>
      <c r="N1014" s="2">
        <v>54132</v>
      </c>
      <c r="O1014" t="s">
        <v>2018</v>
      </c>
      <c r="P1014" t="s">
        <v>9</v>
      </c>
      <c r="Q1014" t="s">
        <v>75</v>
      </c>
      <c r="R1014" t="e">
        <f>VLOOKUP(Q1014,#REF!,2,FALSE)</f>
        <v>#REF!</v>
      </c>
      <c r="S1014">
        <v>1004</v>
      </c>
      <c r="T1014" t="s">
        <v>2225</v>
      </c>
      <c r="U1014" t="s">
        <v>2019</v>
      </c>
      <c r="V1014" s="1">
        <v>46081</v>
      </c>
      <c r="W1014" s="1">
        <v>46081</v>
      </c>
      <c r="X1014" t="s">
        <v>77</v>
      </c>
      <c r="Y1014" t="s">
        <v>646</v>
      </c>
      <c r="Z1014" t="s">
        <v>6</v>
      </c>
      <c r="AA1014" t="s">
        <v>646</v>
      </c>
      <c r="AB1014" s="4">
        <f t="shared" si="81"/>
        <v>541320</v>
      </c>
      <c r="AC1014" s="5" t="s">
        <v>2215</v>
      </c>
      <c r="AD1014" s="4">
        <f t="shared" si="82"/>
        <v>45110</v>
      </c>
      <c r="AE1014" s="4">
        <f t="shared" si="79"/>
        <v>-9022</v>
      </c>
    </row>
    <row r="1015" spans="1:31" x14ac:dyDescent="0.25">
      <c r="A1015" t="s">
        <v>0</v>
      </c>
      <c r="B1015" s="3" t="s">
        <v>2219</v>
      </c>
      <c r="C1015" t="s">
        <v>2015</v>
      </c>
      <c r="D1015" t="s">
        <v>160</v>
      </c>
      <c r="E1015" t="s">
        <v>79</v>
      </c>
      <c r="F1015" s="1">
        <v>46081</v>
      </c>
      <c r="G1015" s="1">
        <v>46081</v>
      </c>
      <c r="H1015" t="s">
        <v>2016</v>
      </c>
      <c r="I1015" t="s">
        <v>5</v>
      </c>
      <c r="J1015" t="s">
        <v>6</v>
      </c>
      <c r="K1015" t="s">
        <v>4</v>
      </c>
      <c r="L1015" t="s">
        <v>2047</v>
      </c>
      <c r="M1015" t="s">
        <v>2047</v>
      </c>
      <c r="N1015" s="2">
        <v>7420</v>
      </c>
      <c r="O1015" t="s">
        <v>2018</v>
      </c>
      <c r="P1015" t="s">
        <v>9</v>
      </c>
      <c r="Q1015" t="s">
        <v>75</v>
      </c>
      <c r="R1015" t="e">
        <f>VLOOKUP(Q1015,#REF!,2,FALSE)</f>
        <v>#REF!</v>
      </c>
      <c r="S1015">
        <v>1004</v>
      </c>
      <c r="T1015" t="s">
        <v>2225</v>
      </c>
      <c r="U1015" t="s">
        <v>2019</v>
      </c>
      <c r="V1015" s="1">
        <v>46081</v>
      </c>
      <c r="W1015" s="1">
        <v>46081</v>
      </c>
      <c r="X1015" t="s">
        <v>77</v>
      </c>
      <c r="Y1015" t="s">
        <v>646</v>
      </c>
      <c r="Z1015" t="s">
        <v>6</v>
      </c>
      <c r="AA1015" t="s">
        <v>646</v>
      </c>
      <c r="AB1015" s="4">
        <f t="shared" si="81"/>
        <v>74200</v>
      </c>
      <c r="AC1015" s="5" t="s">
        <v>2215</v>
      </c>
      <c r="AD1015" s="4">
        <f t="shared" si="82"/>
        <v>6183.333333333333</v>
      </c>
      <c r="AE1015" s="4">
        <f t="shared" si="79"/>
        <v>-1236.666666666667</v>
      </c>
    </row>
    <row r="1016" spans="1:31" x14ac:dyDescent="0.25">
      <c r="A1016" t="s">
        <v>0</v>
      </c>
      <c r="B1016" s="3" t="s">
        <v>2219</v>
      </c>
      <c r="C1016" t="s">
        <v>2015</v>
      </c>
      <c r="D1016" t="s">
        <v>160</v>
      </c>
      <c r="E1016" t="s">
        <v>83</v>
      </c>
      <c r="F1016" s="1">
        <v>46081</v>
      </c>
      <c r="G1016" s="1">
        <v>46081</v>
      </c>
      <c r="H1016" t="s">
        <v>2016</v>
      </c>
      <c r="I1016" t="s">
        <v>5</v>
      </c>
      <c r="J1016" t="s">
        <v>6</v>
      </c>
      <c r="K1016" t="s">
        <v>4</v>
      </c>
      <c r="L1016" t="s">
        <v>2048</v>
      </c>
      <c r="M1016" t="s">
        <v>2048</v>
      </c>
      <c r="N1016" s="2">
        <v>69507</v>
      </c>
      <c r="O1016" t="s">
        <v>2018</v>
      </c>
      <c r="P1016" t="s">
        <v>9</v>
      </c>
      <c r="Q1016" t="s">
        <v>75</v>
      </c>
      <c r="R1016" t="e">
        <f>VLOOKUP(Q1016,#REF!,2,FALSE)</f>
        <v>#REF!</v>
      </c>
      <c r="S1016">
        <v>1004</v>
      </c>
      <c r="T1016" t="s">
        <v>2225</v>
      </c>
      <c r="U1016" t="s">
        <v>2019</v>
      </c>
      <c r="V1016" s="1">
        <v>46081</v>
      </c>
      <c r="W1016" s="1">
        <v>46081</v>
      </c>
      <c r="X1016" t="s">
        <v>77</v>
      </c>
      <c r="Y1016" t="s">
        <v>646</v>
      </c>
      <c r="Z1016" t="s">
        <v>6</v>
      </c>
      <c r="AA1016" t="s">
        <v>646</v>
      </c>
      <c r="AB1016" s="4">
        <f t="shared" si="81"/>
        <v>695070</v>
      </c>
      <c r="AC1016" s="5" t="s">
        <v>2215</v>
      </c>
      <c r="AD1016" s="4">
        <f t="shared" si="82"/>
        <v>57922.5</v>
      </c>
      <c r="AE1016" s="4">
        <f t="shared" si="79"/>
        <v>-11584.5</v>
      </c>
    </row>
    <row r="1017" spans="1:31" x14ac:dyDescent="0.25">
      <c r="A1017" t="s">
        <v>0</v>
      </c>
      <c r="B1017" s="3" t="s">
        <v>2219</v>
      </c>
      <c r="C1017" t="s">
        <v>2015</v>
      </c>
      <c r="D1017" t="s">
        <v>160</v>
      </c>
      <c r="E1017" t="s">
        <v>189</v>
      </c>
      <c r="F1017" s="1">
        <v>46081</v>
      </c>
      <c r="G1017" s="1">
        <v>46081</v>
      </c>
      <c r="H1017" t="s">
        <v>2016</v>
      </c>
      <c r="I1017" t="s">
        <v>5</v>
      </c>
      <c r="J1017" t="s">
        <v>6</v>
      </c>
      <c r="K1017" t="s">
        <v>4</v>
      </c>
      <c r="L1017" t="s">
        <v>2049</v>
      </c>
      <c r="M1017" t="s">
        <v>2049</v>
      </c>
      <c r="N1017" s="2">
        <v>77728</v>
      </c>
      <c r="O1017" t="s">
        <v>2018</v>
      </c>
      <c r="P1017" t="s">
        <v>9</v>
      </c>
      <c r="Q1017" t="s">
        <v>75</v>
      </c>
      <c r="R1017" t="e">
        <f>VLOOKUP(Q1017,#REF!,2,FALSE)</f>
        <v>#REF!</v>
      </c>
      <c r="S1017">
        <v>1004</v>
      </c>
      <c r="T1017" t="s">
        <v>2225</v>
      </c>
      <c r="U1017" t="s">
        <v>2019</v>
      </c>
      <c r="V1017" s="1">
        <v>46081</v>
      </c>
      <c r="W1017" s="1">
        <v>46081</v>
      </c>
      <c r="X1017" t="s">
        <v>77</v>
      </c>
      <c r="Y1017" t="s">
        <v>646</v>
      </c>
      <c r="Z1017" t="s">
        <v>6</v>
      </c>
      <c r="AA1017" t="s">
        <v>646</v>
      </c>
      <c r="AB1017" s="4">
        <f t="shared" si="81"/>
        <v>777280</v>
      </c>
      <c r="AC1017" s="5" t="s">
        <v>2215</v>
      </c>
      <c r="AD1017" s="4">
        <f t="shared" si="82"/>
        <v>64773.333333333336</v>
      </c>
      <c r="AE1017" s="4">
        <f t="shared" si="79"/>
        <v>-12954.666666666664</v>
      </c>
    </row>
    <row r="1018" spans="1:31" x14ac:dyDescent="0.25">
      <c r="A1018" t="s">
        <v>0</v>
      </c>
      <c r="B1018" s="3" t="s">
        <v>2219</v>
      </c>
      <c r="C1018" t="s">
        <v>2015</v>
      </c>
      <c r="D1018" t="s">
        <v>160</v>
      </c>
      <c r="E1018" t="s">
        <v>191</v>
      </c>
      <c r="F1018" s="1">
        <v>46081</v>
      </c>
      <c r="G1018" s="1">
        <v>46081</v>
      </c>
      <c r="H1018" t="s">
        <v>2016</v>
      </c>
      <c r="I1018" t="s">
        <v>5</v>
      </c>
      <c r="J1018" t="s">
        <v>6</v>
      </c>
      <c r="K1018" t="s">
        <v>4</v>
      </c>
      <c r="L1018" t="s">
        <v>1536</v>
      </c>
      <c r="M1018" t="s">
        <v>1536</v>
      </c>
      <c r="N1018" s="2">
        <v>9458</v>
      </c>
      <c r="O1018" t="s">
        <v>2018</v>
      </c>
      <c r="P1018" t="s">
        <v>9</v>
      </c>
      <c r="Q1018" t="s">
        <v>75</v>
      </c>
      <c r="R1018" t="e">
        <f>VLOOKUP(Q1018,#REF!,2,FALSE)</f>
        <v>#REF!</v>
      </c>
      <c r="S1018">
        <v>1004</v>
      </c>
      <c r="T1018" t="s">
        <v>2225</v>
      </c>
      <c r="U1018" t="s">
        <v>2019</v>
      </c>
      <c r="V1018" s="1">
        <v>46081</v>
      </c>
      <c r="W1018" s="1">
        <v>46081</v>
      </c>
      <c r="X1018" t="s">
        <v>77</v>
      </c>
      <c r="Y1018" t="s">
        <v>646</v>
      </c>
      <c r="Z1018" t="s">
        <v>6</v>
      </c>
      <c r="AA1018" t="s">
        <v>646</v>
      </c>
      <c r="AB1018" s="4">
        <f t="shared" si="81"/>
        <v>94580</v>
      </c>
      <c r="AC1018" s="5" t="s">
        <v>2215</v>
      </c>
      <c r="AD1018" s="4">
        <f t="shared" si="82"/>
        <v>7881.666666666667</v>
      </c>
      <c r="AE1018" s="4">
        <f t="shared" si="79"/>
        <v>-1576.333333333333</v>
      </c>
    </row>
    <row r="1019" spans="1:31" x14ac:dyDescent="0.25">
      <c r="A1019" t="s">
        <v>0</v>
      </c>
      <c r="B1019" s="3" t="s">
        <v>2219</v>
      </c>
      <c r="C1019" t="s">
        <v>2015</v>
      </c>
      <c r="D1019" t="s">
        <v>160</v>
      </c>
      <c r="E1019" t="s">
        <v>458</v>
      </c>
      <c r="F1019" s="1">
        <v>46081</v>
      </c>
      <c r="G1019" s="1">
        <v>46081</v>
      </c>
      <c r="H1019" t="s">
        <v>2016</v>
      </c>
      <c r="I1019" t="s">
        <v>5</v>
      </c>
      <c r="J1019" t="s">
        <v>6</v>
      </c>
      <c r="K1019" t="s">
        <v>4</v>
      </c>
      <c r="L1019" t="s">
        <v>2050</v>
      </c>
      <c r="M1019" t="s">
        <v>2050</v>
      </c>
      <c r="N1019" s="2">
        <v>94145</v>
      </c>
      <c r="O1019" t="s">
        <v>2018</v>
      </c>
      <c r="P1019" t="s">
        <v>9</v>
      </c>
      <c r="Q1019" t="s">
        <v>75</v>
      </c>
      <c r="R1019" t="e">
        <f>VLOOKUP(Q1019,#REF!,2,FALSE)</f>
        <v>#REF!</v>
      </c>
      <c r="S1019">
        <v>1004</v>
      </c>
      <c r="T1019" t="s">
        <v>2225</v>
      </c>
      <c r="U1019" t="s">
        <v>2019</v>
      </c>
      <c r="V1019" s="1">
        <v>46081</v>
      </c>
      <c r="W1019" s="1">
        <v>46081</v>
      </c>
      <c r="X1019" t="s">
        <v>77</v>
      </c>
      <c r="Y1019" t="s">
        <v>646</v>
      </c>
      <c r="Z1019" t="s">
        <v>6</v>
      </c>
      <c r="AA1019" t="s">
        <v>646</v>
      </c>
      <c r="AB1019" s="4">
        <f t="shared" ref="AB1019:AB1042" si="83">L1019/0.1</f>
        <v>941450</v>
      </c>
      <c r="AC1019" s="5" t="s">
        <v>2215</v>
      </c>
      <c r="AD1019" s="4">
        <f t="shared" si="82"/>
        <v>78454.166666666672</v>
      </c>
      <c r="AE1019" s="4">
        <f t="shared" si="79"/>
        <v>-15690.833333333328</v>
      </c>
    </row>
    <row r="1020" spans="1:31" x14ac:dyDescent="0.25">
      <c r="A1020" t="s">
        <v>0</v>
      </c>
      <c r="B1020" s="3" t="s">
        <v>2219</v>
      </c>
      <c r="C1020" t="s">
        <v>2015</v>
      </c>
      <c r="D1020" t="s">
        <v>160</v>
      </c>
      <c r="E1020" t="s">
        <v>2051</v>
      </c>
      <c r="F1020" s="1">
        <v>46081</v>
      </c>
      <c r="G1020" s="1">
        <v>46081</v>
      </c>
      <c r="H1020" t="s">
        <v>2016</v>
      </c>
      <c r="I1020" t="s">
        <v>5</v>
      </c>
      <c r="J1020" t="s">
        <v>6</v>
      </c>
      <c r="K1020" t="s">
        <v>4</v>
      </c>
      <c r="L1020" t="s">
        <v>2052</v>
      </c>
      <c r="M1020" t="s">
        <v>2052</v>
      </c>
      <c r="N1020" s="2">
        <v>126216</v>
      </c>
      <c r="O1020" t="s">
        <v>2018</v>
      </c>
      <c r="P1020" t="s">
        <v>9</v>
      </c>
      <c r="Q1020" t="s">
        <v>75</v>
      </c>
      <c r="R1020" t="e">
        <f>VLOOKUP(Q1020,#REF!,2,FALSE)</f>
        <v>#REF!</v>
      </c>
      <c r="S1020">
        <v>1004</v>
      </c>
      <c r="T1020" t="s">
        <v>2225</v>
      </c>
      <c r="U1020" t="s">
        <v>2019</v>
      </c>
      <c r="V1020" s="1">
        <v>46081</v>
      </c>
      <c r="W1020" s="1">
        <v>46081</v>
      </c>
      <c r="X1020" t="s">
        <v>77</v>
      </c>
      <c r="Y1020" t="s">
        <v>646</v>
      </c>
      <c r="Z1020" t="s">
        <v>6</v>
      </c>
      <c r="AA1020" t="s">
        <v>646</v>
      </c>
      <c r="AB1020" s="4">
        <f t="shared" si="83"/>
        <v>1262160</v>
      </c>
      <c r="AC1020" s="5" t="s">
        <v>2215</v>
      </c>
      <c r="AD1020" s="4">
        <f t="shared" si="82"/>
        <v>105180</v>
      </c>
      <c r="AE1020" s="4">
        <f t="shared" si="79"/>
        <v>-21036</v>
      </c>
    </row>
    <row r="1021" spans="1:31" x14ac:dyDescent="0.25">
      <c r="A1021" t="s">
        <v>0</v>
      </c>
      <c r="B1021" s="3" t="s">
        <v>2219</v>
      </c>
      <c r="C1021" t="s">
        <v>2015</v>
      </c>
      <c r="D1021" t="s">
        <v>160</v>
      </c>
      <c r="E1021" t="s">
        <v>2053</v>
      </c>
      <c r="F1021" s="1">
        <v>46081</v>
      </c>
      <c r="G1021" s="1">
        <v>46081</v>
      </c>
      <c r="H1021" t="s">
        <v>2016</v>
      </c>
      <c r="I1021" t="s">
        <v>5</v>
      </c>
      <c r="J1021" t="s">
        <v>6</v>
      </c>
      <c r="K1021" t="s">
        <v>4</v>
      </c>
      <c r="L1021" t="s">
        <v>2054</v>
      </c>
      <c r="M1021" t="s">
        <v>2054</v>
      </c>
      <c r="N1021" s="2">
        <v>28922</v>
      </c>
      <c r="O1021" t="s">
        <v>2018</v>
      </c>
      <c r="P1021" t="s">
        <v>9</v>
      </c>
      <c r="Q1021" t="s">
        <v>75</v>
      </c>
      <c r="R1021" t="e">
        <f>VLOOKUP(Q1021,#REF!,2,FALSE)</f>
        <v>#REF!</v>
      </c>
      <c r="S1021">
        <v>1004</v>
      </c>
      <c r="T1021" t="s">
        <v>2225</v>
      </c>
      <c r="U1021" t="s">
        <v>2019</v>
      </c>
      <c r="V1021" s="1">
        <v>46081</v>
      </c>
      <c r="W1021" s="1">
        <v>46081</v>
      </c>
      <c r="X1021" t="s">
        <v>77</v>
      </c>
      <c r="Y1021" t="s">
        <v>646</v>
      </c>
      <c r="Z1021" t="s">
        <v>6</v>
      </c>
      <c r="AA1021" t="s">
        <v>646</v>
      </c>
      <c r="AB1021" s="4">
        <f t="shared" si="83"/>
        <v>289220</v>
      </c>
      <c r="AC1021" s="5" t="s">
        <v>2215</v>
      </c>
      <c r="AD1021" s="4">
        <f t="shared" si="82"/>
        <v>24101.666666666668</v>
      </c>
      <c r="AE1021" s="4">
        <f t="shared" si="79"/>
        <v>-4820.3333333333321</v>
      </c>
    </row>
    <row r="1022" spans="1:31" x14ac:dyDescent="0.25">
      <c r="A1022" t="s">
        <v>0</v>
      </c>
      <c r="B1022" s="3" t="s">
        <v>2219</v>
      </c>
      <c r="C1022" t="s">
        <v>2015</v>
      </c>
      <c r="D1022" t="s">
        <v>160</v>
      </c>
      <c r="E1022" t="s">
        <v>295</v>
      </c>
      <c r="F1022" s="1">
        <v>46081</v>
      </c>
      <c r="G1022" s="1">
        <v>46081</v>
      </c>
      <c r="H1022" t="s">
        <v>2016</v>
      </c>
      <c r="I1022" t="s">
        <v>5</v>
      </c>
      <c r="J1022" t="s">
        <v>6</v>
      </c>
      <c r="K1022" t="s">
        <v>4</v>
      </c>
      <c r="L1022" t="s">
        <v>2055</v>
      </c>
      <c r="M1022" t="s">
        <v>2055</v>
      </c>
      <c r="N1022" s="2">
        <v>56153</v>
      </c>
      <c r="O1022" t="s">
        <v>2018</v>
      </c>
      <c r="P1022" t="s">
        <v>9</v>
      </c>
      <c r="Q1022" t="s">
        <v>75</v>
      </c>
      <c r="R1022" t="e">
        <f>VLOOKUP(Q1022,#REF!,2,FALSE)</f>
        <v>#REF!</v>
      </c>
      <c r="S1022">
        <v>1004</v>
      </c>
      <c r="T1022" t="s">
        <v>2225</v>
      </c>
      <c r="U1022" t="s">
        <v>2019</v>
      </c>
      <c r="V1022" s="1">
        <v>46081</v>
      </c>
      <c r="W1022" s="1">
        <v>46081</v>
      </c>
      <c r="X1022" t="s">
        <v>77</v>
      </c>
      <c r="Y1022" t="s">
        <v>646</v>
      </c>
      <c r="Z1022" t="s">
        <v>6</v>
      </c>
      <c r="AA1022" t="s">
        <v>646</v>
      </c>
      <c r="AB1022" s="4">
        <f t="shared" si="83"/>
        <v>561530</v>
      </c>
      <c r="AC1022" s="5" t="s">
        <v>2215</v>
      </c>
      <c r="AD1022" s="4">
        <f t="shared" si="82"/>
        <v>46794.166666666664</v>
      </c>
      <c r="AE1022" s="4">
        <f t="shared" si="79"/>
        <v>-9358.8333333333358</v>
      </c>
    </row>
    <row r="1023" spans="1:31" x14ac:dyDescent="0.25">
      <c r="A1023" t="s">
        <v>0</v>
      </c>
      <c r="B1023" s="3" t="s">
        <v>2219</v>
      </c>
      <c r="C1023" t="s">
        <v>2015</v>
      </c>
      <c r="D1023" t="s">
        <v>160</v>
      </c>
      <c r="E1023" t="s">
        <v>119</v>
      </c>
      <c r="F1023" s="1">
        <v>46081</v>
      </c>
      <c r="G1023" s="1">
        <v>46081</v>
      </c>
      <c r="H1023" t="s">
        <v>2016</v>
      </c>
      <c r="I1023" t="s">
        <v>5</v>
      </c>
      <c r="J1023" t="s">
        <v>6</v>
      </c>
      <c r="K1023" t="s">
        <v>4</v>
      </c>
      <c r="L1023" t="s">
        <v>2056</v>
      </c>
      <c r="M1023" t="s">
        <v>2056</v>
      </c>
      <c r="N1023" s="2">
        <v>75966</v>
      </c>
      <c r="O1023" t="s">
        <v>2018</v>
      </c>
      <c r="P1023" t="s">
        <v>9</v>
      </c>
      <c r="Q1023" t="s">
        <v>75</v>
      </c>
      <c r="R1023" t="e">
        <f>VLOOKUP(Q1023,#REF!,2,FALSE)</f>
        <v>#REF!</v>
      </c>
      <c r="S1023">
        <v>1004</v>
      </c>
      <c r="T1023" t="s">
        <v>2225</v>
      </c>
      <c r="U1023" t="s">
        <v>2019</v>
      </c>
      <c r="V1023" s="1">
        <v>46081</v>
      </c>
      <c r="W1023" s="1">
        <v>46081</v>
      </c>
      <c r="X1023" t="s">
        <v>77</v>
      </c>
      <c r="Y1023" t="s">
        <v>646</v>
      </c>
      <c r="Z1023" t="s">
        <v>6</v>
      </c>
      <c r="AA1023" t="s">
        <v>646</v>
      </c>
      <c r="AB1023" s="4">
        <f t="shared" si="83"/>
        <v>759660</v>
      </c>
      <c r="AC1023" s="5" t="s">
        <v>2215</v>
      </c>
      <c r="AD1023" s="4">
        <f t="shared" si="82"/>
        <v>63305</v>
      </c>
      <c r="AE1023" s="4">
        <f t="shared" si="79"/>
        <v>-12661</v>
      </c>
    </row>
    <row r="1024" spans="1:31" x14ac:dyDescent="0.25">
      <c r="A1024" t="s">
        <v>0</v>
      </c>
      <c r="B1024" s="3" t="s">
        <v>2219</v>
      </c>
      <c r="C1024" t="s">
        <v>2015</v>
      </c>
      <c r="D1024" t="s">
        <v>160</v>
      </c>
      <c r="E1024" t="s">
        <v>125</v>
      </c>
      <c r="F1024" s="1">
        <v>46081</v>
      </c>
      <c r="G1024" s="1">
        <v>46081</v>
      </c>
      <c r="H1024" t="s">
        <v>2016</v>
      </c>
      <c r="I1024" t="s">
        <v>5</v>
      </c>
      <c r="J1024" t="s">
        <v>6</v>
      </c>
      <c r="K1024" t="s">
        <v>4</v>
      </c>
      <c r="L1024" t="s">
        <v>2057</v>
      </c>
      <c r="M1024" t="s">
        <v>2057</v>
      </c>
      <c r="N1024" s="2">
        <v>27293</v>
      </c>
      <c r="O1024" t="s">
        <v>2018</v>
      </c>
      <c r="P1024" t="s">
        <v>9</v>
      </c>
      <c r="Q1024" t="s">
        <v>75</v>
      </c>
      <c r="R1024" t="e">
        <f>VLOOKUP(Q1024,#REF!,2,FALSE)</f>
        <v>#REF!</v>
      </c>
      <c r="S1024">
        <v>1004</v>
      </c>
      <c r="T1024" t="s">
        <v>2225</v>
      </c>
      <c r="U1024" t="s">
        <v>2019</v>
      </c>
      <c r="V1024" s="1">
        <v>46081</v>
      </c>
      <c r="W1024" s="1">
        <v>46081</v>
      </c>
      <c r="X1024" t="s">
        <v>77</v>
      </c>
      <c r="Y1024" t="s">
        <v>646</v>
      </c>
      <c r="Z1024" t="s">
        <v>6</v>
      </c>
      <c r="AA1024" t="s">
        <v>646</v>
      </c>
      <c r="AB1024" s="4">
        <f t="shared" si="83"/>
        <v>272930</v>
      </c>
      <c r="AC1024" s="5" t="s">
        <v>2215</v>
      </c>
      <c r="AD1024" s="4">
        <f t="shared" si="82"/>
        <v>22744.166666666668</v>
      </c>
      <c r="AE1024" s="4">
        <f t="shared" si="79"/>
        <v>-4548.8333333333321</v>
      </c>
    </row>
    <row r="1025" spans="1:31" x14ac:dyDescent="0.25">
      <c r="A1025" t="s">
        <v>0</v>
      </c>
      <c r="B1025" s="3" t="s">
        <v>2219</v>
      </c>
      <c r="C1025" t="s">
        <v>2015</v>
      </c>
      <c r="D1025" t="s">
        <v>160</v>
      </c>
      <c r="E1025" t="s">
        <v>127</v>
      </c>
      <c r="F1025" s="1">
        <v>46081</v>
      </c>
      <c r="G1025" s="1">
        <v>46081</v>
      </c>
      <c r="H1025" t="s">
        <v>2016</v>
      </c>
      <c r="I1025" t="s">
        <v>5</v>
      </c>
      <c r="J1025" t="s">
        <v>6</v>
      </c>
      <c r="K1025" t="s">
        <v>4</v>
      </c>
      <c r="L1025" t="s">
        <v>2058</v>
      </c>
      <c r="M1025" t="s">
        <v>2058</v>
      </c>
      <c r="N1025" s="2">
        <v>37554</v>
      </c>
      <c r="O1025" t="s">
        <v>2018</v>
      </c>
      <c r="P1025" t="s">
        <v>9</v>
      </c>
      <c r="Q1025" t="s">
        <v>75</v>
      </c>
      <c r="R1025" t="e">
        <f>VLOOKUP(Q1025,#REF!,2,FALSE)</f>
        <v>#REF!</v>
      </c>
      <c r="S1025">
        <v>1004</v>
      </c>
      <c r="T1025" t="s">
        <v>2225</v>
      </c>
      <c r="U1025" t="s">
        <v>2019</v>
      </c>
      <c r="V1025" s="1">
        <v>46081</v>
      </c>
      <c r="W1025" s="1">
        <v>46081</v>
      </c>
      <c r="X1025" t="s">
        <v>77</v>
      </c>
      <c r="Y1025" t="s">
        <v>646</v>
      </c>
      <c r="Z1025" t="s">
        <v>6</v>
      </c>
      <c r="AA1025" t="s">
        <v>646</v>
      </c>
      <c r="AB1025" s="4">
        <f t="shared" si="83"/>
        <v>375540</v>
      </c>
      <c r="AC1025" s="5" t="s">
        <v>2215</v>
      </c>
      <c r="AD1025" s="4">
        <f t="shared" si="82"/>
        <v>31295</v>
      </c>
      <c r="AE1025" s="4">
        <f t="shared" si="79"/>
        <v>-6259</v>
      </c>
    </row>
    <row r="1026" spans="1:31" x14ac:dyDescent="0.25">
      <c r="A1026" t="s">
        <v>0</v>
      </c>
      <c r="B1026" s="3" t="s">
        <v>2219</v>
      </c>
      <c r="C1026" t="s">
        <v>2015</v>
      </c>
      <c r="D1026" t="s">
        <v>160</v>
      </c>
      <c r="E1026" t="s">
        <v>66</v>
      </c>
      <c r="F1026" s="1">
        <v>46081</v>
      </c>
      <c r="G1026" s="1">
        <v>46081</v>
      </c>
      <c r="H1026" t="s">
        <v>2016</v>
      </c>
      <c r="I1026" t="s">
        <v>5</v>
      </c>
      <c r="J1026" t="s">
        <v>6</v>
      </c>
      <c r="K1026" t="s">
        <v>4</v>
      </c>
      <c r="L1026" t="s">
        <v>2059</v>
      </c>
      <c r="M1026" t="s">
        <v>2059</v>
      </c>
      <c r="N1026" s="2">
        <v>99762</v>
      </c>
      <c r="O1026" t="s">
        <v>2018</v>
      </c>
      <c r="P1026" t="s">
        <v>9</v>
      </c>
      <c r="Q1026" t="s">
        <v>75</v>
      </c>
      <c r="R1026" t="e">
        <f>VLOOKUP(Q1026,#REF!,2,FALSE)</f>
        <v>#REF!</v>
      </c>
      <c r="S1026">
        <v>1004</v>
      </c>
      <c r="T1026" t="s">
        <v>2225</v>
      </c>
      <c r="U1026" t="s">
        <v>2019</v>
      </c>
      <c r="V1026" s="1">
        <v>46081</v>
      </c>
      <c r="W1026" s="1">
        <v>46081</v>
      </c>
      <c r="X1026" t="s">
        <v>77</v>
      </c>
      <c r="Y1026" t="s">
        <v>646</v>
      </c>
      <c r="Z1026" t="s">
        <v>6</v>
      </c>
      <c r="AA1026" t="s">
        <v>646</v>
      </c>
      <c r="AB1026" s="4">
        <f t="shared" si="83"/>
        <v>997620</v>
      </c>
      <c r="AC1026" s="5" t="s">
        <v>2215</v>
      </c>
      <c r="AD1026" s="4">
        <f t="shared" si="82"/>
        <v>83135</v>
      </c>
      <c r="AE1026" s="4">
        <f t="shared" ref="AE1026:AE1089" si="84">AD1026-L1026</f>
        <v>-16627</v>
      </c>
    </row>
    <row r="1027" spans="1:31" x14ac:dyDescent="0.25">
      <c r="A1027" t="s">
        <v>0</v>
      </c>
      <c r="B1027" s="3" t="s">
        <v>2219</v>
      </c>
      <c r="C1027" t="s">
        <v>2015</v>
      </c>
      <c r="D1027" t="s">
        <v>160</v>
      </c>
      <c r="E1027" t="s">
        <v>1392</v>
      </c>
      <c r="F1027" s="1">
        <v>46081</v>
      </c>
      <c r="G1027" s="1">
        <v>46081</v>
      </c>
      <c r="H1027" t="s">
        <v>2016</v>
      </c>
      <c r="I1027" t="s">
        <v>5</v>
      </c>
      <c r="J1027" t="s">
        <v>6</v>
      </c>
      <c r="K1027" t="s">
        <v>4</v>
      </c>
      <c r="L1027" t="s">
        <v>2060</v>
      </c>
      <c r="M1027" t="s">
        <v>2060</v>
      </c>
      <c r="N1027" s="2">
        <v>156060</v>
      </c>
      <c r="O1027" t="s">
        <v>2018</v>
      </c>
      <c r="P1027" t="s">
        <v>9</v>
      </c>
      <c r="Q1027" t="s">
        <v>75</v>
      </c>
      <c r="R1027" t="e">
        <f>VLOOKUP(Q1027,#REF!,2,FALSE)</f>
        <v>#REF!</v>
      </c>
      <c r="S1027">
        <v>1004</v>
      </c>
      <c r="T1027" t="s">
        <v>2225</v>
      </c>
      <c r="U1027" t="s">
        <v>2019</v>
      </c>
      <c r="V1027" s="1">
        <v>46081</v>
      </c>
      <c r="W1027" s="1">
        <v>46081</v>
      </c>
      <c r="X1027" t="s">
        <v>77</v>
      </c>
      <c r="Y1027" t="s">
        <v>646</v>
      </c>
      <c r="Z1027" t="s">
        <v>6</v>
      </c>
      <c r="AA1027" t="s">
        <v>646</v>
      </c>
      <c r="AB1027" s="4">
        <f t="shared" si="83"/>
        <v>1560600</v>
      </c>
      <c r="AC1027" s="5" t="s">
        <v>2215</v>
      </c>
      <c r="AD1027" s="4">
        <f t="shared" si="82"/>
        <v>130050</v>
      </c>
      <c r="AE1027" s="4">
        <f t="shared" si="84"/>
        <v>-26010</v>
      </c>
    </row>
    <row r="1028" spans="1:31" x14ac:dyDescent="0.25">
      <c r="A1028" t="s">
        <v>0</v>
      </c>
      <c r="B1028" s="3" t="s">
        <v>2219</v>
      </c>
      <c r="C1028" t="s">
        <v>2015</v>
      </c>
      <c r="D1028" t="s">
        <v>160</v>
      </c>
      <c r="E1028" t="s">
        <v>1394</v>
      </c>
      <c r="F1028" s="1">
        <v>46081</v>
      </c>
      <c r="G1028" s="1">
        <v>46081</v>
      </c>
      <c r="H1028" t="s">
        <v>2016</v>
      </c>
      <c r="I1028" t="s">
        <v>5</v>
      </c>
      <c r="J1028" t="s">
        <v>6</v>
      </c>
      <c r="K1028" t="s">
        <v>4</v>
      </c>
      <c r="L1028" t="s">
        <v>2061</v>
      </c>
      <c r="M1028" t="s">
        <v>2061</v>
      </c>
      <c r="N1028" s="2">
        <v>112721</v>
      </c>
      <c r="O1028" t="s">
        <v>2018</v>
      </c>
      <c r="P1028" t="s">
        <v>9</v>
      </c>
      <c r="Q1028" t="s">
        <v>75</v>
      </c>
      <c r="R1028" t="e">
        <f>VLOOKUP(Q1028,#REF!,2,FALSE)</f>
        <v>#REF!</v>
      </c>
      <c r="S1028">
        <v>1004</v>
      </c>
      <c r="T1028" t="s">
        <v>2225</v>
      </c>
      <c r="U1028" t="s">
        <v>2019</v>
      </c>
      <c r="V1028" s="1">
        <v>46081</v>
      </c>
      <c r="W1028" s="1">
        <v>46081</v>
      </c>
      <c r="X1028" t="s">
        <v>77</v>
      </c>
      <c r="Y1028" t="s">
        <v>646</v>
      </c>
      <c r="Z1028" t="s">
        <v>6</v>
      </c>
      <c r="AA1028" t="s">
        <v>646</v>
      </c>
      <c r="AB1028" s="4">
        <f t="shared" si="83"/>
        <v>1127210</v>
      </c>
      <c r="AC1028" s="5" t="s">
        <v>2215</v>
      </c>
      <c r="AD1028" s="4">
        <f t="shared" si="82"/>
        <v>93934.166666666672</v>
      </c>
      <c r="AE1028" s="4">
        <f t="shared" si="84"/>
        <v>-18786.833333333328</v>
      </c>
    </row>
    <row r="1029" spans="1:31" x14ac:dyDescent="0.25">
      <c r="A1029" t="s">
        <v>0</v>
      </c>
      <c r="B1029" s="3" t="s">
        <v>2219</v>
      </c>
      <c r="C1029" t="s">
        <v>2015</v>
      </c>
      <c r="D1029" t="s">
        <v>160</v>
      </c>
      <c r="E1029" t="s">
        <v>1396</v>
      </c>
      <c r="F1029" s="1">
        <v>46081</v>
      </c>
      <c r="G1029" s="1">
        <v>46081</v>
      </c>
      <c r="H1029" t="s">
        <v>2016</v>
      </c>
      <c r="I1029" t="s">
        <v>5</v>
      </c>
      <c r="J1029" t="s">
        <v>6</v>
      </c>
      <c r="K1029" t="s">
        <v>4</v>
      </c>
      <c r="L1029" t="s">
        <v>2062</v>
      </c>
      <c r="M1029" t="s">
        <v>2062</v>
      </c>
      <c r="N1029" s="2">
        <v>23091</v>
      </c>
      <c r="O1029" t="s">
        <v>2018</v>
      </c>
      <c r="P1029" t="s">
        <v>9</v>
      </c>
      <c r="Q1029" t="s">
        <v>75</v>
      </c>
      <c r="R1029" t="e">
        <f>VLOOKUP(Q1029,#REF!,2,FALSE)</f>
        <v>#REF!</v>
      </c>
      <c r="S1029">
        <v>1004</v>
      </c>
      <c r="T1029" t="s">
        <v>2225</v>
      </c>
      <c r="U1029" t="s">
        <v>2019</v>
      </c>
      <c r="V1029" s="1">
        <v>46081</v>
      </c>
      <c r="W1029" s="1">
        <v>46081</v>
      </c>
      <c r="X1029" t="s">
        <v>77</v>
      </c>
      <c r="Y1029" t="s">
        <v>646</v>
      </c>
      <c r="Z1029" t="s">
        <v>6</v>
      </c>
      <c r="AA1029" t="s">
        <v>646</v>
      </c>
      <c r="AB1029" s="4">
        <f t="shared" si="83"/>
        <v>230910</v>
      </c>
      <c r="AC1029" s="5" t="s">
        <v>2215</v>
      </c>
      <c r="AD1029" s="4">
        <f t="shared" si="82"/>
        <v>19242.5</v>
      </c>
      <c r="AE1029" s="4">
        <f t="shared" si="84"/>
        <v>-3848.5</v>
      </c>
    </row>
    <row r="1030" spans="1:31" x14ac:dyDescent="0.25">
      <c r="A1030" t="s">
        <v>0</v>
      </c>
      <c r="B1030" s="3" t="s">
        <v>2219</v>
      </c>
      <c r="C1030" t="s">
        <v>2015</v>
      </c>
      <c r="D1030" t="s">
        <v>160</v>
      </c>
      <c r="E1030" t="s">
        <v>1398</v>
      </c>
      <c r="F1030" s="1">
        <v>46081</v>
      </c>
      <c r="G1030" s="1">
        <v>46081</v>
      </c>
      <c r="H1030" t="s">
        <v>2016</v>
      </c>
      <c r="I1030" t="s">
        <v>5</v>
      </c>
      <c r="J1030" t="s">
        <v>6</v>
      </c>
      <c r="K1030" t="s">
        <v>4</v>
      </c>
      <c r="L1030" t="s">
        <v>2063</v>
      </c>
      <c r="M1030" t="s">
        <v>2063</v>
      </c>
      <c r="N1030" s="2">
        <v>170847</v>
      </c>
      <c r="O1030" t="s">
        <v>2018</v>
      </c>
      <c r="P1030" t="s">
        <v>9</v>
      </c>
      <c r="Q1030" t="s">
        <v>75</v>
      </c>
      <c r="R1030" t="e">
        <f>VLOOKUP(Q1030,#REF!,2,FALSE)</f>
        <v>#REF!</v>
      </c>
      <c r="S1030">
        <v>1004</v>
      </c>
      <c r="T1030" t="s">
        <v>2225</v>
      </c>
      <c r="U1030" t="s">
        <v>2019</v>
      </c>
      <c r="V1030" s="1">
        <v>46081</v>
      </c>
      <c r="W1030" s="1">
        <v>46081</v>
      </c>
      <c r="X1030" t="s">
        <v>77</v>
      </c>
      <c r="Y1030" t="s">
        <v>646</v>
      </c>
      <c r="Z1030" t="s">
        <v>6</v>
      </c>
      <c r="AA1030" t="s">
        <v>646</v>
      </c>
      <c r="AB1030" s="4">
        <f t="shared" si="83"/>
        <v>1708470</v>
      </c>
      <c r="AC1030" s="5" t="s">
        <v>2215</v>
      </c>
      <c r="AD1030" s="4">
        <f t="shared" si="82"/>
        <v>142372.5</v>
      </c>
      <c r="AE1030" s="4">
        <f t="shared" si="84"/>
        <v>-28474.5</v>
      </c>
    </row>
    <row r="1031" spans="1:31" x14ac:dyDescent="0.25">
      <c r="A1031" t="s">
        <v>0</v>
      </c>
      <c r="B1031" s="3" t="s">
        <v>2219</v>
      </c>
      <c r="C1031" t="s">
        <v>2015</v>
      </c>
      <c r="D1031" t="s">
        <v>160</v>
      </c>
      <c r="E1031" t="s">
        <v>1400</v>
      </c>
      <c r="F1031" s="1">
        <v>46081</v>
      </c>
      <c r="G1031" s="1">
        <v>46081</v>
      </c>
      <c r="H1031" t="s">
        <v>2016</v>
      </c>
      <c r="I1031" t="s">
        <v>5</v>
      </c>
      <c r="J1031" t="s">
        <v>6</v>
      </c>
      <c r="K1031" t="s">
        <v>4</v>
      </c>
      <c r="L1031" t="s">
        <v>2064</v>
      </c>
      <c r="M1031" t="s">
        <v>2064</v>
      </c>
      <c r="N1031" s="2">
        <v>83946</v>
      </c>
      <c r="O1031" t="s">
        <v>2018</v>
      </c>
      <c r="P1031" t="s">
        <v>9</v>
      </c>
      <c r="Q1031" t="s">
        <v>75</v>
      </c>
      <c r="R1031" t="e">
        <f>VLOOKUP(Q1031,#REF!,2,FALSE)</f>
        <v>#REF!</v>
      </c>
      <c r="S1031">
        <v>1004</v>
      </c>
      <c r="T1031" t="s">
        <v>2225</v>
      </c>
      <c r="U1031" t="s">
        <v>2019</v>
      </c>
      <c r="V1031" s="1">
        <v>46081</v>
      </c>
      <c r="W1031" s="1">
        <v>46081</v>
      </c>
      <c r="X1031" t="s">
        <v>77</v>
      </c>
      <c r="Y1031" t="s">
        <v>646</v>
      </c>
      <c r="Z1031" t="s">
        <v>6</v>
      </c>
      <c r="AA1031" t="s">
        <v>646</v>
      </c>
      <c r="AB1031" s="4">
        <f t="shared" si="83"/>
        <v>839460</v>
      </c>
      <c r="AC1031" s="5" t="s">
        <v>2215</v>
      </c>
      <c r="AD1031" s="4">
        <f t="shared" si="82"/>
        <v>69955</v>
      </c>
      <c r="AE1031" s="4">
        <f t="shared" si="84"/>
        <v>-13991</v>
      </c>
    </row>
    <row r="1032" spans="1:31" x14ac:dyDescent="0.25">
      <c r="A1032" t="s">
        <v>0</v>
      </c>
      <c r="B1032" s="3" t="s">
        <v>2219</v>
      </c>
      <c r="C1032" t="s">
        <v>2015</v>
      </c>
      <c r="D1032" t="s">
        <v>160</v>
      </c>
      <c r="E1032" t="s">
        <v>1402</v>
      </c>
      <c r="F1032" s="1">
        <v>46081</v>
      </c>
      <c r="G1032" s="1">
        <v>46081</v>
      </c>
      <c r="H1032" t="s">
        <v>2016</v>
      </c>
      <c r="I1032" t="s">
        <v>5</v>
      </c>
      <c r="J1032" t="s">
        <v>6</v>
      </c>
      <c r="K1032" t="s">
        <v>4</v>
      </c>
      <c r="L1032" t="s">
        <v>2065</v>
      </c>
      <c r="M1032" t="s">
        <v>2065</v>
      </c>
      <c r="N1032" s="2">
        <v>143165</v>
      </c>
      <c r="O1032" t="s">
        <v>2018</v>
      </c>
      <c r="P1032" t="s">
        <v>9</v>
      </c>
      <c r="Q1032" t="s">
        <v>75</v>
      </c>
      <c r="R1032" t="e">
        <f>VLOOKUP(Q1032,#REF!,2,FALSE)</f>
        <v>#REF!</v>
      </c>
      <c r="S1032">
        <v>1004</v>
      </c>
      <c r="T1032" t="s">
        <v>2225</v>
      </c>
      <c r="U1032" t="s">
        <v>2019</v>
      </c>
      <c r="V1032" s="1">
        <v>46081</v>
      </c>
      <c r="W1032" s="1">
        <v>46081</v>
      </c>
      <c r="X1032" t="s">
        <v>77</v>
      </c>
      <c r="Y1032" t="s">
        <v>646</v>
      </c>
      <c r="Z1032" t="s">
        <v>6</v>
      </c>
      <c r="AA1032" t="s">
        <v>646</v>
      </c>
      <c r="AB1032" s="4">
        <f t="shared" si="83"/>
        <v>1431650</v>
      </c>
      <c r="AC1032" s="5" t="s">
        <v>2215</v>
      </c>
      <c r="AD1032" s="4">
        <f t="shared" si="82"/>
        <v>119304.16666666667</v>
      </c>
      <c r="AE1032" s="4">
        <f t="shared" si="84"/>
        <v>-23860.833333333328</v>
      </c>
    </row>
    <row r="1033" spans="1:31" x14ac:dyDescent="0.25">
      <c r="A1033" t="s">
        <v>0</v>
      </c>
      <c r="B1033" s="3" t="s">
        <v>2219</v>
      </c>
      <c r="C1033" t="s">
        <v>2015</v>
      </c>
      <c r="D1033" t="s">
        <v>160</v>
      </c>
      <c r="E1033" t="s">
        <v>2066</v>
      </c>
      <c r="F1033" s="1">
        <v>46081</v>
      </c>
      <c r="G1033" s="1">
        <v>46081</v>
      </c>
      <c r="H1033" t="s">
        <v>2016</v>
      </c>
      <c r="I1033" t="s">
        <v>5</v>
      </c>
      <c r="J1033" t="s">
        <v>6</v>
      </c>
      <c r="K1033" t="s">
        <v>4</v>
      </c>
      <c r="L1033" t="s">
        <v>2067</v>
      </c>
      <c r="M1033" t="s">
        <v>2067</v>
      </c>
      <c r="N1033" s="2">
        <v>100439</v>
      </c>
      <c r="O1033" t="s">
        <v>2018</v>
      </c>
      <c r="P1033" t="s">
        <v>9</v>
      </c>
      <c r="Q1033" t="s">
        <v>75</v>
      </c>
      <c r="R1033" t="e">
        <f>VLOOKUP(Q1033,#REF!,2,FALSE)</f>
        <v>#REF!</v>
      </c>
      <c r="S1033">
        <v>1004</v>
      </c>
      <c r="T1033" t="s">
        <v>2225</v>
      </c>
      <c r="U1033" t="s">
        <v>2019</v>
      </c>
      <c r="V1033" s="1">
        <v>46081</v>
      </c>
      <c r="W1033" s="1">
        <v>46081</v>
      </c>
      <c r="X1033" t="s">
        <v>77</v>
      </c>
      <c r="Y1033" t="s">
        <v>646</v>
      </c>
      <c r="Z1033" t="s">
        <v>6</v>
      </c>
      <c r="AA1033" t="s">
        <v>646</v>
      </c>
      <c r="AB1033" s="4">
        <f t="shared" si="83"/>
        <v>1004390</v>
      </c>
      <c r="AC1033" s="5" t="s">
        <v>2215</v>
      </c>
      <c r="AD1033" s="4">
        <f t="shared" si="82"/>
        <v>83699.166666666672</v>
      </c>
      <c r="AE1033" s="4">
        <f t="shared" si="84"/>
        <v>-16739.833333333328</v>
      </c>
    </row>
    <row r="1034" spans="1:31" x14ac:dyDescent="0.25">
      <c r="A1034" t="s">
        <v>0</v>
      </c>
      <c r="B1034" s="3" t="s">
        <v>2219</v>
      </c>
      <c r="C1034" t="s">
        <v>2015</v>
      </c>
      <c r="D1034" t="s">
        <v>160</v>
      </c>
      <c r="E1034" t="s">
        <v>2068</v>
      </c>
      <c r="F1034" s="1">
        <v>46081</v>
      </c>
      <c r="G1034" s="1">
        <v>46081</v>
      </c>
      <c r="H1034" t="s">
        <v>2016</v>
      </c>
      <c r="I1034" t="s">
        <v>5</v>
      </c>
      <c r="J1034" t="s">
        <v>6</v>
      </c>
      <c r="K1034" t="s">
        <v>4</v>
      </c>
      <c r="L1034" t="s">
        <v>2069</v>
      </c>
      <c r="M1034" t="s">
        <v>2069</v>
      </c>
      <c r="N1034" s="2">
        <v>76238</v>
      </c>
      <c r="O1034" t="s">
        <v>2018</v>
      </c>
      <c r="P1034" t="s">
        <v>9</v>
      </c>
      <c r="Q1034" t="s">
        <v>75</v>
      </c>
      <c r="R1034" t="e">
        <f>VLOOKUP(Q1034,#REF!,2,FALSE)</f>
        <v>#REF!</v>
      </c>
      <c r="S1034">
        <v>1004</v>
      </c>
      <c r="T1034" t="s">
        <v>2225</v>
      </c>
      <c r="U1034" t="s">
        <v>2019</v>
      </c>
      <c r="V1034" s="1">
        <v>46081</v>
      </c>
      <c r="W1034" s="1">
        <v>46081</v>
      </c>
      <c r="X1034" t="s">
        <v>77</v>
      </c>
      <c r="Y1034" t="s">
        <v>646</v>
      </c>
      <c r="Z1034" t="s">
        <v>6</v>
      </c>
      <c r="AA1034" t="s">
        <v>646</v>
      </c>
      <c r="AB1034" s="4">
        <f t="shared" si="83"/>
        <v>762380</v>
      </c>
      <c r="AC1034" s="5" t="s">
        <v>2215</v>
      </c>
      <c r="AD1034" s="4">
        <f t="shared" si="82"/>
        <v>63531.666666666664</v>
      </c>
      <c r="AE1034" s="4">
        <f t="shared" si="84"/>
        <v>-12706.333333333336</v>
      </c>
    </row>
    <row r="1035" spans="1:31" x14ac:dyDescent="0.25">
      <c r="A1035" t="s">
        <v>0</v>
      </c>
      <c r="B1035" s="3" t="s">
        <v>2219</v>
      </c>
      <c r="C1035" t="s">
        <v>2015</v>
      </c>
      <c r="D1035" t="s">
        <v>160</v>
      </c>
      <c r="E1035" t="s">
        <v>2070</v>
      </c>
      <c r="F1035" s="1">
        <v>46081</v>
      </c>
      <c r="G1035" s="1">
        <v>46081</v>
      </c>
      <c r="H1035" t="s">
        <v>2016</v>
      </c>
      <c r="I1035" t="s">
        <v>5</v>
      </c>
      <c r="J1035" t="s">
        <v>6</v>
      </c>
      <c r="K1035" t="s">
        <v>4</v>
      </c>
      <c r="L1035" t="s">
        <v>2071</v>
      </c>
      <c r="M1035" t="s">
        <v>2071</v>
      </c>
      <c r="N1035" s="2">
        <v>181366</v>
      </c>
      <c r="O1035" t="s">
        <v>2018</v>
      </c>
      <c r="P1035" t="s">
        <v>9</v>
      </c>
      <c r="Q1035" t="s">
        <v>75</v>
      </c>
      <c r="R1035" t="e">
        <f>VLOOKUP(Q1035,#REF!,2,FALSE)</f>
        <v>#REF!</v>
      </c>
      <c r="S1035">
        <v>1004</v>
      </c>
      <c r="T1035" t="s">
        <v>2225</v>
      </c>
      <c r="U1035" t="s">
        <v>2019</v>
      </c>
      <c r="V1035" s="1">
        <v>46081</v>
      </c>
      <c r="W1035" s="1">
        <v>46081</v>
      </c>
      <c r="X1035" t="s">
        <v>77</v>
      </c>
      <c r="Y1035" t="s">
        <v>646</v>
      </c>
      <c r="Z1035" t="s">
        <v>6</v>
      </c>
      <c r="AA1035" t="s">
        <v>646</v>
      </c>
      <c r="AB1035" s="4">
        <f t="shared" si="83"/>
        <v>1813660</v>
      </c>
      <c r="AC1035" s="5" t="s">
        <v>2215</v>
      </c>
      <c r="AD1035" s="4">
        <f t="shared" si="82"/>
        <v>151138.33333333334</v>
      </c>
      <c r="AE1035" s="4">
        <f t="shared" si="84"/>
        <v>-30227.666666666657</v>
      </c>
    </row>
    <row r="1036" spans="1:31" x14ac:dyDescent="0.25">
      <c r="A1036" t="s">
        <v>0</v>
      </c>
      <c r="B1036" s="3" t="s">
        <v>2219</v>
      </c>
      <c r="C1036" t="s">
        <v>2015</v>
      </c>
      <c r="D1036" t="s">
        <v>160</v>
      </c>
      <c r="E1036" t="s">
        <v>5</v>
      </c>
      <c r="F1036" s="1">
        <v>46081</v>
      </c>
      <c r="G1036" s="1">
        <v>46081</v>
      </c>
      <c r="H1036" t="s">
        <v>2016</v>
      </c>
      <c r="I1036" t="s">
        <v>5</v>
      </c>
      <c r="J1036" t="s">
        <v>6</v>
      </c>
      <c r="K1036" t="s">
        <v>4</v>
      </c>
      <c r="L1036" t="s">
        <v>2072</v>
      </c>
      <c r="M1036" t="s">
        <v>2072</v>
      </c>
      <c r="N1036" s="2">
        <v>93152</v>
      </c>
      <c r="O1036" t="s">
        <v>2018</v>
      </c>
      <c r="P1036" t="s">
        <v>9</v>
      </c>
      <c r="Q1036" t="s">
        <v>75</v>
      </c>
      <c r="R1036" t="e">
        <f>VLOOKUP(Q1036,#REF!,2,FALSE)</f>
        <v>#REF!</v>
      </c>
      <c r="S1036">
        <v>1004</v>
      </c>
      <c r="T1036" t="s">
        <v>2225</v>
      </c>
      <c r="U1036" t="s">
        <v>2019</v>
      </c>
      <c r="V1036" s="1">
        <v>46081</v>
      </c>
      <c r="W1036" s="1">
        <v>46081</v>
      </c>
      <c r="X1036" t="s">
        <v>77</v>
      </c>
      <c r="Y1036" t="s">
        <v>646</v>
      </c>
      <c r="Z1036" t="s">
        <v>6</v>
      </c>
      <c r="AA1036" t="s">
        <v>646</v>
      </c>
      <c r="AB1036" s="4">
        <f t="shared" si="83"/>
        <v>931520</v>
      </c>
      <c r="AC1036" s="5" t="s">
        <v>2215</v>
      </c>
      <c r="AD1036" s="4">
        <f t="shared" si="82"/>
        <v>77626.666666666672</v>
      </c>
      <c r="AE1036" s="4">
        <f t="shared" si="84"/>
        <v>-15525.333333333328</v>
      </c>
    </row>
    <row r="1037" spans="1:31" x14ac:dyDescent="0.25">
      <c r="A1037" t="s">
        <v>0</v>
      </c>
      <c r="B1037" s="3" t="s">
        <v>2219</v>
      </c>
      <c r="C1037" t="s">
        <v>2015</v>
      </c>
      <c r="D1037" t="s">
        <v>160</v>
      </c>
      <c r="E1037" t="s">
        <v>2073</v>
      </c>
      <c r="F1037" s="1">
        <v>46081</v>
      </c>
      <c r="G1037" s="1">
        <v>46081</v>
      </c>
      <c r="H1037" t="s">
        <v>2016</v>
      </c>
      <c r="I1037" t="s">
        <v>5</v>
      </c>
      <c r="J1037" t="s">
        <v>6</v>
      </c>
      <c r="K1037" t="s">
        <v>4</v>
      </c>
      <c r="L1037" t="s">
        <v>2074</v>
      </c>
      <c r="M1037" t="s">
        <v>2074</v>
      </c>
      <c r="N1037" s="2">
        <v>100871</v>
      </c>
      <c r="O1037" t="s">
        <v>2018</v>
      </c>
      <c r="P1037" t="s">
        <v>9</v>
      </c>
      <c r="Q1037" t="s">
        <v>75</v>
      </c>
      <c r="R1037" t="e">
        <f>VLOOKUP(Q1037,#REF!,2,FALSE)</f>
        <v>#REF!</v>
      </c>
      <c r="S1037">
        <v>1004</v>
      </c>
      <c r="T1037" t="s">
        <v>2225</v>
      </c>
      <c r="U1037" t="s">
        <v>2019</v>
      </c>
      <c r="V1037" s="1">
        <v>46081</v>
      </c>
      <c r="W1037" s="1">
        <v>46081</v>
      </c>
      <c r="X1037" t="s">
        <v>77</v>
      </c>
      <c r="Y1037" t="s">
        <v>646</v>
      </c>
      <c r="Z1037" t="s">
        <v>6</v>
      </c>
      <c r="AA1037" t="s">
        <v>646</v>
      </c>
      <c r="AB1037" s="4">
        <f t="shared" si="83"/>
        <v>1008710</v>
      </c>
      <c r="AC1037" s="5" t="s">
        <v>2215</v>
      </c>
      <c r="AD1037" s="4">
        <f t="shared" si="82"/>
        <v>84059.166666666672</v>
      </c>
      <c r="AE1037" s="4">
        <f t="shared" si="84"/>
        <v>-16811.833333333328</v>
      </c>
    </row>
    <row r="1038" spans="1:31" x14ac:dyDescent="0.25">
      <c r="A1038" t="s">
        <v>0</v>
      </c>
      <c r="B1038" s="3" t="s">
        <v>2219</v>
      </c>
      <c r="C1038" t="s">
        <v>2015</v>
      </c>
      <c r="D1038" t="s">
        <v>160</v>
      </c>
      <c r="E1038" t="s">
        <v>2075</v>
      </c>
      <c r="F1038" s="1">
        <v>46081</v>
      </c>
      <c r="G1038" s="1">
        <v>46081</v>
      </c>
      <c r="H1038" t="s">
        <v>2016</v>
      </c>
      <c r="I1038" t="s">
        <v>5</v>
      </c>
      <c r="J1038" t="s">
        <v>6</v>
      </c>
      <c r="K1038" t="s">
        <v>4</v>
      </c>
      <c r="L1038" t="s">
        <v>2076</v>
      </c>
      <c r="M1038" t="s">
        <v>2076</v>
      </c>
      <c r="N1038" s="2">
        <v>115960</v>
      </c>
      <c r="O1038" t="s">
        <v>2018</v>
      </c>
      <c r="P1038" t="s">
        <v>9</v>
      </c>
      <c r="Q1038" t="s">
        <v>75</v>
      </c>
      <c r="R1038" t="e">
        <f>VLOOKUP(Q1038,#REF!,2,FALSE)</f>
        <v>#REF!</v>
      </c>
      <c r="S1038">
        <v>1004</v>
      </c>
      <c r="T1038" t="s">
        <v>2225</v>
      </c>
      <c r="U1038" t="s">
        <v>2019</v>
      </c>
      <c r="V1038" s="1">
        <v>46081</v>
      </c>
      <c r="W1038" s="1">
        <v>46081</v>
      </c>
      <c r="X1038" t="s">
        <v>77</v>
      </c>
      <c r="Y1038" t="s">
        <v>646</v>
      </c>
      <c r="Z1038" t="s">
        <v>6</v>
      </c>
      <c r="AA1038" t="s">
        <v>646</v>
      </c>
      <c r="AB1038" s="4">
        <f t="shared" si="83"/>
        <v>1159600</v>
      </c>
      <c r="AC1038" s="5" t="s">
        <v>2215</v>
      </c>
      <c r="AD1038" s="4">
        <f t="shared" si="82"/>
        <v>96633.333333333328</v>
      </c>
      <c r="AE1038" s="4">
        <f t="shared" si="84"/>
        <v>-19326.666666666672</v>
      </c>
    </row>
    <row r="1039" spans="1:31" x14ac:dyDescent="0.25">
      <c r="A1039" t="s">
        <v>0</v>
      </c>
      <c r="B1039" s="3" t="s">
        <v>2219</v>
      </c>
      <c r="C1039" t="s">
        <v>2015</v>
      </c>
      <c r="D1039" t="s">
        <v>160</v>
      </c>
      <c r="E1039" t="s">
        <v>2077</v>
      </c>
      <c r="F1039" s="1">
        <v>46081</v>
      </c>
      <c r="G1039" s="1">
        <v>46081</v>
      </c>
      <c r="H1039" t="s">
        <v>2016</v>
      </c>
      <c r="I1039" t="s">
        <v>5</v>
      </c>
      <c r="J1039" t="s">
        <v>6</v>
      </c>
      <c r="K1039" t="s">
        <v>4</v>
      </c>
      <c r="L1039" t="s">
        <v>2078</v>
      </c>
      <c r="M1039" t="s">
        <v>2078</v>
      </c>
      <c r="N1039" s="2">
        <v>1074490</v>
      </c>
      <c r="O1039" t="s">
        <v>2018</v>
      </c>
      <c r="P1039" t="s">
        <v>9</v>
      </c>
      <c r="Q1039" t="s">
        <v>75</v>
      </c>
      <c r="R1039" t="e">
        <f>VLOOKUP(Q1039,#REF!,2,FALSE)</f>
        <v>#REF!</v>
      </c>
      <c r="S1039">
        <v>1004</v>
      </c>
      <c r="T1039" t="s">
        <v>2225</v>
      </c>
      <c r="U1039" t="s">
        <v>2019</v>
      </c>
      <c r="V1039" s="1">
        <v>46081</v>
      </c>
      <c r="W1039" s="1">
        <v>46081</v>
      </c>
      <c r="X1039" t="s">
        <v>77</v>
      </c>
      <c r="Y1039" t="s">
        <v>646</v>
      </c>
      <c r="Z1039" t="s">
        <v>6</v>
      </c>
      <c r="AA1039" t="s">
        <v>646</v>
      </c>
      <c r="AB1039" s="4">
        <f t="shared" si="83"/>
        <v>10744900</v>
      </c>
      <c r="AC1039" s="5" t="s">
        <v>2215</v>
      </c>
      <c r="AD1039" s="4">
        <f t="shared" si="82"/>
        <v>895408.33333333337</v>
      </c>
      <c r="AE1039" s="4">
        <f t="shared" si="84"/>
        <v>-179081.66666666663</v>
      </c>
    </row>
    <row r="1040" spans="1:31" x14ac:dyDescent="0.25">
      <c r="A1040" t="s">
        <v>0</v>
      </c>
      <c r="B1040" s="3" t="s">
        <v>2219</v>
      </c>
      <c r="C1040" t="s">
        <v>2015</v>
      </c>
      <c r="D1040" t="s">
        <v>160</v>
      </c>
      <c r="E1040" t="s">
        <v>2079</v>
      </c>
      <c r="F1040" s="1">
        <v>46081</v>
      </c>
      <c r="G1040" s="1">
        <v>46081</v>
      </c>
      <c r="H1040" t="s">
        <v>2016</v>
      </c>
      <c r="I1040" t="s">
        <v>5</v>
      </c>
      <c r="J1040" t="s">
        <v>6</v>
      </c>
      <c r="K1040" t="s">
        <v>4</v>
      </c>
      <c r="L1040" t="s">
        <v>2080</v>
      </c>
      <c r="M1040" t="s">
        <v>2080</v>
      </c>
      <c r="N1040" s="2">
        <v>103466</v>
      </c>
      <c r="O1040" t="s">
        <v>2018</v>
      </c>
      <c r="P1040" t="s">
        <v>9</v>
      </c>
      <c r="Q1040" t="s">
        <v>75</v>
      </c>
      <c r="R1040" t="e">
        <f>VLOOKUP(Q1040,#REF!,2,FALSE)</f>
        <v>#REF!</v>
      </c>
      <c r="S1040">
        <v>1004</v>
      </c>
      <c r="T1040" t="s">
        <v>2225</v>
      </c>
      <c r="U1040" t="s">
        <v>2019</v>
      </c>
      <c r="V1040" s="1">
        <v>46081</v>
      </c>
      <c r="W1040" s="1">
        <v>46081</v>
      </c>
      <c r="X1040" t="s">
        <v>77</v>
      </c>
      <c r="Y1040" t="s">
        <v>646</v>
      </c>
      <c r="Z1040" t="s">
        <v>6</v>
      </c>
      <c r="AA1040" t="s">
        <v>646</v>
      </c>
      <c r="AB1040" s="4">
        <f t="shared" si="83"/>
        <v>1034660</v>
      </c>
      <c r="AC1040" s="5" t="s">
        <v>2215</v>
      </c>
      <c r="AD1040" s="4">
        <f t="shared" si="82"/>
        <v>86221.666666666672</v>
      </c>
      <c r="AE1040" s="4">
        <f t="shared" si="84"/>
        <v>-17244.333333333328</v>
      </c>
    </row>
    <row r="1041" spans="1:31" x14ac:dyDescent="0.25">
      <c r="A1041" t="s">
        <v>0</v>
      </c>
      <c r="B1041" s="3" t="s">
        <v>2219</v>
      </c>
      <c r="C1041" t="s">
        <v>2015</v>
      </c>
      <c r="D1041" t="s">
        <v>160</v>
      </c>
      <c r="E1041" t="s">
        <v>2081</v>
      </c>
      <c r="F1041" s="1">
        <v>46081</v>
      </c>
      <c r="G1041" s="1">
        <v>46081</v>
      </c>
      <c r="H1041" t="s">
        <v>2016</v>
      </c>
      <c r="I1041" t="s">
        <v>5</v>
      </c>
      <c r="J1041" t="s">
        <v>6</v>
      </c>
      <c r="K1041" t="s">
        <v>4</v>
      </c>
      <c r="L1041" t="s">
        <v>2082</v>
      </c>
      <c r="M1041" t="s">
        <v>2082</v>
      </c>
      <c r="N1041" s="2">
        <v>214519</v>
      </c>
      <c r="O1041" t="s">
        <v>2018</v>
      </c>
      <c r="P1041" t="s">
        <v>9</v>
      </c>
      <c r="Q1041" t="s">
        <v>75</v>
      </c>
      <c r="R1041" t="e">
        <f>VLOOKUP(Q1041,#REF!,2,FALSE)</f>
        <v>#REF!</v>
      </c>
      <c r="S1041">
        <v>1004</v>
      </c>
      <c r="T1041" t="s">
        <v>2225</v>
      </c>
      <c r="U1041" t="s">
        <v>2019</v>
      </c>
      <c r="V1041" s="1">
        <v>46081</v>
      </c>
      <c r="W1041" s="1">
        <v>46081</v>
      </c>
      <c r="X1041" t="s">
        <v>77</v>
      </c>
      <c r="Y1041" t="s">
        <v>646</v>
      </c>
      <c r="Z1041" t="s">
        <v>6</v>
      </c>
      <c r="AA1041" t="s">
        <v>646</v>
      </c>
      <c r="AB1041" s="4">
        <f t="shared" si="83"/>
        <v>2145190</v>
      </c>
      <c r="AC1041" s="5" t="s">
        <v>2215</v>
      </c>
      <c r="AD1041" s="4">
        <f t="shared" si="82"/>
        <v>178765.83333333334</v>
      </c>
      <c r="AE1041" s="4">
        <f t="shared" si="84"/>
        <v>-35753.166666666657</v>
      </c>
    </row>
    <row r="1042" spans="1:31" x14ac:dyDescent="0.25">
      <c r="A1042" t="s">
        <v>0</v>
      </c>
      <c r="B1042" s="3" t="s">
        <v>2219</v>
      </c>
      <c r="C1042" t="s">
        <v>2015</v>
      </c>
      <c r="D1042" t="s">
        <v>160</v>
      </c>
      <c r="E1042" t="s">
        <v>2083</v>
      </c>
      <c r="F1042" s="1">
        <v>46081</v>
      </c>
      <c r="G1042" s="1">
        <v>46081</v>
      </c>
      <c r="H1042" t="s">
        <v>2016</v>
      </c>
      <c r="I1042" t="s">
        <v>5</v>
      </c>
      <c r="J1042" t="s">
        <v>6</v>
      </c>
      <c r="K1042" t="s">
        <v>4</v>
      </c>
      <c r="L1042" t="s">
        <v>2084</v>
      </c>
      <c r="M1042" t="s">
        <v>2084</v>
      </c>
      <c r="N1042" s="2">
        <v>171537</v>
      </c>
      <c r="O1042" t="s">
        <v>2018</v>
      </c>
      <c r="P1042" t="s">
        <v>9</v>
      </c>
      <c r="Q1042" t="s">
        <v>75</v>
      </c>
      <c r="R1042" t="e">
        <f>VLOOKUP(Q1042,#REF!,2,FALSE)</f>
        <v>#REF!</v>
      </c>
      <c r="S1042">
        <v>1004</v>
      </c>
      <c r="T1042" t="s">
        <v>2225</v>
      </c>
      <c r="U1042" t="s">
        <v>2019</v>
      </c>
      <c r="V1042" s="1">
        <v>46081</v>
      </c>
      <c r="W1042" s="1">
        <v>46081</v>
      </c>
      <c r="X1042" t="s">
        <v>77</v>
      </c>
      <c r="Y1042" t="s">
        <v>646</v>
      </c>
      <c r="Z1042" t="s">
        <v>6</v>
      </c>
      <c r="AA1042" t="s">
        <v>646</v>
      </c>
      <c r="AB1042" s="4">
        <f t="shared" si="83"/>
        <v>1715370</v>
      </c>
      <c r="AC1042" s="5" t="s">
        <v>2215</v>
      </c>
      <c r="AD1042" s="4">
        <f t="shared" si="82"/>
        <v>142947.5</v>
      </c>
      <c r="AE1042" s="4">
        <f t="shared" si="84"/>
        <v>-28589.5</v>
      </c>
    </row>
    <row r="1043" spans="1:31" x14ac:dyDescent="0.25">
      <c r="A1043" t="s">
        <v>0</v>
      </c>
      <c r="B1043" s="3" t="s">
        <v>2219</v>
      </c>
      <c r="C1043" t="s">
        <v>2015</v>
      </c>
      <c r="D1043" t="s">
        <v>160</v>
      </c>
      <c r="E1043" t="s">
        <v>2085</v>
      </c>
      <c r="F1043" s="1">
        <v>46081</v>
      </c>
      <c r="G1043" s="1">
        <v>46081</v>
      </c>
      <c r="H1043" t="s">
        <v>2016</v>
      </c>
      <c r="I1043" t="s">
        <v>5</v>
      </c>
      <c r="J1043" t="s">
        <v>6</v>
      </c>
      <c r="K1043" t="s">
        <v>4</v>
      </c>
      <c r="L1043" t="s">
        <v>2086</v>
      </c>
      <c r="M1043" t="s">
        <v>2086</v>
      </c>
      <c r="N1043" s="2">
        <v>13461</v>
      </c>
      <c r="O1043" t="s">
        <v>2018</v>
      </c>
      <c r="P1043" t="s">
        <v>9</v>
      </c>
      <c r="Q1043" t="s">
        <v>82</v>
      </c>
      <c r="R1043" t="e">
        <f>VLOOKUP(Q1043,#REF!,2,FALSE)</f>
        <v>#REF!</v>
      </c>
      <c r="S1043">
        <v>1004</v>
      </c>
      <c r="T1043" t="s">
        <v>2225</v>
      </c>
      <c r="U1043" t="s">
        <v>2019</v>
      </c>
      <c r="V1043" s="1">
        <v>46081</v>
      </c>
      <c r="W1043" s="1">
        <v>46081</v>
      </c>
      <c r="X1043" t="s">
        <v>77</v>
      </c>
      <c r="Y1043" t="s">
        <v>646</v>
      </c>
      <c r="Z1043" t="s">
        <v>6</v>
      </c>
      <c r="AA1043" t="s">
        <v>646</v>
      </c>
      <c r="AB1043" s="4">
        <f t="shared" ref="AB1043:AB1056" si="85">L1043/0.08</f>
        <v>168262.5</v>
      </c>
      <c r="AC1043" s="6">
        <v>0.1</v>
      </c>
      <c r="AD1043" s="4">
        <f t="shared" ref="AD1043:AD1056" si="86">AB1043*AC1043</f>
        <v>16826.25</v>
      </c>
      <c r="AE1043" s="4">
        <f t="shared" si="84"/>
        <v>3365.25</v>
      </c>
    </row>
    <row r="1044" spans="1:31" x14ac:dyDescent="0.25">
      <c r="A1044" t="s">
        <v>0</v>
      </c>
      <c r="B1044" s="3" t="s">
        <v>2219</v>
      </c>
      <c r="C1044" t="s">
        <v>2015</v>
      </c>
      <c r="D1044" t="s">
        <v>160</v>
      </c>
      <c r="E1044" t="s">
        <v>2087</v>
      </c>
      <c r="F1044" s="1">
        <v>46081</v>
      </c>
      <c r="G1044" s="1">
        <v>46081</v>
      </c>
      <c r="H1044" t="s">
        <v>2016</v>
      </c>
      <c r="I1044" t="s">
        <v>5</v>
      </c>
      <c r="J1044" t="s">
        <v>6</v>
      </c>
      <c r="K1044" t="s">
        <v>4</v>
      </c>
      <c r="L1044" t="s">
        <v>2088</v>
      </c>
      <c r="M1044" t="s">
        <v>2088</v>
      </c>
      <c r="N1044" s="2">
        <v>54345</v>
      </c>
      <c r="O1044" t="s">
        <v>2018</v>
      </c>
      <c r="P1044" t="s">
        <v>9</v>
      </c>
      <c r="Q1044" t="s">
        <v>82</v>
      </c>
      <c r="R1044" t="e">
        <f>VLOOKUP(Q1044,#REF!,2,FALSE)</f>
        <v>#REF!</v>
      </c>
      <c r="S1044">
        <v>1004</v>
      </c>
      <c r="T1044" t="s">
        <v>2225</v>
      </c>
      <c r="U1044" t="s">
        <v>2019</v>
      </c>
      <c r="V1044" s="1">
        <v>46081</v>
      </c>
      <c r="W1044" s="1">
        <v>46081</v>
      </c>
      <c r="X1044" t="s">
        <v>77</v>
      </c>
      <c r="Y1044" t="s">
        <v>646</v>
      </c>
      <c r="Z1044" t="s">
        <v>6</v>
      </c>
      <c r="AA1044" t="s">
        <v>646</v>
      </c>
      <c r="AB1044" s="4">
        <f t="shared" si="85"/>
        <v>679312.5</v>
      </c>
      <c r="AC1044" s="6">
        <v>0.1</v>
      </c>
      <c r="AD1044" s="4">
        <f t="shared" si="86"/>
        <v>67931.25</v>
      </c>
      <c r="AE1044" s="4">
        <f t="shared" si="84"/>
        <v>13586.25</v>
      </c>
    </row>
    <row r="1045" spans="1:31" x14ac:dyDescent="0.25">
      <c r="A1045" t="s">
        <v>0</v>
      </c>
      <c r="B1045" s="3" t="s">
        <v>2219</v>
      </c>
      <c r="C1045" t="s">
        <v>2015</v>
      </c>
      <c r="D1045" t="s">
        <v>160</v>
      </c>
      <c r="E1045" t="s">
        <v>2089</v>
      </c>
      <c r="F1045" s="1">
        <v>46081</v>
      </c>
      <c r="G1045" s="1">
        <v>46081</v>
      </c>
      <c r="H1045" t="s">
        <v>2016</v>
      </c>
      <c r="I1045" t="s">
        <v>5</v>
      </c>
      <c r="J1045" t="s">
        <v>6</v>
      </c>
      <c r="K1045" t="s">
        <v>4</v>
      </c>
      <c r="L1045" t="s">
        <v>1572</v>
      </c>
      <c r="M1045" t="s">
        <v>1572</v>
      </c>
      <c r="N1045" s="2">
        <v>11916</v>
      </c>
      <c r="O1045" t="s">
        <v>2018</v>
      </c>
      <c r="P1045" t="s">
        <v>9</v>
      </c>
      <c r="Q1045" t="s">
        <v>82</v>
      </c>
      <c r="R1045" t="e">
        <f>VLOOKUP(Q1045,#REF!,2,FALSE)</f>
        <v>#REF!</v>
      </c>
      <c r="S1045">
        <v>1004</v>
      </c>
      <c r="T1045" t="s">
        <v>2225</v>
      </c>
      <c r="U1045" t="s">
        <v>2019</v>
      </c>
      <c r="V1045" s="1">
        <v>46081</v>
      </c>
      <c r="W1045" s="1">
        <v>46081</v>
      </c>
      <c r="X1045" t="s">
        <v>77</v>
      </c>
      <c r="Y1045" t="s">
        <v>646</v>
      </c>
      <c r="Z1045" t="s">
        <v>6</v>
      </c>
      <c r="AA1045" t="s">
        <v>646</v>
      </c>
      <c r="AB1045" s="4">
        <f t="shared" si="85"/>
        <v>148950</v>
      </c>
      <c r="AC1045" s="6">
        <v>0.1</v>
      </c>
      <c r="AD1045" s="4">
        <f t="shared" si="86"/>
        <v>14895</v>
      </c>
      <c r="AE1045" s="4">
        <f t="shared" si="84"/>
        <v>2979</v>
      </c>
    </row>
    <row r="1046" spans="1:31" x14ac:dyDescent="0.25">
      <c r="A1046" t="s">
        <v>0</v>
      </c>
      <c r="B1046" s="3" t="s">
        <v>2219</v>
      </c>
      <c r="C1046" t="s">
        <v>2015</v>
      </c>
      <c r="D1046" t="s">
        <v>160</v>
      </c>
      <c r="E1046" t="s">
        <v>2090</v>
      </c>
      <c r="F1046" s="1">
        <v>46081</v>
      </c>
      <c r="G1046" s="1">
        <v>46081</v>
      </c>
      <c r="H1046" t="s">
        <v>2016</v>
      </c>
      <c r="I1046" t="s">
        <v>5</v>
      </c>
      <c r="J1046" t="s">
        <v>6</v>
      </c>
      <c r="K1046" t="s">
        <v>4</v>
      </c>
      <c r="L1046" t="s">
        <v>2091</v>
      </c>
      <c r="M1046" t="s">
        <v>2091</v>
      </c>
      <c r="N1046" s="2">
        <v>35443</v>
      </c>
      <c r="O1046" t="s">
        <v>2018</v>
      </c>
      <c r="P1046" t="s">
        <v>9</v>
      </c>
      <c r="Q1046" t="s">
        <v>82</v>
      </c>
      <c r="R1046" t="e">
        <f>VLOOKUP(Q1046,#REF!,2,FALSE)</f>
        <v>#REF!</v>
      </c>
      <c r="S1046">
        <v>1004</v>
      </c>
      <c r="T1046" t="s">
        <v>2225</v>
      </c>
      <c r="U1046" t="s">
        <v>2019</v>
      </c>
      <c r="V1046" s="1">
        <v>46081</v>
      </c>
      <c r="W1046" s="1">
        <v>46081</v>
      </c>
      <c r="X1046" t="s">
        <v>77</v>
      </c>
      <c r="Y1046" t="s">
        <v>646</v>
      </c>
      <c r="Z1046" t="s">
        <v>6</v>
      </c>
      <c r="AA1046" t="s">
        <v>646</v>
      </c>
      <c r="AB1046" s="4">
        <f t="shared" si="85"/>
        <v>443037.5</v>
      </c>
      <c r="AC1046" s="6">
        <v>0.1</v>
      </c>
      <c r="AD1046" s="4">
        <f t="shared" si="86"/>
        <v>44303.75</v>
      </c>
      <c r="AE1046" s="4">
        <f t="shared" si="84"/>
        <v>8860.75</v>
      </c>
    </row>
    <row r="1047" spans="1:31" x14ac:dyDescent="0.25">
      <c r="A1047" t="s">
        <v>0</v>
      </c>
      <c r="B1047" s="3" t="s">
        <v>2219</v>
      </c>
      <c r="C1047" t="s">
        <v>2015</v>
      </c>
      <c r="D1047" t="s">
        <v>160</v>
      </c>
      <c r="E1047" t="s">
        <v>2092</v>
      </c>
      <c r="F1047" s="1">
        <v>46081</v>
      </c>
      <c r="G1047" s="1">
        <v>46081</v>
      </c>
      <c r="H1047" t="s">
        <v>2016</v>
      </c>
      <c r="I1047" t="s">
        <v>5</v>
      </c>
      <c r="J1047" t="s">
        <v>6</v>
      </c>
      <c r="K1047" t="s">
        <v>4</v>
      </c>
      <c r="L1047" t="s">
        <v>1834</v>
      </c>
      <c r="M1047" t="s">
        <v>1834</v>
      </c>
      <c r="N1047" s="2">
        <v>9877</v>
      </c>
      <c r="O1047" t="s">
        <v>2018</v>
      </c>
      <c r="P1047" t="s">
        <v>9</v>
      </c>
      <c r="Q1047" t="s">
        <v>82</v>
      </c>
      <c r="R1047" t="e">
        <f>VLOOKUP(Q1047,#REF!,2,FALSE)</f>
        <v>#REF!</v>
      </c>
      <c r="S1047">
        <v>1004</v>
      </c>
      <c r="T1047" t="s">
        <v>2225</v>
      </c>
      <c r="U1047" t="s">
        <v>2019</v>
      </c>
      <c r="V1047" s="1">
        <v>46081</v>
      </c>
      <c r="W1047" s="1">
        <v>46081</v>
      </c>
      <c r="X1047" t="s">
        <v>77</v>
      </c>
      <c r="Y1047" t="s">
        <v>646</v>
      </c>
      <c r="Z1047" t="s">
        <v>6</v>
      </c>
      <c r="AA1047" t="s">
        <v>646</v>
      </c>
      <c r="AB1047" s="4">
        <f t="shared" si="85"/>
        <v>123462.5</v>
      </c>
      <c r="AC1047" s="6">
        <v>0.1</v>
      </c>
      <c r="AD1047" s="4">
        <f t="shared" si="86"/>
        <v>12346.25</v>
      </c>
      <c r="AE1047" s="4">
        <f t="shared" si="84"/>
        <v>2469.25</v>
      </c>
    </row>
    <row r="1048" spans="1:31" x14ac:dyDescent="0.25">
      <c r="A1048" t="s">
        <v>0</v>
      </c>
      <c r="B1048" s="3" t="s">
        <v>2219</v>
      </c>
      <c r="C1048" t="s">
        <v>2015</v>
      </c>
      <c r="D1048" t="s">
        <v>160</v>
      </c>
      <c r="E1048" t="s">
        <v>1173</v>
      </c>
      <c r="F1048" s="1">
        <v>46081</v>
      </c>
      <c r="G1048" s="1">
        <v>46081</v>
      </c>
      <c r="H1048" t="s">
        <v>2016</v>
      </c>
      <c r="I1048" t="s">
        <v>5</v>
      </c>
      <c r="J1048" t="s">
        <v>6</v>
      </c>
      <c r="K1048" t="s">
        <v>4</v>
      </c>
      <c r="L1048" t="s">
        <v>2093</v>
      </c>
      <c r="M1048" t="s">
        <v>2093</v>
      </c>
      <c r="N1048" s="2">
        <v>29045</v>
      </c>
      <c r="O1048" t="s">
        <v>2018</v>
      </c>
      <c r="P1048" t="s">
        <v>9</v>
      </c>
      <c r="Q1048" t="s">
        <v>82</v>
      </c>
      <c r="R1048" t="e">
        <f>VLOOKUP(Q1048,#REF!,2,FALSE)</f>
        <v>#REF!</v>
      </c>
      <c r="S1048">
        <v>1004</v>
      </c>
      <c r="T1048" t="s">
        <v>2225</v>
      </c>
      <c r="U1048" t="s">
        <v>2019</v>
      </c>
      <c r="V1048" s="1">
        <v>46081</v>
      </c>
      <c r="W1048" s="1">
        <v>46081</v>
      </c>
      <c r="X1048" t="s">
        <v>77</v>
      </c>
      <c r="Y1048" t="s">
        <v>646</v>
      </c>
      <c r="Z1048" t="s">
        <v>6</v>
      </c>
      <c r="AA1048" t="s">
        <v>646</v>
      </c>
      <c r="AB1048" s="4">
        <f t="shared" si="85"/>
        <v>363062.5</v>
      </c>
      <c r="AC1048" s="6">
        <v>0.1</v>
      </c>
      <c r="AD1048" s="4">
        <f t="shared" si="86"/>
        <v>36306.25</v>
      </c>
      <c r="AE1048" s="4">
        <f t="shared" si="84"/>
        <v>7261.25</v>
      </c>
    </row>
    <row r="1049" spans="1:31" x14ac:dyDescent="0.25">
      <c r="A1049" t="s">
        <v>0</v>
      </c>
      <c r="B1049" s="3" t="s">
        <v>2219</v>
      </c>
      <c r="C1049" t="s">
        <v>2015</v>
      </c>
      <c r="D1049" t="s">
        <v>160</v>
      </c>
      <c r="E1049" t="s">
        <v>1177</v>
      </c>
      <c r="F1049" s="1">
        <v>46081</v>
      </c>
      <c r="G1049" s="1">
        <v>46081</v>
      </c>
      <c r="H1049" t="s">
        <v>2016</v>
      </c>
      <c r="I1049" t="s">
        <v>5</v>
      </c>
      <c r="J1049" t="s">
        <v>6</v>
      </c>
      <c r="K1049" t="s">
        <v>4</v>
      </c>
      <c r="L1049" t="s">
        <v>2094</v>
      </c>
      <c r="M1049" t="s">
        <v>2094</v>
      </c>
      <c r="N1049" s="2">
        <v>19236</v>
      </c>
      <c r="O1049" t="s">
        <v>2018</v>
      </c>
      <c r="P1049" t="s">
        <v>9</v>
      </c>
      <c r="Q1049" t="s">
        <v>82</v>
      </c>
      <c r="R1049" t="e">
        <f>VLOOKUP(Q1049,#REF!,2,FALSE)</f>
        <v>#REF!</v>
      </c>
      <c r="S1049">
        <v>1004</v>
      </c>
      <c r="T1049" t="s">
        <v>2225</v>
      </c>
      <c r="U1049" t="s">
        <v>2019</v>
      </c>
      <c r="V1049" s="1">
        <v>46081</v>
      </c>
      <c r="W1049" s="1">
        <v>46081</v>
      </c>
      <c r="X1049" t="s">
        <v>77</v>
      </c>
      <c r="Y1049" t="s">
        <v>646</v>
      </c>
      <c r="Z1049" t="s">
        <v>6</v>
      </c>
      <c r="AA1049" t="s">
        <v>646</v>
      </c>
      <c r="AB1049" s="4">
        <f t="shared" si="85"/>
        <v>240450</v>
      </c>
      <c r="AC1049" s="6">
        <v>0.1</v>
      </c>
      <c r="AD1049" s="4">
        <f t="shared" si="86"/>
        <v>24045</v>
      </c>
      <c r="AE1049" s="4">
        <f t="shared" si="84"/>
        <v>4809</v>
      </c>
    </row>
    <row r="1050" spans="1:31" x14ac:dyDescent="0.25">
      <c r="A1050" t="s">
        <v>0</v>
      </c>
      <c r="B1050" s="3" t="s">
        <v>2219</v>
      </c>
      <c r="C1050" t="s">
        <v>2015</v>
      </c>
      <c r="D1050" t="s">
        <v>160</v>
      </c>
      <c r="E1050" t="s">
        <v>1179</v>
      </c>
      <c r="F1050" s="1">
        <v>46081</v>
      </c>
      <c r="G1050" s="1">
        <v>46081</v>
      </c>
      <c r="H1050" t="s">
        <v>2016</v>
      </c>
      <c r="I1050" t="s">
        <v>5</v>
      </c>
      <c r="J1050" t="s">
        <v>6</v>
      </c>
      <c r="K1050" t="s">
        <v>4</v>
      </c>
      <c r="L1050" t="s">
        <v>1577</v>
      </c>
      <c r="M1050" t="s">
        <v>1577</v>
      </c>
      <c r="N1050" s="2">
        <v>15128</v>
      </c>
      <c r="O1050" t="s">
        <v>2018</v>
      </c>
      <c r="P1050" t="s">
        <v>9</v>
      </c>
      <c r="Q1050" t="s">
        <v>82</v>
      </c>
      <c r="R1050" t="e">
        <f>VLOOKUP(Q1050,#REF!,2,FALSE)</f>
        <v>#REF!</v>
      </c>
      <c r="S1050">
        <v>1004</v>
      </c>
      <c r="T1050" t="s">
        <v>2225</v>
      </c>
      <c r="U1050" t="s">
        <v>2019</v>
      </c>
      <c r="V1050" s="1">
        <v>46081</v>
      </c>
      <c r="W1050" s="1">
        <v>46081</v>
      </c>
      <c r="X1050" t="s">
        <v>77</v>
      </c>
      <c r="Y1050" t="s">
        <v>646</v>
      </c>
      <c r="Z1050" t="s">
        <v>6</v>
      </c>
      <c r="AA1050" t="s">
        <v>646</v>
      </c>
      <c r="AB1050" s="4">
        <f t="shared" si="85"/>
        <v>189100</v>
      </c>
      <c r="AC1050" s="6">
        <v>0.1</v>
      </c>
      <c r="AD1050" s="4">
        <f t="shared" si="86"/>
        <v>18910</v>
      </c>
      <c r="AE1050" s="4">
        <f t="shared" si="84"/>
        <v>3782</v>
      </c>
    </row>
    <row r="1051" spans="1:31" x14ac:dyDescent="0.25">
      <c r="A1051" t="s">
        <v>0</v>
      </c>
      <c r="B1051" s="3" t="s">
        <v>2219</v>
      </c>
      <c r="C1051" t="s">
        <v>2015</v>
      </c>
      <c r="D1051" t="s">
        <v>160</v>
      </c>
      <c r="E1051" t="s">
        <v>1181</v>
      </c>
      <c r="F1051" s="1">
        <v>46081</v>
      </c>
      <c r="G1051" s="1">
        <v>46081</v>
      </c>
      <c r="H1051" t="s">
        <v>2016</v>
      </c>
      <c r="I1051" t="s">
        <v>5</v>
      </c>
      <c r="J1051" t="s">
        <v>6</v>
      </c>
      <c r="K1051" t="s">
        <v>4</v>
      </c>
      <c r="L1051" t="s">
        <v>1578</v>
      </c>
      <c r="M1051" t="s">
        <v>1578</v>
      </c>
      <c r="N1051" s="2">
        <v>35579</v>
      </c>
      <c r="O1051" t="s">
        <v>2018</v>
      </c>
      <c r="P1051" t="s">
        <v>9</v>
      </c>
      <c r="Q1051" t="s">
        <v>82</v>
      </c>
      <c r="R1051" t="e">
        <f>VLOOKUP(Q1051,#REF!,2,FALSE)</f>
        <v>#REF!</v>
      </c>
      <c r="S1051">
        <v>1004</v>
      </c>
      <c r="T1051" t="s">
        <v>2225</v>
      </c>
      <c r="U1051" t="s">
        <v>2019</v>
      </c>
      <c r="V1051" s="1">
        <v>46081</v>
      </c>
      <c r="W1051" s="1">
        <v>46081</v>
      </c>
      <c r="X1051" t="s">
        <v>77</v>
      </c>
      <c r="Y1051" t="s">
        <v>646</v>
      </c>
      <c r="Z1051" t="s">
        <v>6</v>
      </c>
      <c r="AA1051" t="s">
        <v>646</v>
      </c>
      <c r="AB1051" s="4">
        <f t="shared" si="85"/>
        <v>444737.5</v>
      </c>
      <c r="AC1051" s="6">
        <v>0.1</v>
      </c>
      <c r="AD1051" s="4">
        <f t="shared" si="86"/>
        <v>44473.75</v>
      </c>
      <c r="AE1051" s="4">
        <f t="shared" si="84"/>
        <v>8894.75</v>
      </c>
    </row>
    <row r="1052" spans="1:31" x14ac:dyDescent="0.25">
      <c r="A1052" t="s">
        <v>0</v>
      </c>
      <c r="B1052" s="3" t="s">
        <v>2219</v>
      </c>
      <c r="C1052" t="s">
        <v>2015</v>
      </c>
      <c r="D1052" t="s">
        <v>160</v>
      </c>
      <c r="E1052" t="s">
        <v>1183</v>
      </c>
      <c r="F1052" s="1">
        <v>46081</v>
      </c>
      <c r="G1052" s="1">
        <v>46081</v>
      </c>
      <c r="H1052" t="s">
        <v>2016</v>
      </c>
      <c r="I1052" t="s">
        <v>5</v>
      </c>
      <c r="J1052" t="s">
        <v>6</v>
      </c>
      <c r="K1052" t="s">
        <v>4</v>
      </c>
      <c r="L1052" t="s">
        <v>2095</v>
      </c>
      <c r="M1052" t="s">
        <v>2095</v>
      </c>
      <c r="N1052" s="2">
        <v>17978</v>
      </c>
      <c r="O1052" t="s">
        <v>2018</v>
      </c>
      <c r="P1052" t="s">
        <v>9</v>
      </c>
      <c r="Q1052" t="s">
        <v>82</v>
      </c>
      <c r="R1052" t="e">
        <f>VLOOKUP(Q1052,#REF!,2,FALSE)</f>
        <v>#REF!</v>
      </c>
      <c r="S1052">
        <v>1004</v>
      </c>
      <c r="T1052" t="s">
        <v>2225</v>
      </c>
      <c r="U1052" t="s">
        <v>2019</v>
      </c>
      <c r="V1052" s="1">
        <v>46081</v>
      </c>
      <c r="W1052" s="1">
        <v>46081</v>
      </c>
      <c r="X1052" t="s">
        <v>77</v>
      </c>
      <c r="Y1052" t="s">
        <v>646</v>
      </c>
      <c r="Z1052" t="s">
        <v>6</v>
      </c>
      <c r="AA1052" t="s">
        <v>646</v>
      </c>
      <c r="AB1052" s="4">
        <f t="shared" si="85"/>
        <v>224725</v>
      </c>
      <c r="AC1052" s="6">
        <v>0.1</v>
      </c>
      <c r="AD1052" s="4">
        <f t="shared" si="86"/>
        <v>22472.5</v>
      </c>
      <c r="AE1052" s="4">
        <f t="shared" si="84"/>
        <v>4494.5</v>
      </c>
    </row>
    <row r="1053" spans="1:31" x14ac:dyDescent="0.25">
      <c r="A1053" t="s">
        <v>0</v>
      </c>
      <c r="B1053" s="3" t="s">
        <v>2219</v>
      </c>
      <c r="C1053" t="s">
        <v>2015</v>
      </c>
      <c r="D1053" t="s">
        <v>160</v>
      </c>
      <c r="E1053" t="s">
        <v>1185</v>
      </c>
      <c r="F1053" s="1">
        <v>46081</v>
      </c>
      <c r="G1053" s="1">
        <v>46081</v>
      </c>
      <c r="H1053" t="s">
        <v>2016</v>
      </c>
      <c r="I1053" t="s">
        <v>5</v>
      </c>
      <c r="J1053" t="s">
        <v>6</v>
      </c>
      <c r="K1053" t="s">
        <v>4</v>
      </c>
      <c r="L1053" t="s">
        <v>2096</v>
      </c>
      <c r="M1053" t="s">
        <v>2096</v>
      </c>
      <c r="N1053" s="2">
        <v>15526</v>
      </c>
      <c r="O1053" t="s">
        <v>2018</v>
      </c>
      <c r="P1053" t="s">
        <v>9</v>
      </c>
      <c r="Q1053" t="s">
        <v>82</v>
      </c>
      <c r="R1053" t="e">
        <f>VLOOKUP(Q1053,#REF!,2,FALSE)</f>
        <v>#REF!</v>
      </c>
      <c r="S1053">
        <v>1004</v>
      </c>
      <c r="T1053" t="s">
        <v>2225</v>
      </c>
      <c r="U1053" t="s">
        <v>2019</v>
      </c>
      <c r="V1053" s="1">
        <v>46081</v>
      </c>
      <c r="W1053" s="1">
        <v>46081</v>
      </c>
      <c r="X1053" t="s">
        <v>77</v>
      </c>
      <c r="Y1053" t="s">
        <v>646</v>
      </c>
      <c r="Z1053" t="s">
        <v>6</v>
      </c>
      <c r="AA1053" t="s">
        <v>646</v>
      </c>
      <c r="AB1053" s="4">
        <f t="shared" si="85"/>
        <v>194075</v>
      </c>
      <c r="AC1053" s="6">
        <v>0.1</v>
      </c>
      <c r="AD1053" s="4">
        <f t="shared" si="86"/>
        <v>19407.5</v>
      </c>
      <c r="AE1053" s="4">
        <f t="shared" si="84"/>
        <v>3881.5</v>
      </c>
    </row>
    <row r="1054" spans="1:31" x14ac:dyDescent="0.25">
      <c r="A1054" t="s">
        <v>0</v>
      </c>
      <c r="B1054" s="3" t="s">
        <v>2219</v>
      </c>
      <c r="C1054" t="s">
        <v>2015</v>
      </c>
      <c r="D1054" t="s">
        <v>160</v>
      </c>
      <c r="E1054" t="s">
        <v>1187</v>
      </c>
      <c r="F1054" s="1">
        <v>46081</v>
      </c>
      <c r="G1054" s="1">
        <v>46081</v>
      </c>
      <c r="H1054" t="s">
        <v>2016</v>
      </c>
      <c r="I1054" t="s">
        <v>5</v>
      </c>
      <c r="J1054" t="s">
        <v>6</v>
      </c>
      <c r="K1054" t="s">
        <v>4</v>
      </c>
      <c r="L1054" t="s">
        <v>2097</v>
      </c>
      <c r="M1054" t="s">
        <v>2097</v>
      </c>
      <c r="N1054" s="2">
        <v>27302</v>
      </c>
      <c r="O1054" t="s">
        <v>2018</v>
      </c>
      <c r="P1054" t="s">
        <v>9</v>
      </c>
      <c r="Q1054" t="s">
        <v>82</v>
      </c>
      <c r="R1054" t="e">
        <f>VLOOKUP(Q1054,#REF!,2,FALSE)</f>
        <v>#REF!</v>
      </c>
      <c r="S1054">
        <v>1004</v>
      </c>
      <c r="T1054" t="s">
        <v>2225</v>
      </c>
      <c r="U1054" t="s">
        <v>2019</v>
      </c>
      <c r="V1054" s="1">
        <v>46081</v>
      </c>
      <c r="W1054" s="1">
        <v>46081</v>
      </c>
      <c r="X1054" t="s">
        <v>77</v>
      </c>
      <c r="Y1054" t="s">
        <v>646</v>
      </c>
      <c r="Z1054" t="s">
        <v>6</v>
      </c>
      <c r="AA1054" t="s">
        <v>646</v>
      </c>
      <c r="AB1054" s="4">
        <f t="shared" si="85"/>
        <v>341275</v>
      </c>
      <c r="AC1054" s="6">
        <v>0.1</v>
      </c>
      <c r="AD1054" s="4">
        <f t="shared" si="86"/>
        <v>34127.5</v>
      </c>
      <c r="AE1054" s="4">
        <f t="shared" si="84"/>
        <v>6825.5</v>
      </c>
    </row>
    <row r="1055" spans="1:31" x14ac:dyDescent="0.25">
      <c r="A1055" t="s">
        <v>0</v>
      </c>
      <c r="B1055" s="3" t="s">
        <v>2219</v>
      </c>
      <c r="C1055" t="s">
        <v>2015</v>
      </c>
      <c r="D1055" t="s">
        <v>160</v>
      </c>
      <c r="E1055" t="s">
        <v>1189</v>
      </c>
      <c r="F1055" s="1">
        <v>46081</v>
      </c>
      <c r="G1055" s="1">
        <v>46081</v>
      </c>
      <c r="H1055" t="s">
        <v>2016</v>
      </c>
      <c r="I1055" t="s">
        <v>5</v>
      </c>
      <c r="J1055" t="s">
        <v>6</v>
      </c>
      <c r="K1055" t="s">
        <v>4</v>
      </c>
      <c r="L1055" t="s">
        <v>2098</v>
      </c>
      <c r="M1055" t="s">
        <v>2098</v>
      </c>
      <c r="N1055" s="2">
        <v>20603</v>
      </c>
      <c r="O1055" t="s">
        <v>2018</v>
      </c>
      <c r="P1055" t="s">
        <v>9</v>
      </c>
      <c r="Q1055" t="s">
        <v>82</v>
      </c>
      <c r="R1055" t="e">
        <f>VLOOKUP(Q1055,#REF!,2,FALSE)</f>
        <v>#REF!</v>
      </c>
      <c r="S1055">
        <v>1004</v>
      </c>
      <c r="T1055" t="s">
        <v>2225</v>
      </c>
      <c r="U1055" t="s">
        <v>2019</v>
      </c>
      <c r="V1055" s="1">
        <v>46081</v>
      </c>
      <c r="W1055" s="1">
        <v>46081</v>
      </c>
      <c r="X1055" t="s">
        <v>77</v>
      </c>
      <c r="Y1055" t="s">
        <v>646</v>
      </c>
      <c r="Z1055" t="s">
        <v>6</v>
      </c>
      <c r="AA1055" t="s">
        <v>646</v>
      </c>
      <c r="AB1055" s="4">
        <f t="shared" si="85"/>
        <v>257537.5</v>
      </c>
      <c r="AC1055" s="6">
        <v>0.1</v>
      </c>
      <c r="AD1055" s="4">
        <f t="shared" si="86"/>
        <v>25753.75</v>
      </c>
      <c r="AE1055" s="4">
        <f t="shared" si="84"/>
        <v>5150.75</v>
      </c>
    </row>
    <row r="1056" spans="1:31" x14ac:dyDescent="0.25">
      <c r="A1056" t="s">
        <v>0</v>
      </c>
      <c r="B1056" s="3" t="s">
        <v>2219</v>
      </c>
      <c r="C1056" t="s">
        <v>2015</v>
      </c>
      <c r="D1056" t="s">
        <v>160</v>
      </c>
      <c r="E1056" t="s">
        <v>1191</v>
      </c>
      <c r="F1056" s="1">
        <v>46081</v>
      </c>
      <c r="G1056" s="1">
        <v>46081</v>
      </c>
      <c r="H1056" t="s">
        <v>2016</v>
      </c>
      <c r="I1056" t="s">
        <v>5</v>
      </c>
      <c r="J1056" t="s">
        <v>6</v>
      </c>
      <c r="K1056" t="s">
        <v>4</v>
      </c>
      <c r="L1056" t="s">
        <v>2099</v>
      </c>
      <c r="M1056" t="s">
        <v>2099</v>
      </c>
      <c r="N1056" s="2">
        <v>12819</v>
      </c>
      <c r="O1056" t="s">
        <v>2018</v>
      </c>
      <c r="P1056" t="s">
        <v>9</v>
      </c>
      <c r="Q1056" t="s">
        <v>82</v>
      </c>
      <c r="R1056" t="e">
        <f>VLOOKUP(Q1056,#REF!,2,FALSE)</f>
        <v>#REF!</v>
      </c>
      <c r="S1056">
        <v>1004</v>
      </c>
      <c r="T1056" t="s">
        <v>2225</v>
      </c>
      <c r="U1056" t="s">
        <v>2019</v>
      </c>
      <c r="V1056" s="1">
        <v>46081</v>
      </c>
      <c r="W1056" s="1">
        <v>46081</v>
      </c>
      <c r="X1056" t="s">
        <v>77</v>
      </c>
      <c r="Y1056" t="s">
        <v>646</v>
      </c>
      <c r="Z1056" t="s">
        <v>6</v>
      </c>
      <c r="AA1056" t="s">
        <v>646</v>
      </c>
      <c r="AB1056" s="4">
        <f t="shared" si="85"/>
        <v>160237.5</v>
      </c>
      <c r="AC1056" s="6">
        <v>0.1</v>
      </c>
      <c r="AD1056" s="4">
        <f t="shared" si="86"/>
        <v>16023.75</v>
      </c>
      <c r="AE1056" s="4">
        <f t="shared" si="84"/>
        <v>3204.75</v>
      </c>
    </row>
    <row r="1057" spans="1:31" x14ac:dyDescent="0.25">
      <c r="A1057" t="s">
        <v>0</v>
      </c>
      <c r="B1057" s="3" t="s">
        <v>2219</v>
      </c>
      <c r="C1057" t="s">
        <v>2015</v>
      </c>
      <c r="D1057" t="s">
        <v>160</v>
      </c>
      <c r="E1057" t="s">
        <v>1193</v>
      </c>
      <c r="F1057" s="1">
        <v>46081</v>
      </c>
      <c r="G1057" s="1">
        <v>46081</v>
      </c>
      <c r="H1057" t="s">
        <v>2016</v>
      </c>
      <c r="I1057" t="s">
        <v>5</v>
      </c>
      <c r="J1057" t="s">
        <v>6</v>
      </c>
      <c r="K1057" t="s">
        <v>4</v>
      </c>
      <c r="L1057" t="s">
        <v>2100</v>
      </c>
      <c r="M1057" t="s">
        <v>2100</v>
      </c>
      <c r="N1057" s="2">
        <v>6682</v>
      </c>
      <c r="O1057" t="s">
        <v>2018</v>
      </c>
      <c r="P1057" t="s">
        <v>9</v>
      </c>
      <c r="Q1057" t="s">
        <v>86</v>
      </c>
      <c r="R1057" t="e">
        <f>VLOOKUP(Q1057,#REF!,2,FALSE)</f>
        <v>#REF!</v>
      </c>
      <c r="S1057">
        <v>1004</v>
      </c>
      <c r="T1057" t="s">
        <v>2225</v>
      </c>
      <c r="U1057" t="s">
        <v>2019</v>
      </c>
      <c r="V1057" s="1">
        <v>46081</v>
      </c>
      <c r="W1057" s="1">
        <v>46081</v>
      </c>
      <c r="X1057" t="s">
        <v>77</v>
      </c>
      <c r="Y1057" t="s">
        <v>646</v>
      </c>
      <c r="Z1057" t="s">
        <v>6</v>
      </c>
      <c r="AA1057" t="s">
        <v>646</v>
      </c>
      <c r="AB1057" s="4">
        <f t="shared" ref="AB1057:AB1080" si="87">L1057/0.03</f>
        <v>222733.33333333334</v>
      </c>
      <c r="AC1057" s="6">
        <v>0.04</v>
      </c>
      <c r="AD1057" s="4">
        <f t="shared" ref="AD1057:AD1099" si="88">AB1057*AC1057</f>
        <v>8909.3333333333339</v>
      </c>
      <c r="AE1057" s="4">
        <f t="shared" si="84"/>
        <v>2227.3333333333339</v>
      </c>
    </row>
    <row r="1058" spans="1:31" x14ac:dyDescent="0.25">
      <c r="A1058" t="s">
        <v>0</v>
      </c>
      <c r="B1058" s="3" t="s">
        <v>2219</v>
      </c>
      <c r="C1058" t="s">
        <v>2015</v>
      </c>
      <c r="D1058" t="s">
        <v>160</v>
      </c>
      <c r="E1058" t="s">
        <v>1195</v>
      </c>
      <c r="F1058" s="1">
        <v>46081</v>
      </c>
      <c r="G1058" s="1">
        <v>46081</v>
      </c>
      <c r="H1058" t="s">
        <v>2016</v>
      </c>
      <c r="I1058" t="s">
        <v>5</v>
      </c>
      <c r="J1058" t="s">
        <v>6</v>
      </c>
      <c r="K1058" t="s">
        <v>4</v>
      </c>
      <c r="L1058" t="s">
        <v>2101</v>
      </c>
      <c r="M1058" t="s">
        <v>2101</v>
      </c>
      <c r="N1058" s="2">
        <v>1617</v>
      </c>
      <c r="O1058" t="s">
        <v>2018</v>
      </c>
      <c r="P1058" t="s">
        <v>9</v>
      </c>
      <c r="Q1058" t="s">
        <v>86</v>
      </c>
      <c r="R1058" t="e">
        <f>VLOOKUP(Q1058,#REF!,2,FALSE)</f>
        <v>#REF!</v>
      </c>
      <c r="S1058">
        <v>1004</v>
      </c>
      <c r="T1058" t="s">
        <v>2225</v>
      </c>
      <c r="U1058" t="s">
        <v>2019</v>
      </c>
      <c r="V1058" s="1">
        <v>46081</v>
      </c>
      <c r="W1058" s="1">
        <v>46081</v>
      </c>
      <c r="X1058" t="s">
        <v>77</v>
      </c>
      <c r="Y1058" t="s">
        <v>646</v>
      </c>
      <c r="Z1058" t="s">
        <v>6</v>
      </c>
      <c r="AA1058" t="s">
        <v>646</v>
      </c>
      <c r="AB1058" s="4">
        <f t="shared" si="87"/>
        <v>53900</v>
      </c>
      <c r="AC1058" s="6">
        <v>0.04</v>
      </c>
      <c r="AD1058" s="4">
        <f t="shared" si="88"/>
        <v>2156</v>
      </c>
      <c r="AE1058" s="4">
        <f t="shared" si="84"/>
        <v>539</v>
      </c>
    </row>
    <row r="1059" spans="1:31" x14ac:dyDescent="0.25">
      <c r="A1059" t="s">
        <v>0</v>
      </c>
      <c r="B1059" s="3" t="s">
        <v>2219</v>
      </c>
      <c r="C1059" t="s">
        <v>2015</v>
      </c>
      <c r="D1059" t="s">
        <v>160</v>
      </c>
      <c r="E1059" t="s">
        <v>1197</v>
      </c>
      <c r="F1059" s="1">
        <v>46081</v>
      </c>
      <c r="G1059" s="1">
        <v>46081</v>
      </c>
      <c r="H1059" t="s">
        <v>2016</v>
      </c>
      <c r="I1059" t="s">
        <v>5</v>
      </c>
      <c r="J1059" t="s">
        <v>6</v>
      </c>
      <c r="K1059" t="s">
        <v>4</v>
      </c>
      <c r="L1059" t="s">
        <v>2102</v>
      </c>
      <c r="M1059" t="s">
        <v>2102</v>
      </c>
      <c r="N1059" s="2">
        <v>355</v>
      </c>
      <c r="O1059" t="s">
        <v>2018</v>
      </c>
      <c r="P1059" t="s">
        <v>9</v>
      </c>
      <c r="Q1059" t="s">
        <v>86</v>
      </c>
      <c r="R1059" t="e">
        <f>VLOOKUP(Q1059,#REF!,2,FALSE)</f>
        <v>#REF!</v>
      </c>
      <c r="S1059">
        <v>1004</v>
      </c>
      <c r="T1059" t="s">
        <v>2225</v>
      </c>
      <c r="U1059" t="s">
        <v>2019</v>
      </c>
      <c r="V1059" s="1">
        <v>46081</v>
      </c>
      <c r="W1059" s="1">
        <v>46081</v>
      </c>
      <c r="X1059" t="s">
        <v>77</v>
      </c>
      <c r="Y1059" t="s">
        <v>646</v>
      </c>
      <c r="Z1059" t="s">
        <v>6</v>
      </c>
      <c r="AA1059" t="s">
        <v>646</v>
      </c>
      <c r="AB1059" s="4">
        <f t="shared" si="87"/>
        <v>11833.333333333334</v>
      </c>
      <c r="AC1059" s="6">
        <v>0.04</v>
      </c>
      <c r="AD1059" s="4">
        <f t="shared" si="88"/>
        <v>473.33333333333337</v>
      </c>
      <c r="AE1059" s="4">
        <f t="shared" si="84"/>
        <v>118.33333333333337</v>
      </c>
    </row>
    <row r="1060" spans="1:31" x14ac:dyDescent="0.25">
      <c r="A1060" t="s">
        <v>0</v>
      </c>
      <c r="B1060" s="3" t="s">
        <v>2219</v>
      </c>
      <c r="C1060" t="s">
        <v>2015</v>
      </c>
      <c r="D1060" t="s">
        <v>160</v>
      </c>
      <c r="E1060" t="s">
        <v>1199</v>
      </c>
      <c r="F1060" s="1">
        <v>46081</v>
      </c>
      <c r="G1060" s="1">
        <v>46081</v>
      </c>
      <c r="H1060" t="s">
        <v>2016</v>
      </c>
      <c r="I1060" t="s">
        <v>5</v>
      </c>
      <c r="J1060" t="s">
        <v>6</v>
      </c>
      <c r="K1060" t="s">
        <v>4</v>
      </c>
      <c r="L1060" t="s">
        <v>2103</v>
      </c>
      <c r="M1060" t="s">
        <v>2103</v>
      </c>
      <c r="N1060" s="2">
        <v>13161</v>
      </c>
      <c r="O1060" t="s">
        <v>2018</v>
      </c>
      <c r="P1060" t="s">
        <v>9</v>
      </c>
      <c r="Q1060" t="s">
        <v>86</v>
      </c>
      <c r="R1060" t="e">
        <f>VLOOKUP(Q1060,#REF!,2,FALSE)</f>
        <v>#REF!</v>
      </c>
      <c r="S1060">
        <v>1004</v>
      </c>
      <c r="T1060" t="s">
        <v>2225</v>
      </c>
      <c r="U1060" t="s">
        <v>2019</v>
      </c>
      <c r="V1060" s="1">
        <v>46081</v>
      </c>
      <c r="W1060" s="1">
        <v>46081</v>
      </c>
      <c r="X1060" t="s">
        <v>77</v>
      </c>
      <c r="Y1060" t="s">
        <v>646</v>
      </c>
      <c r="Z1060" t="s">
        <v>6</v>
      </c>
      <c r="AA1060" t="s">
        <v>646</v>
      </c>
      <c r="AB1060" s="4">
        <f t="shared" si="87"/>
        <v>438700</v>
      </c>
      <c r="AC1060" s="6">
        <v>0.04</v>
      </c>
      <c r="AD1060" s="4">
        <f t="shared" si="88"/>
        <v>17548</v>
      </c>
      <c r="AE1060" s="4">
        <f t="shared" si="84"/>
        <v>4387</v>
      </c>
    </row>
    <row r="1061" spans="1:31" x14ac:dyDescent="0.25">
      <c r="A1061" t="s">
        <v>0</v>
      </c>
      <c r="B1061" s="3" t="s">
        <v>2219</v>
      </c>
      <c r="C1061" t="s">
        <v>2015</v>
      </c>
      <c r="D1061" t="s">
        <v>160</v>
      </c>
      <c r="E1061" t="s">
        <v>1201</v>
      </c>
      <c r="F1061" s="1">
        <v>46081</v>
      </c>
      <c r="G1061" s="1">
        <v>46081</v>
      </c>
      <c r="H1061" t="s">
        <v>2016</v>
      </c>
      <c r="I1061" t="s">
        <v>5</v>
      </c>
      <c r="J1061" t="s">
        <v>6</v>
      </c>
      <c r="K1061" t="s">
        <v>4</v>
      </c>
      <c r="L1061" t="s">
        <v>2104</v>
      </c>
      <c r="M1061" t="s">
        <v>2104</v>
      </c>
      <c r="N1061" s="2">
        <v>3671</v>
      </c>
      <c r="O1061" t="s">
        <v>2018</v>
      </c>
      <c r="P1061" t="s">
        <v>9</v>
      </c>
      <c r="Q1061" t="s">
        <v>86</v>
      </c>
      <c r="R1061" t="e">
        <f>VLOOKUP(Q1061,#REF!,2,FALSE)</f>
        <v>#REF!</v>
      </c>
      <c r="S1061">
        <v>1004</v>
      </c>
      <c r="T1061" t="s">
        <v>2225</v>
      </c>
      <c r="U1061" t="s">
        <v>2019</v>
      </c>
      <c r="V1061" s="1">
        <v>46081</v>
      </c>
      <c r="W1061" s="1">
        <v>46081</v>
      </c>
      <c r="X1061" t="s">
        <v>77</v>
      </c>
      <c r="Y1061" t="s">
        <v>646</v>
      </c>
      <c r="Z1061" t="s">
        <v>6</v>
      </c>
      <c r="AA1061" t="s">
        <v>646</v>
      </c>
      <c r="AB1061" s="4">
        <f t="shared" si="87"/>
        <v>122366.66666666667</v>
      </c>
      <c r="AC1061" s="6">
        <v>0.04</v>
      </c>
      <c r="AD1061" s="4">
        <f t="shared" si="88"/>
        <v>4894.666666666667</v>
      </c>
      <c r="AE1061" s="4">
        <f t="shared" si="84"/>
        <v>1223.666666666667</v>
      </c>
    </row>
    <row r="1062" spans="1:31" x14ac:dyDescent="0.25">
      <c r="A1062" t="s">
        <v>0</v>
      </c>
      <c r="B1062" s="3" t="s">
        <v>2219</v>
      </c>
      <c r="C1062" t="s">
        <v>2015</v>
      </c>
      <c r="D1062" t="s">
        <v>160</v>
      </c>
      <c r="E1062" t="s">
        <v>1203</v>
      </c>
      <c r="F1062" s="1">
        <v>46081</v>
      </c>
      <c r="G1062" s="1">
        <v>46081</v>
      </c>
      <c r="H1062" t="s">
        <v>2016</v>
      </c>
      <c r="I1062" t="s">
        <v>5</v>
      </c>
      <c r="J1062" t="s">
        <v>6</v>
      </c>
      <c r="K1062" t="s">
        <v>4</v>
      </c>
      <c r="L1062" t="s">
        <v>1582</v>
      </c>
      <c r="M1062" t="s">
        <v>1582</v>
      </c>
      <c r="N1062" s="2">
        <v>297</v>
      </c>
      <c r="O1062" t="s">
        <v>2018</v>
      </c>
      <c r="P1062" t="s">
        <v>9</v>
      </c>
      <c r="Q1062" t="s">
        <v>86</v>
      </c>
      <c r="R1062" t="e">
        <f>VLOOKUP(Q1062,#REF!,2,FALSE)</f>
        <v>#REF!</v>
      </c>
      <c r="S1062">
        <v>1004</v>
      </c>
      <c r="T1062" t="s">
        <v>2225</v>
      </c>
      <c r="U1062" t="s">
        <v>2019</v>
      </c>
      <c r="V1062" s="1">
        <v>46081</v>
      </c>
      <c r="W1062" s="1">
        <v>46081</v>
      </c>
      <c r="X1062" t="s">
        <v>77</v>
      </c>
      <c r="Y1062" t="s">
        <v>646</v>
      </c>
      <c r="Z1062" t="s">
        <v>6</v>
      </c>
      <c r="AA1062" t="s">
        <v>646</v>
      </c>
      <c r="AB1062" s="4">
        <f t="shared" si="87"/>
        <v>9900</v>
      </c>
      <c r="AC1062" s="6">
        <v>0.04</v>
      </c>
      <c r="AD1062" s="4">
        <f t="shared" si="88"/>
        <v>396</v>
      </c>
      <c r="AE1062" s="4">
        <f t="shared" si="84"/>
        <v>99</v>
      </c>
    </row>
    <row r="1063" spans="1:31" x14ac:dyDescent="0.25">
      <c r="A1063" t="s">
        <v>0</v>
      </c>
      <c r="B1063" s="3" t="s">
        <v>2219</v>
      </c>
      <c r="C1063" t="s">
        <v>2015</v>
      </c>
      <c r="D1063" t="s">
        <v>160</v>
      </c>
      <c r="E1063" t="s">
        <v>1205</v>
      </c>
      <c r="F1063" s="1">
        <v>46081</v>
      </c>
      <c r="G1063" s="1">
        <v>46081</v>
      </c>
      <c r="H1063" t="s">
        <v>2016</v>
      </c>
      <c r="I1063" t="s">
        <v>5</v>
      </c>
      <c r="J1063" t="s">
        <v>6</v>
      </c>
      <c r="K1063" t="s">
        <v>4</v>
      </c>
      <c r="L1063" t="s">
        <v>1287</v>
      </c>
      <c r="M1063" t="s">
        <v>1287</v>
      </c>
      <c r="N1063" s="2">
        <v>342</v>
      </c>
      <c r="O1063" t="s">
        <v>2018</v>
      </c>
      <c r="P1063" t="s">
        <v>9</v>
      </c>
      <c r="Q1063" t="s">
        <v>86</v>
      </c>
      <c r="R1063" t="e">
        <f>VLOOKUP(Q1063,#REF!,2,FALSE)</f>
        <v>#REF!</v>
      </c>
      <c r="S1063">
        <v>1004</v>
      </c>
      <c r="T1063" t="s">
        <v>2225</v>
      </c>
      <c r="U1063" t="s">
        <v>2019</v>
      </c>
      <c r="V1063" s="1">
        <v>46081</v>
      </c>
      <c r="W1063" s="1">
        <v>46081</v>
      </c>
      <c r="X1063" t="s">
        <v>77</v>
      </c>
      <c r="Y1063" t="s">
        <v>646</v>
      </c>
      <c r="Z1063" t="s">
        <v>6</v>
      </c>
      <c r="AA1063" t="s">
        <v>646</v>
      </c>
      <c r="AB1063" s="4">
        <f t="shared" si="87"/>
        <v>11400</v>
      </c>
      <c r="AC1063" s="6">
        <v>0.04</v>
      </c>
      <c r="AD1063" s="4">
        <f t="shared" si="88"/>
        <v>456</v>
      </c>
      <c r="AE1063" s="4">
        <f t="shared" si="84"/>
        <v>114</v>
      </c>
    </row>
    <row r="1064" spans="1:31" x14ac:dyDescent="0.25">
      <c r="A1064" t="s">
        <v>0</v>
      </c>
      <c r="B1064" s="3" t="s">
        <v>2219</v>
      </c>
      <c r="C1064" t="s">
        <v>2015</v>
      </c>
      <c r="D1064" t="s">
        <v>160</v>
      </c>
      <c r="E1064" t="s">
        <v>1207</v>
      </c>
      <c r="F1064" s="1">
        <v>46081</v>
      </c>
      <c r="G1064" s="1">
        <v>46081</v>
      </c>
      <c r="H1064" t="s">
        <v>2016</v>
      </c>
      <c r="I1064" t="s">
        <v>5</v>
      </c>
      <c r="J1064" t="s">
        <v>6</v>
      </c>
      <c r="K1064" t="s">
        <v>4</v>
      </c>
      <c r="L1064" t="s">
        <v>1585</v>
      </c>
      <c r="M1064" t="s">
        <v>1585</v>
      </c>
      <c r="N1064" s="2">
        <v>22</v>
      </c>
      <c r="O1064" t="s">
        <v>2018</v>
      </c>
      <c r="P1064" t="s">
        <v>9</v>
      </c>
      <c r="Q1064" t="s">
        <v>86</v>
      </c>
      <c r="R1064" t="e">
        <f>VLOOKUP(Q1064,#REF!,2,FALSE)</f>
        <v>#REF!</v>
      </c>
      <c r="S1064">
        <v>1004</v>
      </c>
      <c r="T1064" t="s">
        <v>2225</v>
      </c>
      <c r="U1064" t="s">
        <v>2019</v>
      </c>
      <c r="V1064" s="1">
        <v>46081</v>
      </c>
      <c r="W1064" s="1">
        <v>46081</v>
      </c>
      <c r="X1064" t="s">
        <v>77</v>
      </c>
      <c r="Y1064" t="s">
        <v>646</v>
      </c>
      <c r="Z1064" t="s">
        <v>6</v>
      </c>
      <c r="AA1064" t="s">
        <v>646</v>
      </c>
      <c r="AB1064" s="4">
        <f t="shared" si="87"/>
        <v>733.33333333333337</v>
      </c>
      <c r="AC1064" s="6">
        <v>0.04</v>
      </c>
      <c r="AD1064" s="4">
        <f t="shared" si="88"/>
        <v>29.333333333333336</v>
      </c>
      <c r="AE1064" s="4">
        <f t="shared" si="84"/>
        <v>7.3333333333333357</v>
      </c>
    </row>
    <row r="1065" spans="1:31" x14ac:dyDescent="0.25">
      <c r="A1065" t="s">
        <v>0</v>
      </c>
      <c r="B1065" s="3" t="s">
        <v>2219</v>
      </c>
      <c r="C1065" t="s">
        <v>2015</v>
      </c>
      <c r="D1065" t="s">
        <v>160</v>
      </c>
      <c r="E1065" t="s">
        <v>1209</v>
      </c>
      <c r="F1065" s="1">
        <v>46081</v>
      </c>
      <c r="G1065" s="1">
        <v>46081</v>
      </c>
      <c r="H1065" t="s">
        <v>2016</v>
      </c>
      <c r="I1065" t="s">
        <v>5</v>
      </c>
      <c r="J1065" t="s">
        <v>6</v>
      </c>
      <c r="K1065" t="s">
        <v>4</v>
      </c>
      <c r="L1065" t="s">
        <v>2105</v>
      </c>
      <c r="M1065" t="s">
        <v>2105</v>
      </c>
      <c r="N1065" s="2">
        <v>671</v>
      </c>
      <c r="O1065" t="s">
        <v>2018</v>
      </c>
      <c r="P1065" t="s">
        <v>9</v>
      </c>
      <c r="Q1065" t="s">
        <v>86</v>
      </c>
      <c r="R1065" t="e">
        <f>VLOOKUP(Q1065,#REF!,2,FALSE)</f>
        <v>#REF!</v>
      </c>
      <c r="S1065">
        <v>1004</v>
      </c>
      <c r="T1065" t="s">
        <v>2225</v>
      </c>
      <c r="U1065" t="s">
        <v>2019</v>
      </c>
      <c r="V1065" s="1">
        <v>46081</v>
      </c>
      <c r="W1065" s="1">
        <v>46081</v>
      </c>
      <c r="X1065" t="s">
        <v>77</v>
      </c>
      <c r="Y1065" t="s">
        <v>646</v>
      </c>
      <c r="Z1065" t="s">
        <v>6</v>
      </c>
      <c r="AA1065" t="s">
        <v>646</v>
      </c>
      <c r="AB1065" s="4">
        <f t="shared" si="87"/>
        <v>22366.666666666668</v>
      </c>
      <c r="AC1065" s="6">
        <v>0.04</v>
      </c>
      <c r="AD1065" s="4">
        <f t="shared" si="88"/>
        <v>894.66666666666674</v>
      </c>
      <c r="AE1065" s="4">
        <f t="shared" si="84"/>
        <v>223.66666666666674</v>
      </c>
    </row>
    <row r="1066" spans="1:31" x14ac:dyDescent="0.25">
      <c r="A1066" t="s">
        <v>0</v>
      </c>
      <c r="B1066" s="3" t="s">
        <v>2219</v>
      </c>
      <c r="C1066" t="s">
        <v>2015</v>
      </c>
      <c r="D1066" t="s">
        <v>160</v>
      </c>
      <c r="E1066" t="s">
        <v>1211</v>
      </c>
      <c r="F1066" s="1">
        <v>46081</v>
      </c>
      <c r="G1066" s="1">
        <v>46081</v>
      </c>
      <c r="H1066" t="s">
        <v>2016</v>
      </c>
      <c r="I1066" t="s">
        <v>5</v>
      </c>
      <c r="J1066" t="s">
        <v>6</v>
      </c>
      <c r="K1066" t="s">
        <v>4</v>
      </c>
      <c r="L1066" t="s">
        <v>1589</v>
      </c>
      <c r="M1066" t="s">
        <v>1589</v>
      </c>
      <c r="N1066" s="2">
        <v>1831</v>
      </c>
      <c r="O1066" t="s">
        <v>2018</v>
      </c>
      <c r="P1066" t="s">
        <v>9</v>
      </c>
      <c r="Q1066" t="s">
        <v>86</v>
      </c>
      <c r="R1066" t="e">
        <f>VLOOKUP(Q1066,#REF!,2,FALSE)</f>
        <v>#REF!</v>
      </c>
      <c r="S1066">
        <v>1004</v>
      </c>
      <c r="T1066" t="s">
        <v>2225</v>
      </c>
      <c r="U1066" t="s">
        <v>2019</v>
      </c>
      <c r="V1066" s="1">
        <v>46081</v>
      </c>
      <c r="W1066" s="1">
        <v>46081</v>
      </c>
      <c r="X1066" t="s">
        <v>77</v>
      </c>
      <c r="Y1066" t="s">
        <v>646</v>
      </c>
      <c r="Z1066" t="s">
        <v>6</v>
      </c>
      <c r="AA1066" t="s">
        <v>646</v>
      </c>
      <c r="AB1066" s="4">
        <f t="shared" si="87"/>
        <v>61033.333333333336</v>
      </c>
      <c r="AC1066" s="6">
        <v>0.04</v>
      </c>
      <c r="AD1066" s="4">
        <f t="shared" si="88"/>
        <v>2441.3333333333335</v>
      </c>
      <c r="AE1066" s="4">
        <f t="shared" si="84"/>
        <v>610.33333333333348</v>
      </c>
    </row>
    <row r="1067" spans="1:31" x14ac:dyDescent="0.25">
      <c r="A1067" t="s">
        <v>0</v>
      </c>
      <c r="B1067" s="3" t="s">
        <v>2219</v>
      </c>
      <c r="C1067" t="s">
        <v>2015</v>
      </c>
      <c r="D1067" t="s">
        <v>160</v>
      </c>
      <c r="E1067" t="s">
        <v>1213</v>
      </c>
      <c r="F1067" s="1">
        <v>46081</v>
      </c>
      <c r="G1067" s="1">
        <v>46081</v>
      </c>
      <c r="H1067" t="s">
        <v>2016</v>
      </c>
      <c r="I1067" t="s">
        <v>5</v>
      </c>
      <c r="J1067" t="s">
        <v>6</v>
      </c>
      <c r="K1067" t="s">
        <v>4</v>
      </c>
      <c r="L1067" t="s">
        <v>2106</v>
      </c>
      <c r="M1067" t="s">
        <v>2106</v>
      </c>
      <c r="N1067" s="2">
        <v>750</v>
      </c>
      <c r="O1067" t="s">
        <v>2018</v>
      </c>
      <c r="P1067" t="s">
        <v>9</v>
      </c>
      <c r="Q1067" t="s">
        <v>86</v>
      </c>
      <c r="R1067" t="e">
        <f>VLOOKUP(Q1067,#REF!,2,FALSE)</f>
        <v>#REF!</v>
      </c>
      <c r="S1067">
        <v>1004</v>
      </c>
      <c r="T1067" t="s">
        <v>2225</v>
      </c>
      <c r="U1067" t="s">
        <v>2019</v>
      </c>
      <c r="V1067" s="1">
        <v>46081</v>
      </c>
      <c r="W1067" s="1">
        <v>46081</v>
      </c>
      <c r="X1067" t="s">
        <v>77</v>
      </c>
      <c r="Y1067" t="s">
        <v>646</v>
      </c>
      <c r="Z1067" t="s">
        <v>6</v>
      </c>
      <c r="AA1067" t="s">
        <v>646</v>
      </c>
      <c r="AB1067" s="4">
        <f t="shared" si="87"/>
        <v>25000</v>
      </c>
      <c r="AC1067" s="6">
        <v>0.04</v>
      </c>
      <c r="AD1067" s="4">
        <f t="shared" si="88"/>
        <v>1000</v>
      </c>
      <c r="AE1067" s="4">
        <f t="shared" si="84"/>
        <v>250</v>
      </c>
    </row>
    <row r="1068" spans="1:31" x14ac:dyDescent="0.25">
      <c r="A1068" t="s">
        <v>0</v>
      </c>
      <c r="B1068" s="3" t="s">
        <v>2219</v>
      </c>
      <c r="C1068" t="s">
        <v>2015</v>
      </c>
      <c r="D1068" t="s">
        <v>160</v>
      </c>
      <c r="E1068" t="s">
        <v>1215</v>
      </c>
      <c r="F1068" s="1">
        <v>46081</v>
      </c>
      <c r="G1068" s="1">
        <v>46081</v>
      </c>
      <c r="H1068" t="s">
        <v>2016</v>
      </c>
      <c r="I1068" t="s">
        <v>5</v>
      </c>
      <c r="J1068" t="s">
        <v>6</v>
      </c>
      <c r="K1068" t="s">
        <v>4</v>
      </c>
      <c r="L1068" t="s">
        <v>2107</v>
      </c>
      <c r="M1068" t="s">
        <v>2107</v>
      </c>
      <c r="N1068" s="2">
        <v>766</v>
      </c>
      <c r="O1068" t="s">
        <v>2018</v>
      </c>
      <c r="P1068" t="s">
        <v>9</v>
      </c>
      <c r="Q1068" t="s">
        <v>86</v>
      </c>
      <c r="R1068" t="e">
        <f>VLOOKUP(Q1068,#REF!,2,FALSE)</f>
        <v>#REF!</v>
      </c>
      <c r="S1068">
        <v>1004</v>
      </c>
      <c r="T1068" t="s">
        <v>2225</v>
      </c>
      <c r="U1068" t="s">
        <v>2019</v>
      </c>
      <c r="V1068" s="1">
        <v>46081</v>
      </c>
      <c r="W1068" s="1">
        <v>46081</v>
      </c>
      <c r="X1068" t="s">
        <v>77</v>
      </c>
      <c r="Y1068" t="s">
        <v>646</v>
      </c>
      <c r="Z1068" t="s">
        <v>6</v>
      </c>
      <c r="AA1068" t="s">
        <v>646</v>
      </c>
      <c r="AB1068" s="4">
        <f t="shared" si="87"/>
        <v>25533.333333333336</v>
      </c>
      <c r="AC1068" s="6">
        <v>0.04</v>
      </c>
      <c r="AD1068" s="4">
        <f t="shared" si="88"/>
        <v>1021.3333333333335</v>
      </c>
      <c r="AE1068" s="4">
        <f t="shared" si="84"/>
        <v>255.33333333333348</v>
      </c>
    </row>
    <row r="1069" spans="1:31" x14ac:dyDescent="0.25">
      <c r="A1069" t="s">
        <v>0</v>
      </c>
      <c r="B1069" s="3" t="s">
        <v>2219</v>
      </c>
      <c r="C1069" t="s">
        <v>2015</v>
      </c>
      <c r="D1069" t="s">
        <v>160</v>
      </c>
      <c r="E1069" t="s">
        <v>1217</v>
      </c>
      <c r="F1069" s="1">
        <v>46081</v>
      </c>
      <c r="G1069" s="1">
        <v>46081</v>
      </c>
      <c r="H1069" t="s">
        <v>2016</v>
      </c>
      <c r="I1069" t="s">
        <v>5</v>
      </c>
      <c r="J1069" t="s">
        <v>6</v>
      </c>
      <c r="K1069" t="s">
        <v>4</v>
      </c>
      <c r="L1069" t="s">
        <v>1595</v>
      </c>
      <c r="M1069" t="s">
        <v>1595</v>
      </c>
      <c r="N1069" s="2">
        <v>300</v>
      </c>
      <c r="O1069" t="s">
        <v>2018</v>
      </c>
      <c r="P1069" t="s">
        <v>9</v>
      </c>
      <c r="Q1069" t="s">
        <v>86</v>
      </c>
      <c r="R1069" t="e">
        <f>VLOOKUP(Q1069,#REF!,2,FALSE)</f>
        <v>#REF!</v>
      </c>
      <c r="S1069">
        <v>1004</v>
      </c>
      <c r="T1069" t="s">
        <v>2225</v>
      </c>
      <c r="U1069" t="s">
        <v>2019</v>
      </c>
      <c r="V1069" s="1">
        <v>46081</v>
      </c>
      <c r="W1069" s="1">
        <v>46081</v>
      </c>
      <c r="X1069" t="s">
        <v>77</v>
      </c>
      <c r="Y1069" t="s">
        <v>646</v>
      </c>
      <c r="Z1069" t="s">
        <v>6</v>
      </c>
      <c r="AA1069" t="s">
        <v>646</v>
      </c>
      <c r="AB1069" s="4">
        <f t="shared" si="87"/>
        <v>10000</v>
      </c>
      <c r="AC1069" s="6">
        <v>0.04</v>
      </c>
      <c r="AD1069" s="4">
        <f t="shared" si="88"/>
        <v>400</v>
      </c>
      <c r="AE1069" s="4">
        <f t="shared" si="84"/>
        <v>100</v>
      </c>
    </row>
    <row r="1070" spans="1:31" x14ac:dyDescent="0.25">
      <c r="A1070" t="s">
        <v>0</v>
      </c>
      <c r="B1070" s="3" t="s">
        <v>2219</v>
      </c>
      <c r="C1070" t="s">
        <v>2015</v>
      </c>
      <c r="D1070" t="s">
        <v>160</v>
      </c>
      <c r="E1070" t="s">
        <v>1219</v>
      </c>
      <c r="F1070" s="1">
        <v>46081</v>
      </c>
      <c r="G1070" s="1">
        <v>46081</v>
      </c>
      <c r="H1070" t="s">
        <v>2016</v>
      </c>
      <c r="I1070" t="s">
        <v>5</v>
      </c>
      <c r="J1070" t="s">
        <v>6</v>
      </c>
      <c r="K1070" t="s">
        <v>4</v>
      </c>
      <c r="L1070" t="s">
        <v>2108</v>
      </c>
      <c r="M1070" t="s">
        <v>2108</v>
      </c>
      <c r="N1070" s="2">
        <v>36421</v>
      </c>
      <c r="O1070" t="s">
        <v>2018</v>
      </c>
      <c r="P1070" t="s">
        <v>9</v>
      </c>
      <c r="Q1070" t="s">
        <v>86</v>
      </c>
      <c r="R1070" t="e">
        <f>VLOOKUP(Q1070,#REF!,2,FALSE)</f>
        <v>#REF!</v>
      </c>
      <c r="S1070">
        <v>1004</v>
      </c>
      <c r="T1070" t="s">
        <v>2225</v>
      </c>
      <c r="U1070" t="s">
        <v>2019</v>
      </c>
      <c r="V1070" s="1">
        <v>46081</v>
      </c>
      <c r="W1070" s="1">
        <v>46081</v>
      </c>
      <c r="X1070" t="s">
        <v>77</v>
      </c>
      <c r="Y1070" t="s">
        <v>646</v>
      </c>
      <c r="Z1070" t="s">
        <v>6</v>
      </c>
      <c r="AA1070" t="s">
        <v>646</v>
      </c>
      <c r="AB1070" s="4">
        <f t="shared" si="87"/>
        <v>1214033.3333333335</v>
      </c>
      <c r="AC1070" s="6">
        <v>0.04</v>
      </c>
      <c r="AD1070" s="4">
        <f t="shared" si="88"/>
        <v>48561.333333333343</v>
      </c>
      <c r="AE1070" s="4">
        <f t="shared" si="84"/>
        <v>12140.333333333343</v>
      </c>
    </row>
    <row r="1071" spans="1:31" x14ac:dyDescent="0.25">
      <c r="A1071" t="s">
        <v>0</v>
      </c>
      <c r="B1071" s="3" t="s">
        <v>2219</v>
      </c>
      <c r="C1071" t="s">
        <v>2015</v>
      </c>
      <c r="D1071" t="s">
        <v>160</v>
      </c>
      <c r="E1071" t="s">
        <v>1221</v>
      </c>
      <c r="F1071" s="1">
        <v>46081</v>
      </c>
      <c r="G1071" s="1">
        <v>46081</v>
      </c>
      <c r="H1071" t="s">
        <v>2016</v>
      </c>
      <c r="I1071" t="s">
        <v>5</v>
      </c>
      <c r="J1071" t="s">
        <v>6</v>
      </c>
      <c r="K1071" t="s">
        <v>4</v>
      </c>
      <c r="L1071" t="s">
        <v>1599</v>
      </c>
      <c r="M1071" t="s">
        <v>1599</v>
      </c>
      <c r="N1071" s="2">
        <v>223</v>
      </c>
      <c r="O1071" t="s">
        <v>2018</v>
      </c>
      <c r="P1071" t="s">
        <v>9</v>
      </c>
      <c r="Q1071" t="s">
        <v>86</v>
      </c>
      <c r="R1071" t="e">
        <f>VLOOKUP(Q1071,#REF!,2,FALSE)</f>
        <v>#REF!</v>
      </c>
      <c r="S1071">
        <v>1004</v>
      </c>
      <c r="T1071" t="s">
        <v>2225</v>
      </c>
      <c r="U1071" t="s">
        <v>2019</v>
      </c>
      <c r="V1071" s="1">
        <v>46081</v>
      </c>
      <c r="W1071" s="1">
        <v>46081</v>
      </c>
      <c r="X1071" t="s">
        <v>77</v>
      </c>
      <c r="Y1071" t="s">
        <v>646</v>
      </c>
      <c r="Z1071" t="s">
        <v>6</v>
      </c>
      <c r="AA1071" t="s">
        <v>646</v>
      </c>
      <c r="AB1071" s="4">
        <f t="shared" si="87"/>
        <v>7433.3333333333339</v>
      </c>
      <c r="AC1071" s="6">
        <v>0.04</v>
      </c>
      <c r="AD1071" s="4">
        <f t="shared" si="88"/>
        <v>297.33333333333337</v>
      </c>
      <c r="AE1071" s="4">
        <f t="shared" si="84"/>
        <v>74.333333333333371</v>
      </c>
    </row>
    <row r="1072" spans="1:31" x14ac:dyDescent="0.25">
      <c r="A1072" t="s">
        <v>0</v>
      </c>
      <c r="B1072" s="3" t="s">
        <v>2219</v>
      </c>
      <c r="C1072" t="s">
        <v>2015</v>
      </c>
      <c r="D1072" t="s">
        <v>160</v>
      </c>
      <c r="E1072" t="s">
        <v>1223</v>
      </c>
      <c r="F1072" s="1">
        <v>46081</v>
      </c>
      <c r="G1072" s="1">
        <v>46081</v>
      </c>
      <c r="H1072" t="s">
        <v>2016</v>
      </c>
      <c r="I1072" t="s">
        <v>5</v>
      </c>
      <c r="J1072" t="s">
        <v>6</v>
      </c>
      <c r="K1072" t="s">
        <v>4</v>
      </c>
      <c r="L1072" t="s">
        <v>1601</v>
      </c>
      <c r="M1072" t="s">
        <v>1601</v>
      </c>
      <c r="N1072" s="2">
        <v>323</v>
      </c>
      <c r="O1072" t="s">
        <v>2018</v>
      </c>
      <c r="P1072" t="s">
        <v>9</v>
      </c>
      <c r="Q1072" t="s">
        <v>86</v>
      </c>
      <c r="R1072" t="e">
        <f>VLOOKUP(Q1072,#REF!,2,FALSE)</f>
        <v>#REF!</v>
      </c>
      <c r="S1072">
        <v>1004</v>
      </c>
      <c r="T1072" t="s">
        <v>2225</v>
      </c>
      <c r="U1072" t="s">
        <v>2019</v>
      </c>
      <c r="V1072" s="1">
        <v>46081</v>
      </c>
      <c r="W1072" s="1">
        <v>46081</v>
      </c>
      <c r="X1072" t="s">
        <v>77</v>
      </c>
      <c r="Y1072" t="s">
        <v>646</v>
      </c>
      <c r="Z1072" t="s">
        <v>6</v>
      </c>
      <c r="AA1072" t="s">
        <v>646</v>
      </c>
      <c r="AB1072" s="4">
        <f t="shared" si="87"/>
        <v>10766.666666666668</v>
      </c>
      <c r="AC1072" s="6">
        <v>0.04</v>
      </c>
      <c r="AD1072" s="4">
        <f t="shared" si="88"/>
        <v>430.66666666666674</v>
      </c>
      <c r="AE1072" s="4">
        <f t="shared" si="84"/>
        <v>107.66666666666674</v>
      </c>
    </row>
    <row r="1073" spans="1:31" x14ac:dyDescent="0.25">
      <c r="A1073" t="s">
        <v>0</v>
      </c>
      <c r="B1073" s="3" t="s">
        <v>2219</v>
      </c>
      <c r="C1073" t="s">
        <v>2015</v>
      </c>
      <c r="D1073" t="s">
        <v>160</v>
      </c>
      <c r="E1073" t="s">
        <v>1225</v>
      </c>
      <c r="F1073" s="1">
        <v>46081</v>
      </c>
      <c r="G1073" s="1">
        <v>46081</v>
      </c>
      <c r="H1073" t="s">
        <v>2016</v>
      </c>
      <c r="I1073" t="s">
        <v>5</v>
      </c>
      <c r="J1073" t="s">
        <v>6</v>
      </c>
      <c r="K1073" t="s">
        <v>4</v>
      </c>
      <c r="L1073" t="s">
        <v>2109</v>
      </c>
      <c r="M1073" t="s">
        <v>2109</v>
      </c>
      <c r="N1073" s="2">
        <v>2760</v>
      </c>
      <c r="O1073" t="s">
        <v>2018</v>
      </c>
      <c r="P1073" t="s">
        <v>9</v>
      </c>
      <c r="Q1073" t="s">
        <v>86</v>
      </c>
      <c r="R1073" t="e">
        <f>VLOOKUP(Q1073,#REF!,2,FALSE)</f>
        <v>#REF!</v>
      </c>
      <c r="S1073">
        <v>1004</v>
      </c>
      <c r="T1073" t="s">
        <v>2225</v>
      </c>
      <c r="U1073" t="s">
        <v>2019</v>
      </c>
      <c r="V1073" s="1">
        <v>46081</v>
      </c>
      <c r="W1073" s="1">
        <v>46081</v>
      </c>
      <c r="X1073" t="s">
        <v>77</v>
      </c>
      <c r="Y1073" t="s">
        <v>646</v>
      </c>
      <c r="Z1073" t="s">
        <v>6</v>
      </c>
      <c r="AA1073" t="s">
        <v>646</v>
      </c>
      <c r="AB1073" s="4">
        <f t="shared" si="87"/>
        <v>92000</v>
      </c>
      <c r="AC1073" s="6">
        <v>0.04</v>
      </c>
      <c r="AD1073" s="4">
        <f t="shared" si="88"/>
        <v>3680</v>
      </c>
      <c r="AE1073" s="4">
        <f t="shared" si="84"/>
        <v>920</v>
      </c>
    </row>
    <row r="1074" spans="1:31" x14ac:dyDescent="0.25">
      <c r="A1074" t="s">
        <v>0</v>
      </c>
      <c r="B1074" s="3" t="s">
        <v>2219</v>
      </c>
      <c r="C1074" t="s">
        <v>2015</v>
      </c>
      <c r="D1074" t="s">
        <v>160</v>
      </c>
      <c r="E1074" t="s">
        <v>1227</v>
      </c>
      <c r="F1074" s="1">
        <v>46081</v>
      </c>
      <c r="G1074" s="1">
        <v>46081</v>
      </c>
      <c r="H1074" t="s">
        <v>2016</v>
      </c>
      <c r="I1074" t="s">
        <v>5</v>
      </c>
      <c r="J1074" t="s">
        <v>6</v>
      </c>
      <c r="K1074" t="s">
        <v>4</v>
      </c>
      <c r="L1074" t="s">
        <v>2110</v>
      </c>
      <c r="M1074" t="s">
        <v>2110</v>
      </c>
      <c r="N1074" s="2">
        <v>10739</v>
      </c>
      <c r="O1074" t="s">
        <v>2018</v>
      </c>
      <c r="P1074" t="s">
        <v>9</v>
      </c>
      <c r="Q1074" t="s">
        <v>86</v>
      </c>
      <c r="R1074" t="e">
        <f>VLOOKUP(Q1074,#REF!,2,FALSE)</f>
        <v>#REF!</v>
      </c>
      <c r="S1074">
        <v>1004</v>
      </c>
      <c r="T1074" t="s">
        <v>2225</v>
      </c>
      <c r="U1074" t="s">
        <v>2019</v>
      </c>
      <c r="V1074" s="1">
        <v>46081</v>
      </c>
      <c r="W1074" s="1">
        <v>46081</v>
      </c>
      <c r="X1074" t="s">
        <v>77</v>
      </c>
      <c r="Y1074" t="s">
        <v>646</v>
      </c>
      <c r="Z1074" t="s">
        <v>6</v>
      </c>
      <c r="AA1074" t="s">
        <v>646</v>
      </c>
      <c r="AB1074" s="4">
        <f t="shared" si="87"/>
        <v>357966.66666666669</v>
      </c>
      <c r="AC1074" s="6">
        <v>0.04</v>
      </c>
      <c r="AD1074" s="4">
        <f t="shared" si="88"/>
        <v>14318.666666666668</v>
      </c>
      <c r="AE1074" s="4">
        <f t="shared" si="84"/>
        <v>3579.6666666666679</v>
      </c>
    </row>
    <row r="1075" spans="1:31" x14ac:dyDescent="0.25">
      <c r="A1075" t="s">
        <v>0</v>
      </c>
      <c r="B1075" s="3" t="s">
        <v>2219</v>
      </c>
      <c r="C1075" t="s">
        <v>2015</v>
      </c>
      <c r="D1075" t="s">
        <v>160</v>
      </c>
      <c r="E1075" t="s">
        <v>1229</v>
      </c>
      <c r="F1075" s="1">
        <v>46081</v>
      </c>
      <c r="G1075" s="1">
        <v>46081</v>
      </c>
      <c r="H1075" t="s">
        <v>2016</v>
      </c>
      <c r="I1075" t="s">
        <v>5</v>
      </c>
      <c r="J1075" t="s">
        <v>6</v>
      </c>
      <c r="K1075" t="s">
        <v>4</v>
      </c>
      <c r="L1075" t="s">
        <v>1607</v>
      </c>
      <c r="M1075" t="s">
        <v>1607</v>
      </c>
      <c r="N1075" s="2">
        <v>550</v>
      </c>
      <c r="O1075" t="s">
        <v>2018</v>
      </c>
      <c r="P1075" t="s">
        <v>9</v>
      </c>
      <c r="Q1075" t="s">
        <v>86</v>
      </c>
      <c r="R1075" t="e">
        <f>VLOOKUP(Q1075,#REF!,2,FALSE)</f>
        <v>#REF!</v>
      </c>
      <c r="S1075">
        <v>1004</v>
      </c>
      <c r="T1075" t="s">
        <v>2225</v>
      </c>
      <c r="U1075" t="s">
        <v>2019</v>
      </c>
      <c r="V1075" s="1">
        <v>46081</v>
      </c>
      <c r="W1075" s="1">
        <v>46081</v>
      </c>
      <c r="X1075" t="s">
        <v>77</v>
      </c>
      <c r="Y1075" t="s">
        <v>646</v>
      </c>
      <c r="Z1075" t="s">
        <v>6</v>
      </c>
      <c r="AA1075" t="s">
        <v>646</v>
      </c>
      <c r="AB1075" s="4">
        <f t="shared" si="87"/>
        <v>18333.333333333336</v>
      </c>
      <c r="AC1075" s="6">
        <v>0.04</v>
      </c>
      <c r="AD1075" s="4">
        <f t="shared" si="88"/>
        <v>733.33333333333348</v>
      </c>
      <c r="AE1075" s="4">
        <f t="shared" si="84"/>
        <v>183.33333333333348</v>
      </c>
    </row>
    <row r="1076" spans="1:31" x14ac:dyDescent="0.25">
      <c r="A1076" t="s">
        <v>0</v>
      </c>
      <c r="B1076" s="3" t="s">
        <v>2219</v>
      </c>
      <c r="C1076" t="s">
        <v>2015</v>
      </c>
      <c r="D1076" t="s">
        <v>160</v>
      </c>
      <c r="E1076" t="s">
        <v>1231</v>
      </c>
      <c r="F1076" s="1">
        <v>46081</v>
      </c>
      <c r="G1076" s="1">
        <v>46081</v>
      </c>
      <c r="H1076" t="s">
        <v>2016</v>
      </c>
      <c r="I1076" t="s">
        <v>5</v>
      </c>
      <c r="J1076" t="s">
        <v>6</v>
      </c>
      <c r="K1076" t="s">
        <v>4</v>
      </c>
      <c r="L1076" t="s">
        <v>2111</v>
      </c>
      <c r="M1076" t="s">
        <v>2111</v>
      </c>
      <c r="N1076" s="2">
        <v>13147</v>
      </c>
      <c r="O1076" t="s">
        <v>2018</v>
      </c>
      <c r="P1076" t="s">
        <v>9</v>
      </c>
      <c r="Q1076" t="s">
        <v>86</v>
      </c>
      <c r="R1076" t="e">
        <f>VLOOKUP(Q1076,#REF!,2,FALSE)</f>
        <v>#REF!</v>
      </c>
      <c r="S1076">
        <v>1004</v>
      </c>
      <c r="T1076" t="s">
        <v>2225</v>
      </c>
      <c r="U1076" t="s">
        <v>2019</v>
      </c>
      <c r="V1076" s="1">
        <v>46081</v>
      </c>
      <c r="W1076" s="1">
        <v>46081</v>
      </c>
      <c r="X1076" t="s">
        <v>77</v>
      </c>
      <c r="Y1076" t="s">
        <v>646</v>
      </c>
      <c r="Z1076" t="s">
        <v>6</v>
      </c>
      <c r="AA1076" t="s">
        <v>646</v>
      </c>
      <c r="AB1076" s="4">
        <f t="shared" si="87"/>
        <v>438233.33333333337</v>
      </c>
      <c r="AC1076" s="6">
        <v>0.04</v>
      </c>
      <c r="AD1076" s="4">
        <f t="shared" si="88"/>
        <v>17529.333333333336</v>
      </c>
      <c r="AE1076" s="4">
        <f t="shared" si="84"/>
        <v>4382.3333333333358</v>
      </c>
    </row>
    <row r="1077" spans="1:31" x14ac:dyDescent="0.25">
      <c r="A1077" t="s">
        <v>0</v>
      </c>
      <c r="B1077" s="3" t="s">
        <v>2219</v>
      </c>
      <c r="C1077" t="s">
        <v>2015</v>
      </c>
      <c r="D1077" t="s">
        <v>160</v>
      </c>
      <c r="E1077" t="s">
        <v>1233</v>
      </c>
      <c r="F1077" s="1">
        <v>46081</v>
      </c>
      <c r="G1077" s="1">
        <v>46081</v>
      </c>
      <c r="H1077" t="s">
        <v>2016</v>
      </c>
      <c r="I1077" t="s">
        <v>5</v>
      </c>
      <c r="J1077" t="s">
        <v>6</v>
      </c>
      <c r="K1077" t="s">
        <v>4</v>
      </c>
      <c r="L1077" t="s">
        <v>2112</v>
      </c>
      <c r="M1077" t="s">
        <v>2112</v>
      </c>
      <c r="N1077" s="2">
        <v>8243</v>
      </c>
      <c r="O1077" t="s">
        <v>2018</v>
      </c>
      <c r="P1077" t="s">
        <v>9</v>
      </c>
      <c r="Q1077" t="s">
        <v>86</v>
      </c>
      <c r="R1077" t="e">
        <f>VLOOKUP(Q1077,#REF!,2,FALSE)</f>
        <v>#REF!</v>
      </c>
      <c r="S1077">
        <v>1004</v>
      </c>
      <c r="T1077" t="s">
        <v>2225</v>
      </c>
      <c r="U1077" t="s">
        <v>2019</v>
      </c>
      <c r="V1077" s="1">
        <v>46081</v>
      </c>
      <c r="W1077" s="1">
        <v>46081</v>
      </c>
      <c r="X1077" t="s">
        <v>77</v>
      </c>
      <c r="Y1077" t="s">
        <v>646</v>
      </c>
      <c r="Z1077" t="s">
        <v>6</v>
      </c>
      <c r="AA1077" t="s">
        <v>646</v>
      </c>
      <c r="AB1077" s="4">
        <f t="shared" si="87"/>
        <v>274766.66666666669</v>
      </c>
      <c r="AC1077" s="6">
        <v>0.04</v>
      </c>
      <c r="AD1077" s="4">
        <f t="shared" si="88"/>
        <v>10990.666666666668</v>
      </c>
      <c r="AE1077" s="4">
        <f t="shared" si="84"/>
        <v>2747.6666666666679</v>
      </c>
    </row>
    <row r="1078" spans="1:31" x14ac:dyDescent="0.25">
      <c r="A1078" t="s">
        <v>0</v>
      </c>
      <c r="B1078" s="3" t="s">
        <v>2219</v>
      </c>
      <c r="C1078" t="s">
        <v>2015</v>
      </c>
      <c r="D1078" t="s">
        <v>160</v>
      </c>
      <c r="E1078" t="s">
        <v>1235</v>
      </c>
      <c r="F1078" s="1">
        <v>46081</v>
      </c>
      <c r="G1078" s="1">
        <v>46081</v>
      </c>
      <c r="H1078" t="s">
        <v>2016</v>
      </c>
      <c r="I1078" t="s">
        <v>5</v>
      </c>
      <c r="J1078" t="s">
        <v>6</v>
      </c>
      <c r="K1078" t="s">
        <v>4</v>
      </c>
      <c r="L1078" t="s">
        <v>1613</v>
      </c>
      <c r="M1078" t="s">
        <v>1613</v>
      </c>
      <c r="N1078" s="2">
        <v>1307</v>
      </c>
      <c r="O1078" t="s">
        <v>2018</v>
      </c>
      <c r="P1078" t="s">
        <v>9</v>
      </c>
      <c r="Q1078" t="s">
        <v>86</v>
      </c>
      <c r="R1078" t="e">
        <f>VLOOKUP(Q1078,#REF!,2,FALSE)</f>
        <v>#REF!</v>
      </c>
      <c r="S1078">
        <v>1004</v>
      </c>
      <c r="T1078" t="s">
        <v>2225</v>
      </c>
      <c r="U1078" t="s">
        <v>2019</v>
      </c>
      <c r="V1078" s="1">
        <v>46081</v>
      </c>
      <c r="W1078" s="1">
        <v>46081</v>
      </c>
      <c r="X1078" t="s">
        <v>77</v>
      </c>
      <c r="Y1078" t="s">
        <v>646</v>
      </c>
      <c r="Z1078" t="s">
        <v>6</v>
      </c>
      <c r="AA1078" t="s">
        <v>646</v>
      </c>
      <c r="AB1078" s="4">
        <f t="shared" si="87"/>
        <v>43566.666666666672</v>
      </c>
      <c r="AC1078" s="6">
        <v>0.04</v>
      </c>
      <c r="AD1078" s="4">
        <f t="shared" si="88"/>
        <v>1742.666666666667</v>
      </c>
      <c r="AE1078" s="4">
        <f t="shared" si="84"/>
        <v>435.66666666666697</v>
      </c>
    </row>
    <row r="1079" spans="1:31" x14ac:dyDescent="0.25">
      <c r="A1079" t="s">
        <v>0</v>
      </c>
      <c r="B1079" s="3" t="s">
        <v>2219</v>
      </c>
      <c r="C1079" t="s">
        <v>2015</v>
      </c>
      <c r="D1079" t="s">
        <v>160</v>
      </c>
      <c r="E1079" t="s">
        <v>1237</v>
      </c>
      <c r="F1079" s="1">
        <v>46081</v>
      </c>
      <c r="G1079" s="1">
        <v>46081</v>
      </c>
      <c r="H1079" t="s">
        <v>2016</v>
      </c>
      <c r="I1079" t="s">
        <v>5</v>
      </c>
      <c r="J1079" t="s">
        <v>6</v>
      </c>
      <c r="K1079" t="s">
        <v>4</v>
      </c>
      <c r="L1079" t="s">
        <v>2113</v>
      </c>
      <c r="M1079" t="s">
        <v>2113</v>
      </c>
      <c r="N1079" s="2">
        <v>513</v>
      </c>
      <c r="O1079" t="s">
        <v>2018</v>
      </c>
      <c r="P1079" t="s">
        <v>9</v>
      </c>
      <c r="Q1079" t="s">
        <v>86</v>
      </c>
      <c r="R1079" t="e">
        <f>VLOOKUP(Q1079,#REF!,2,FALSE)</f>
        <v>#REF!</v>
      </c>
      <c r="S1079">
        <v>1004</v>
      </c>
      <c r="T1079" t="s">
        <v>2225</v>
      </c>
      <c r="U1079" t="s">
        <v>2019</v>
      </c>
      <c r="V1079" s="1">
        <v>46081</v>
      </c>
      <c r="W1079" s="1">
        <v>46081</v>
      </c>
      <c r="X1079" t="s">
        <v>77</v>
      </c>
      <c r="Y1079" t="s">
        <v>646</v>
      </c>
      <c r="Z1079" t="s">
        <v>6</v>
      </c>
      <c r="AA1079" t="s">
        <v>646</v>
      </c>
      <c r="AB1079" s="4">
        <f t="shared" si="87"/>
        <v>17100</v>
      </c>
      <c r="AC1079" s="6">
        <v>0.04</v>
      </c>
      <c r="AD1079" s="4">
        <f t="shared" si="88"/>
        <v>684</v>
      </c>
      <c r="AE1079" s="4">
        <f t="shared" si="84"/>
        <v>171</v>
      </c>
    </row>
    <row r="1080" spans="1:31" x14ac:dyDescent="0.25">
      <c r="A1080" t="s">
        <v>0</v>
      </c>
      <c r="B1080" s="3" t="s">
        <v>2219</v>
      </c>
      <c r="C1080" t="s">
        <v>2015</v>
      </c>
      <c r="D1080" t="s">
        <v>160</v>
      </c>
      <c r="E1080" t="s">
        <v>1239</v>
      </c>
      <c r="F1080" s="1">
        <v>46081</v>
      </c>
      <c r="G1080" s="1">
        <v>46081</v>
      </c>
      <c r="H1080" t="s">
        <v>2016</v>
      </c>
      <c r="I1080" t="s">
        <v>5</v>
      </c>
      <c r="J1080" t="s">
        <v>6</v>
      </c>
      <c r="K1080" t="s">
        <v>4</v>
      </c>
      <c r="L1080" t="s">
        <v>2114</v>
      </c>
      <c r="M1080" t="s">
        <v>2114</v>
      </c>
      <c r="N1080" s="2">
        <v>296</v>
      </c>
      <c r="O1080" t="s">
        <v>2018</v>
      </c>
      <c r="P1080" t="s">
        <v>9</v>
      </c>
      <c r="Q1080" t="s">
        <v>86</v>
      </c>
      <c r="R1080" t="e">
        <f>VLOOKUP(Q1080,#REF!,2,FALSE)</f>
        <v>#REF!</v>
      </c>
      <c r="S1080">
        <v>1004</v>
      </c>
      <c r="T1080" t="s">
        <v>2225</v>
      </c>
      <c r="U1080" t="s">
        <v>2019</v>
      </c>
      <c r="V1080" s="1">
        <v>46081</v>
      </c>
      <c r="W1080" s="1">
        <v>46081</v>
      </c>
      <c r="X1080" t="s">
        <v>77</v>
      </c>
      <c r="Y1080" t="s">
        <v>646</v>
      </c>
      <c r="Z1080" t="s">
        <v>6</v>
      </c>
      <c r="AA1080" t="s">
        <v>646</v>
      </c>
      <c r="AB1080" s="4">
        <f t="shared" si="87"/>
        <v>9866.6666666666679</v>
      </c>
      <c r="AC1080" s="6">
        <v>0.04</v>
      </c>
      <c r="AD1080" s="4">
        <f t="shared" si="88"/>
        <v>394.66666666666674</v>
      </c>
      <c r="AE1080" s="4">
        <f t="shared" si="84"/>
        <v>98.666666666666742</v>
      </c>
    </row>
    <row r="1081" spans="1:31" x14ac:dyDescent="0.25">
      <c r="A1081" t="s">
        <v>0</v>
      </c>
      <c r="B1081" s="3" t="s">
        <v>2219</v>
      </c>
      <c r="C1081" t="s">
        <v>2115</v>
      </c>
      <c r="D1081" t="s">
        <v>69</v>
      </c>
      <c r="E1081" t="s">
        <v>12</v>
      </c>
      <c r="F1081" s="1"/>
      <c r="G1081" s="1"/>
      <c r="H1081" t="s">
        <v>4</v>
      </c>
      <c r="I1081" t="s">
        <v>5</v>
      </c>
      <c r="J1081" t="s">
        <v>6</v>
      </c>
      <c r="K1081" t="s">
        <v>2116</v>
      </c>
      <c r="L1081">
        <v>2000</v>
      </c>
      <c r="M1081">
        <v>2000</v>
      </c>
      <c r="N1081">
        <v>2000</v>
      </c>
      <c r="O1081" t="s">
        <v>2116</v>
      </c>
      <c r="P1081" t="s">
        <v>9</v>
      </c>
      <c r="Q1081" t="s">
        <v>2117</v>
      </c>
      <c r="R1081" t="e">
        <f>VLOOKUP(Q1081,#REF!,2,FALSE)</f>
        <v>#REF!</v>
      </c>
      <c r="S1081">
        <v>1004</v>
      </c>
      <c r="T1081" t="s">
        <v>2225</v>
      </c>
      <c r="U1081" t="s">
        <v>2118</v>
      </c>
      <c r="V1081" s="1">
        <v>45651</v>
      </c>
      <c r="W1081" s="1">
        <v>45470</v>
      </c>
      <c r="X1081" t="s">
        <v>2119</v>
      </c>
      <c r="Y1081" t="s">
        <v>2120</v>
      </c>
      <c r="Z1081" t="s">
        <v>6</v>
      </c>
      <c r="AA1081" t="s">
        <v>2120</v>
      </c>
      <c r="AB1081" s="4">
        <f t="shared" ref="AB1081:AB1099" si="89">L1081/0.015</f>
        <v>133333.33333333334</v>
      </c>
      <c r="AC1081" s="6">
        <v>0.02</v>
      </c>
      <c r="AD1081" s="4">
        <f t="shared" si="88"/>
        <v>2666.666666666667</v>
      </c>
      <c r="AE1081" s="4">
        <f t="shared" si="84"/>
        <v>666.66666666666697</v>
      </c>
    </row>
    <row r="1082" spans="1:31" x14ac:dyDescent="0.25">
      <c r="A1082" t="s">
        <v>0</v>
      </c>
      <c r="B1082" s="3" t="s">
        <v>2219</v>
      </c>
      <c r="C1082" t="s">
        <v>2121</v>
      </c>
      <c r="D1082" t="s">
        <v>69</v>
      </c>
      <c r="E1082" t="s">
        <v>12</v>
      </c>
      <c r="F1082" s="1"/>
      <c r="G1082" s="1"/>
      <c r="H1082" t="s">
        <v>4</v>
      </c>
      <c r="I1082" t="s">
        <v>5</v>
      </c>
      <c r="J1082" t="s">
        <v>6</v>
      </c>
      <c r="K1082" t="s">
        <v>2116</v>
      </c>
      <c r="L1082">
        <v>3000</v>
      </c>
      <c r="M1082">
        <v>3000</v>
      </c>
      <c r="N1082">
        <v>3000</v>
      </c>
      <c r="O1082" t="s">
        <v>2116</v>
      </c>
      <c r="P1082" t="s">
        <v>9</v>
      </c>
      <c r="Q1082" t="s">
        <v>2117</v>
      </c>
      <c r="R1082" t="e">
        <f>VLOOKUP(Q1082,#REF!,2,FALSE)</f>
        <v>#REF!</v>
      </c>
      <c r="S1082">
        <v>1004</v>
      </c>
      <c r="T1082" t="s">
        <v>2225</v>
      </c>
      <c r="U1082" t="s">
        <v>2122</v>
      </c>
      <c r="V1082" s="1">
        <v>45651</v>
      </c>
      <c r="W1082" s="1">
        <v>45477</v>
      </c>
      <c r="X1082" t="s">
        <v>2119</v>
      </c>
      <c r="Y1082" t="s">
        <v>2120</v>
      </c>
      <c r="Z1082" t="s">
        <v>6</v>
      </c>
      <c r="AA1082" t="s">
        <v>2120</v>
      </c>
      <c r="AB1082" s="4">
        <f t="shared" si="89"/>
        <v>200000</v>
      </c>
      <c r="AC1082" s="6">
        <v>0.02</v>
      </c>
      <c r="AD1082" s="4">
        <f t="shared" si="88"/>
        <v>4000</v>
      </c>
      <c r="AE1082" s="4">
        <f t="shared" si="84"/>
        <v>1000</v>
      </c>
    </row>
    <row r="1083" spans="1:31" x14ac:dyDescent="0.25">
      <c r="A1083" t="s">
        <v>0</v>
      </c>
      <c r="B1083" s="3" t="s">
        <v>2219</v>
      </c>
      <c r="C1083" t="s">
        <v>2123</v>
      </c>
      <c r="D1083" t="s">
        <v>69</v>
      </c>
      <c r="E1083" t="s">
        <v>12</v>
      </c>
      <c r="F1083" s="1"/>
      <c r="G1083" s="1"/>
      <c r="H1083" t="s">
        <v>4</v>
      </c>
      <c r="I1083" t="s">
        <v>5</v>
      </c>
      <c r="J1083" t="s">
        <v>6</v>
      </c>
      <c r="K1083" t="s">
        <v>2116</v>
      </c>
      <c r="L1083">
        <v>2300</v>
      </c>
      <c r="M1083">
        <v>2300</v>
      </c>
      <c r="N1083">
        <v>2300</v>
      </c>
      <c r="O1083" t="s">
        <v>2116</v>
      </c>
      <c r="P1083" t="s">
        <v>9</v>
      </c>
      <c r="Q1083" t="s">
        <v>2117</v>
      </c>
      <c r="R1083" t="e">
        <f>VLOOKUP(Q1083,#REF!,2,FALSE)</f>
        <v>#REF!</v>
      </c>
      <c r="S1083">
        <v>1004</v>
      </c>
      <c r="T1083" t="s">
        <v>2225</v>
      </c>
      <c r="U1083" t="s">
        <v>2124</v>
      </c>
      <c r="V1083" s="1">
        <v>45651</v>
      </c>
      <c r="W1083" s="1">
        <v>45580</v>
      </c>
      <c r="X1083" t="s">
        <v>2119</v>
      </c>
      <c r="Y1083" t="s">
        <v>2120</v>
      </c>
      <c r="Z1083" t="s">
        <v>6</v>
      </c>
      <c r="AA1083" t="s">
        <v>2120</v>
      </c>
      <c r="AB1083" s="4">
        <f t="shared" si="89"/>
        <v>153333.33333333334</v>
      </c>
      <c r="AC1083" s="6">
        <v>0.02</v>
      </c>
      <c r="AD1083" s="4">
        <f t="shared" si="88"/>
        <v>3066.666666666667</v>
      </c>
      <c r="AE1083" s="4">
        <f t="shared" si="84"/>
        <v>766.66666666666697</v>
      </c>
    </row>
    <row r="1084" spans="1:31" x14ac:dyDescent="0.25">
      <c r="A1084" t="s">
        <v>0</v>
      </c>
      <c r="B1084" s="3" t="s">
        <v>2219</v>
      </c>
      <c r="C1084" t="s">
        <v>2125</v>
      </c>
      <c r="D1084" t="s">
        <v>69</v>
      </c>
      <c r="E1084" t="s">
        <v>12</v>
      </c>
      <c r="F1084" s="1"/>
      <c r="G1084" s="1"/>
      <c r="H1084" t="s">
        <v>4</v>
      </c>
      <c r="I1084" t="s">
        <v>5</v>
      </c>
      <c r="J1084" t="s">
        <v>6</v>
      </c>
      <c r="K1084" t="s">
        <v>2116</v>
      </c>
      <c r="L1084">
        <v>3685</v>
      </c>
      <c r="M1084">
        <v>3685</v>
      </c>
      <c r="N1084">
        <v>3685</v>
      </c>
      <c r="O1084" t="s">
        <v>2116</v>
      </c>
      <c r="P1084" t="s">
        <v>9</v>
      </c>
      <c r="Q1084" t="s">
        <v>2117</v>
      </c>
      <c r="R1084" t="e">
        <f>VLOOKUP(Q1084,#REF!,2,FALSE)</f>
        <v>#REF!</v>
      </c>
      <c r="S1084">
        <v>1004</v>
      </c>
      <c r="T1084" t="s">
        <v>2225</v>
      </c>
      <c r="U1084" t="s">
        <v>2126</v>
      </c>
      <c r="V1084" s="1">
        <v>45651</v>
      </c>
      <c r="W1084" s="1">
        <v>45600</v>
      </c>
      <c r="X1084" t="s">
        <v>2119</v>
      </c>
      <c r="Y1084" t="s">
        <v>2120</v>
      </c>
      <c r="Z1084" t="s">
        <v>6</v>
      </c>
      <c r="AA1084" t="s">
        <v>2120</v>
      </c>
      <c r="AB1084" s="4">
        <f t="shared" si="89"/>
        <v>245666.66666666669</v>
      </c>
      <c r="AC1084" s="6">
        <v>0.02</v>
      </c>
      <c r="AD1084" s="4">
        <f t="shared" si="88"/>
        <v>4913.3333333333339</v>
      </c>
      <c r="AE1084" s="4">
        <f t="shared" si="84"/>
        <v>1228.3333333333339</v>
      </c>
    </row>
    <row r="1085" spans="1:31" x14ac:dyDescent="0.25">
      <c r="A1085" t="s">
        <v>0</v>
      </c>
      <c r="B1085" s="3" t="s">
        <v>2219</v>
      </c>
      <c r="C1085" t="s">
        <v>2127</v>
      </c>
      <c r="D1085" t="s">
        <v>69</v>
      </c>
      <c r="E1085" t="s">
        <v>12</v>
      </c>
      <c r="F1085" s="1"/>
      <c r="G1085" s="1"/>
      <c r="H1085" t="s">
        <v>4</v>
      </c>
      <c r="I1085" t="s">
        <v>5</v>
      </c>
      <c r="J1085" t="s">
        <v>6</v>
      </c>
      <c r="K1085" t="s">
        <v>2128</v>
      </c>
      <c r="L1085">
        <v>3916</v>
      </c>
      <c r="M1085">
        <v>3916</v>
      </c>
      <c r="N1085">
        <v>3916</v>
      </c>
      <c r="O1085" t="s">
        <v>2128</v>
      </c>
      <c r="P1085" t="s">
        <v>9</v>
      </c>
      <c r="Q1085" t="s">
        <v>2117</v>
      </c>
      <c r="R1085" t="e">
        <f>VLOOKUP(Q1085,#REF!,2,FALSE)</f>
        <v>#REF!</v>
      </c>
      <c r="S1085">
        <v>1004</v>
      </c>
      <c r="T1085" t="s">
        <v>2225</v>
      </c>
      <c r="U1085" t="s">
        <v>2129</v>
      </c>
      <c r="V1085" s="1">
        <v>45651</v>
      </c>
      <c r="W1085" s="1">
        <v>45573</v>
      </c>
      <c r="X1085" t="s">
        <v>2119</v>
      </c>
      <c r="Y1085" t="s">
        <v>2120</v>
      </c>
      <c r="Z1085" t="s">
        <v>6</v>
      </c>
      <c r="AA1085" t="s">
        <v>2120</v>
      </c>
      <c r="AB1085" s="4">
        <f t="shared" si="89"/>
        <v>261066.66666666669</v>
      </c>
      <c r="AC1085" s="6">
        <v>0.02</v>
      </c>
      <c r="AD1085" s="4">
        <f t="shared" si="88"/>
        <v>5221.3333333333339</v>
      </c>
      <c r="AE1085" s="4">
        <f t="shared" si="84"/>
        <v>1305.3333333333339</v>
      </c>
    </row>
    <row r="1086" spans="1:31" x14ac:dyDescent="0.25">
      <c r="A1086" t="s">
        <v>0</v>
      </c>
      <c r="B1086" s="3" t="s">
        <v>2219</v>
      </c>
      <c r="C1086" t="s">
        <v>2130</v>
      </c>
      <c r="D1086" t="s">
        <v>69</v>
      </c>
      <c r="E1086" t="s">
        <v>12</v>
      </c>
      <c r="F1086" s="1"/>
      <c r="G1086" s="1"/>
      <c r="H1086" t="s">
        <v>4</v>
      </c>
      <c r="I1086" t="s">
        <v>5</v>
      </c>
      <c r="J1086" t="s">
        <v>6</v>
      </c>
      <c r="K1086" t="s">
        <v>2128</v>
      </c>
      <c r="L1086">
        <v>3600</v>
      </c>
      <c r="M1086">
        <v>3600</v>
      </c>
      <c r="N1086">
        <v>3600</v>
      </c>
      <c r="O1086" t="s">
        <v>2128</v>
      </c>
      <c r="P1086" t="s">
        <v>9</v>
      </c>
      <c r="Q1086" t="s">
        <v>2117</v>
      </c>
      <c r="R1086" t="e">
        <f>VLOOKUP(Q1086,#REF!,2,FALSE)</f>
        <v>#REF!</v>
      </c>
      <c r="S1086">
        <v>1004</v>
      </c>
      <c r="T1086" t="s">
        <v>2225</v>
      </c>
      <c r="U1086" t="s">
        <v>2131</v>
      </c>
      <c r="V1086" s="1">
        <v>45651</v>
      </c>
      <c r="W1086" s="1">
        <v>45579</v>
      </c>
      <c r="X1086" t="s">
        <v>2119</v>
      </c>
      <c r="Y1086" t="s">
        <v>2120</v>
      </c>
      <c r="Z1086" t="s">
        <v>6</v>
      </c>
      <c r="AA1086" t="s">
        <v>2120</v>
      </c>
      <c r="AB1086" s="4">
        <f t="shared" si="89"/>
        <v>240000</v>
      </c>
      <c r="AC1086" s="6">
        <v>0.02</v>
      </c>
      <c r="AD1086" s="4">
        <f t="shared" si="88"/>
        <v>4800</v>
      </c>
      <c r="AE1086" s="4">
        <f t="shared" si="84"/>
        <v>1200</v>
      </c>
    </row>
    <row r="1087" spans="1:31" x14ac:dyDescent="0.25">
      <c r="A1087" t="s">
        <v>0</v>
      </c>
      <c r="B1087" s="3" t="s">
        <v>2219</v>
      </c>
      <c r="C1087" t="s">
        <v>2132</v>
      </c>
      <c r="D1087" t="s">
        <v>69</v>
      </c>
      <c r="E1087" t="s">
        <v>12</v>
      </c>
      <c r="F1087" s="1"/>
      <c r="G1087" s="1"/>
      <c r="H1087" t="s">
        <v>4</v>
      </c>
      <c r="I1087" t="s">
        <v>5</v>
      </c>
      <c r="J1087" t="s">
        <v>6</v>
      </c>
      <c r="K1087" t="s">
        <v>2116</v>
      </c>
      <c r="L1087">
        <v>3755</v>
      </c>
      <c r="M1087">
        <v>3755</v>
      </c>
      <c r="N1087">
        <v>3755</v>
      </c>
      <c r="O1087" t="s">
        <v>2116</v>
      </c>
      <c r="P1087" t="s">
        <v>9</v>
      </c>
      <c r="Q1087" t="s">
        <v>2117</v>
      </c>
      <c r="R1087" t="e">
        <f>VLOOKUP(Q1087,#REF!,2,FALSE)</f>
        <v>#REF!</v>
      </c>
      <c r="S1087">
        <v>1004</v>
      </c>
      <c r="T1087" t="s">
        <v>2225</v>
      </c>
      <c r="U1087" t="s">
        <v>2133</v>
      </c>
      <c r="V1087" s="1">
        <v>45651</v>
      </c>
      <c r="W1087" s="1">
        <v>45600</v>
      </c>
      <c r="X1087" t="s">
        <v>2119</v>
      </c>
      <c r="Y1087" t="s">
        <v>2120</v>
      </c>
      <c r="Z1087" t="s">
        <v>6</v>
      </c>
      <c r="AA1087" t="s">
        <v>2120</v>
      </c>
      <c r="AB1087" s="4">
        <f t="shared" si="89"/>
        <v>250333.33333333334</v>
      </c>
      <c r="AC1087" s="6">
        <v>0.02</v>
      </c>
      <c r="AD1087" s="4">
        <f t="shared" si="88"/>
        <v>5006.666666666667</v>
      </c>
      <c r="AE1087" s="4">
        <f t="shared" si="84"/>
        <v>1251.666666666667</v>
      </c>
    </row>
    <row r="1088" spans="1:31" x14ac:dyDescent="0.25">
      <c r="A1088" t="s">
        <v>0</v>
      </c>
      <c r="B1088" s="3" t="s">
        <v>2219</v>
      </c>
      <c r="C1088" t="s">
        <v>2134</v>
      </c>
      <c r="D1088" t="s">
        <v>69</v>
      </c>
      <c r="E1088" t="s">
        <v>12</v>
      </c>
      <c r="F1088" s="1"/>
      <c r="G1088" s="1"/>
      <c r="H1088" t="s">
        <v>4</v>
      </c>
      <c r="I1088" t="s">
        <v>5</v>
      </c>
      <c r="J1088" t="s">
        <v>6</v>
      </c>
      <c r="K1088" t="s">
        <v>2116</v>
      </c>
      <c r="L1088">
        <v>3989</v>
      </c>
      <c r="M1088">
        <v>3989</v>
      </c>
      <c r="N1088">
        <v>3989</v>
      </c>
      <c r="O1088" t="s">
        <v>2116</v>
      </c>
      <c r="P1088" t="s">
        <v>9</v>
      </c>
      <c r="Q1088" t="s">
        <v>2117</v>
      </c>
      <c r="R1088" t="e">
        <f>VLOOKUP(Q1088,#REF!,2,FALSE)</f>
        <v>#REF!</v>
      </c>
      <c r="S1088">
        <v>1004</v>
      </c>
      <c r="T1088" t="s">
        <v>2225</v>
      </c>
      <c r="U1088" t="s">
        <v>2135</v>
      </c>
      <c r="V1088" s="1">
        <v>45651</v>
      </c>
      <c r="W1088" s="1">
        <v>45542</v>
      </c>
      <c r="X1088" t="s">
        <v>2119</v>
      </c>
      <c r="Y1088" t="s">
        <v>2120</v>
      </c>
      <c r="Z1088" t="s">
        <v>6</v>
      </c>
      <c r="AA1088" t="s">
        <v>2120</v>
      </c>
      <c r="AB1088" s="4">
        <f t="shared" si="89"/>
        <v>265933.33333333337</v>
      </c>
      <c r="AC1088" s="6">
        <v>0.02</v>
      </c>
      <c r="AD1088" s="4">
        <f t="shared" si="88"/>
        <v>5318.6666666666679</v>
      </c>
      <c r="AE1088" s="4">
        <f t="shared" si="84"/>
        <v>1329.6666666666679</v>
      </c>
    </row>
    <row r="1089" spans="1:31" x14ac:dyDescent="0.25">
      <c r="A1089" t="s">
        <v>0</v>
      </c>
      <c r="B1089" s="3" t="s">
        <v>2219</v>
      </c>
      <c r="C1089" t="s">
        <v>2136</v>
      </c>
      <c r="D1089" t="s">
        <v>69</v>
      </c>
      <c r="E1089" t="s">
        <v>12</v>
      </c>
      <c r="F1089" s="1"/>
      <c r="G1089" s="1"/>
      <c r="H1089" t="s">
        <v>4</v>
      </c>
      <c r="I1089" t="s">
        <v>5</v>
      </c>
      <c r="J1089" t="s">
        <v>6</v>
      </c>
      <c r="K1089" t="s">
        <v>2116</v>
      </c>
      <c r="L1089">
        <v>2293</v>
      </c>
      <c r="M1089">
        <v>2293</v>
      </c>
      <c r="N1089">
        <v>2293</v>
      </c>
      <c r="O1089" t="s">
        <v>2116</v>
      </c>
      <c r="P1089" t="s">
        <v>9</v>
      </c>
      <c r="Q1089" t="s">
        <v>2117</v>
      </c>
      <c r="R1089" t="e">
        <f>VLOOKUP(Q1089,#REF!,2,FALSE)</f>
        <v>#REF!</v>
      </c>
      <c r="S1089">
        <v>1004</v>
      </c>
      <c r="T1089" t="s">
        <v>2225</v>
      </c>
      <c r="U1089" t="s">
        <v>2137</v>
      </c>
      <c r="V1089" s="1">
        <v>45651</v>
      </c>
      <c r="W1089" s="1">
        <v>45588</v>
      </c>
      <c r="X1089" t="s">
        <v>2119</v>
      </c>
      <c r="Y1089" t="s">
        <v>2120</v>
      </c>
      <c r="Z1089" t="s">
        <v>6</v>
      </c>
      <c r="AA1089" t="s">
        <v>2120</v>
      </c>
      <c r="AB1089" s="4">
        <f t="shared" si="89"/>
        <v>152866.66666666669</v>
      </c>
      <c r="AC1089" s="6">
        <v>0.02</v>
      </c>
      <c r="AD1089" s="4">
        <f t="shared" si="88"/>
        <v>3057.3333333333339</v>
      </c>
      <c r="AE1089" s="4">
        <f t="shared" si="84"/>
        <v>764.33333333333394</v>
      </c>
    </row>
    <row r="1090" spans="1:31" x14ac:dyDescent="0.25">
      <c r="A1090" t="s">
        <v>0</v>
      </c>
      <c r="B1090" s="3" t="s">
        <v>2219</v>
      </c>
      <c r="C1090" t="s">
        <v>2138</v>
      </c>
      <c r="D1090" t="s">
        <v>69</v>
      </c>
      <c r="E1090" t="s">
        <v>12</v>
      </c>
      <c r="F1090" s="1"/>
      <c r="G1090" s="1"/>
      <c r="H1090" t="s">
        <v>4</v>
      </c>
      <c r="I1090" t="s">
        <v>5</v>
      </c>
      <c r="J1090" t="s">
        <v>6</v>
      </c>
      <c r="K1090" t="s">
        <v>2116</v>
      </c>
      <c r="L1090">
        <v>2337</v>
      </c>
      <c r="M1090">
        <v>2337</v>
      </c>
      <c r="N1090">
        <v>2337</v>
      </c>
      <c r="O1090" t="s">
        <v>2116</v>
      </c>
      <c r="P1090" t="s">
        <v>9</v>
      </c>
      <c r="Q1090" t="s">
        <v>2117</v>
      </c>
      <c r="R1090" t="e">
        <f>VLOOKUP(Q1090,#REF!,2,FALSE)</f>
        <v>#REF!</v>
      </c>
      <c r="S1090">
        <v>1004</v>
      </c>
      <c r="T1090" t="s">
        <v>2225</v>
      </c>
      <c r="U1090" t="s">
        <v>2139</v>
      </c>
      <c r="V1090" s="1">
        <v>45651</v>
      </c>
      <c r="W1090" s="1">
        <v>45619</v>
      </c>
      <c r="X1090" t="s">
        <v>2119</v>
      </c>
      <c r="Y1090" t="s">
        <v>2120</v>
      </c>
      <c r="Z1090" t="s">
        <v>6</v>
      </c>
      <c r="AA1090" t="s">
        <v>2120</v>
      </c>
      <c r="AB1090" s="4">
        <f t="shared" si="89"/>
        <v>155800</v>
      </c>
      <c r="AC1090" s="6">
        <v>0.02</v>
      </c>
      <c r="AD1090" s="4">
        <f t="shared" si="88"/>
        <v>3116</v>
      </c>
      <c r="AE1090" s="4">
        <f t="shared" ref="AE1090:AE1122" si="90">AD1090-L1090</f>
        <v>779</v>
      </c>
    </row>
    <row r="1091" spans="1:31" x14ac:dyDescent="0.25">
      <c r="A1091" t="s">
        <v>0</v>
      </c>
      <c r="B1091" s="3" t="s">
        <v>2219</v>
      </c>
      <c r="C1091" t="s">
        <v>2140</v>
      </c>
      <c r="D1091" t="s">
        <v>69</v>
      </c>
      <c r="E1091" t="s">
        <v>12</v>
      </c>
      <c r="F1091" s="1"/>
      <c r="G1091" s="1"/>
      <c r="H1091" t="s">
        <v>4</v>
      </c>
      <c r="I1091" t="s">
        <v>5</v>
      </c>
      <c r="J1091" t="s">
        <v>6</v>
      </c>
      <c r="K1091" t="s">
        <v>2116</v>
      </c>
      <c r="L1091">
        <v>3538</v>
      </c>
      <c r="M1091">
        <v>3538</v>
      </c>
      <c r="N1091">
        <v>3538</v>
      </c>
      <c r="O1091" t="s">
        <v>2116</v>
      </c>
      <c r="P1091" t="s">
        <v>9</v>
      </c>
      <c r="Q1091" t="s">
        <v>2117</v>
      </c>
      <c r="R1091" t="e">
        <f>VLOOKUP(Q1091,#REF!,2,FALSE)</f>
        <v>#REF!</v>
      </c>
      <c r="S1091">
        <v>1004</v>
      </c>
      <c r="T1091" t="s">
        <v>2225</v>
      </c>
      <c r="U1091" t="s">
        <v>2141</v>
      </c>
      <c r="V1091" s="1">
        <v>45651</v>
      </c>
      <c r="W1091" s="1">
        <v>45531</v>
      </c>
      <c r="X1091" t="s">
        <v>2119</v>
      </c>
      <c r="Y1091" t="s">
        <v>2120</v>
      </c>
      <c r="Z1091" t="s">
        <v>6</v>
      </c>
      <c r="AA1091" t="s">
        <v>2120</v>
      </c>
      <c r="AB1091" s="4">
        <f t="shared" si="89"/>
        <v>235866.66666666669</v>
      </c>
      <c r="AC1091" s="6">
        <v>0.02</v>
      </c>
      <c r="AD1091" s="4">
        <f t="shared" si="88"/>
        <v>4717.3333333333339</v>
      </c>
      <c r="AE1091" s="4">
        <f t="shared" si="90"/>
        <v>1179.3333333333339</v>
      </c>
    </row>
    <row r="1092" spans="1:31" x14ac:dyDescent="0.25">
      <c r="A1092" t="s">
        <v>0</v>
      </c>
      <c r="B1092" s="3" t="s">
        <v>2219</v>
      </c>
      <c r="C1092" t="s">
        <v>2142</v>
      </c>
      <c r="D1092" t="s">
        <v>69</v>
      </c>
      <c r="E1092" t="s">
        <v>12</v>
      </c>
      <c r="F1092" s="1"/>
      <c r="G1092" s="1"/>
      <c r="H1092" t="s">
        <v>4</v>
      </c>
      <c r="I1092" t="s">
        <v>5</v>
      </c>
      <c r="J1092" t="s">
        <v>6</v>
      </c>
      <c r="K1092" t="s">
        <v>2116</v>
      </c>
      <c r="L1092">
        <v>3031</v>
      </c>
      <c r="M1092">
        <v>3031</v>
      </c>
      <c r="N1092">
        <v>3031</v>
      </c>
      <c r="O1092" t="s">
        <v>2116</v>
      </c>
      <c r="P1092" t="s">
        <v>9</v>
      </c>
      <c r="Q1092" t="s">
        <v>2117</v>
      </c>
      <c r="R1092" t="e">
        <f>VLOOKUP(Q1092,#REF!,2,FALSE)</f>
        <v>#REF!</v>
      </c>
      <c r="S1092">
        <v>1004</v>
      </c>
      <c r="T1092" t="s">
        <v>2225</v>
      </c>
      <c r="U1092" t="s">
        <v>2143</v>
      </c>
      <c r="V1092" s="1">
        <v>45651</v>
      </c>
      <c r="W1092" s="1">
        <v>45476</v>
      </c>
      <c r="X1092" t="s">
        <v>2119</v>
      </c>
      <c r="Y1092" t="s">
        <v>2120</v>
      </c>
      <c r="Z1092" t="s">
        <v>6</v>
      </c>
      <c r="AA1092" t="s">
        <v>2120</v>
      </c>
      <c r="AB1092" s="4">
        <f t="shared" si="89"/>
        <v>202066.66666666669</v>
      </c>
      <c r="AC1092" s="6">
        <v>0.02</v>
      </c>
      <c r="AD1092" s="4">
        <f t="shared" si="88"/>
        <v>4041.3333333333339</v>
      </c>
      <c r="AE1092" s="4">
        <f t="shared" si="90"/>
        <v>1010.3333333333339</v>
      </c>
    </row>
    <row r="1093" spans="1:31" x14ac:dyDescent="0.25">
      <c r="A1093" t="s">
        <v>0</v>
      </c>
      <c r="B1093" s="3" t="s">
        <v>2219</v>
      </c>
      <c r="C1093" t="s">
        <v>2144</v>
      </c>
      <c r="D1093" t="s">
        <v>69</v>
      </c>
      <c r="E1093" t="s">
        <v>12</v>
      </c>
      <c r="F1093" s="1"/>
      <c r="G1093" s="1"/>
      <c r="H1093" t="s">
        <v>4</v>
      </c>
      <c r="I1093" t="s">
        <v>5</v>
      </c>
      <c r="J1093" t="s">
        <v>6</v>
      </c>
      <c r="K1093" t="s">
        <v>2128</v>
      </c>
      <c r="L1093">
        <v>3528</v>
      </c>
      <c r="M1093">
        <v>3528</v>
      </c>
      <c r="N1093">
        <v>3528</v>
      </c>
      <c r="O1093" t="s">
        <v>2128</v>
      </c>
      <c r="P1093" t="s">
        <v>9</v>
      </c>
      <c r="Q1093" t="s">
        <v>2117</v>
      </c>
      <c r="R1093" t="e">
        <f>VLOOKUP(Q1093,#REF!,2,FALSE)</f>
        <v>#REF!</v>
      </c>
      <c r="S1093">
        <v>1004</v>
      </c>
      <c r="T1093" t="s">
        <v>2225</v>
      </c>
      <c r="U1093" t="s">
        <v>2145</v>
      </c>
      <c r="V1093" s="1">
        <v>45651</v>
      </c>
      <c r="W1093" s="1">
        <v>45605</v>
      </c>
      <c r="X1093" t="s">
        <v>2119</v>
      </c>
      <c r="Y1093" t="s">
        <v>2120</v>
      </c>
      <c r="Z1093" t="s">
        <v>6</v>
      </c>
      <c r="AA1093" t="s">
        <v>2120</v>
      </c>
      <c r="AB1093" s="4">
        <f t="shared" si="89"/>
        <v>235200</v>
      </c>
      <c r="AC1093" s="6">
        <v>0.02</v>
      </c>
      <c r="AD1093" s="4">
        <f t="shared" si="88"/>
        <v>4704</v>
      </c>
      <c r="AE1093" s="4">
        <f t="shared" si="90"/>
        <v>1176</v>
      </c>
    </row>
    <row r="1094" spans="1:31" x14ac:dyDescent="0.25">
      <c r="A1094" t="s">
        <v>0</v>
      </c>
      <c r="B1094" s="3" t="s">
        <v>2219</v>
      </c>
      <c r="C1094" t="s">
        <v>2146</v>
      </c>
      <c r="D1094" t="s">
        <v>69</v>
      </c>
      <c r="E1094" t="s">
        <v>12</v>
      </c>
      <c r="F1094" s="1"/>
      <c r="G1094" s="1"/>
      <c r="H1094" t="s">
        <v>4</v>
      </c>
      <c r="I1094" t="s">
        <v>5</v>
      </c>
      <c r="J1094" t="s">
        <v>6</v>
      </c>
      <c r="K1094" t="s">
        <v>2128</v>
      </c>
      <c r="L1094">
        <v>3515</v>
      </c>
      <c r="M1094">
        <v>3515</v>
      </c>
      <c r="N1094">
        <v>3515</v>
      </c>
      <c r="O1094" t="s">
        <v>2128</v>
      </c>
      <c r="P1094" t="s">
        <v>9</v>
      </c>
      <c r="Q1094" t="s">
        <v>2117</v>
      </c>
      <c r="R1094" t="e">
        <f>VLOOKUP(Q1094,#REF!,2,FALSE)</f>
        <v>#REF!</v>
      </c>
      <c r="S1094">
        <v>1004</v>
      </c>
      <c r="T1094" t="s">
        <v>2225</v>
      </c>
      <c r="U1094" t="s">
        <v>2147</v>
      </c>
      <c r="V1094" s="1">
        <v>45651</v>
      </c>
      <c r="W1094" s="1">
        <v>45586</v>
      </c>
      <c r="X1094" t="s">
        <v>2119</v>
      </c>
      <c r="Y1094" t="s">
        <v>2120</v>
      </c>
      <c r="Z1094" t="s">
        <v>6</v>
      </c>
      <c r="AA1094" t="s">
        <v>2120</v>
      </c>
      <c r="AB1094" s="4">
        <f t="shared" si="89"/>
        <v>234333.33333333334</v>
      </c>
      <c r="AC1094" s="6">
        <v>0.02</v>
      </c>
      <c r="AD1094" s="4">
        <f t="shared" si="88"/>
        <v>4686.666666666667</v>
      </c>
      <c r="AE1094" s="4">
        <f t="shared" si="90"/>
        <v>1171.666666666667</v>
      </c>
    </row>
    <row r="1095" spans="1:31" x14ac:dyDescent="0.25">
      <c r="A1095" t="s">
        <v>0</v>
      </c>
      <c r="B1095" s="3" t="s">
        <v>2219</v>
      </c>
      <c r="C1095" t="s">
        <v>2148</v>
      </c>
      <c r="D1095" t="s">
        <v>69</v>
      </c>
      <c r="E1095" t="s">
        <v>12</v>
      </c>
      <c r="F1095" s="1"/>
      <c r="G1095" s="1"/>
      <c r="H1095" t="s">
        <v>4</v>
      </c>
      <c r="I1095" t="s">
        <v>5</v>
      </c>
      <c r="J1095" t="s">
        <v>6</v>
      </c>
      <c r="K1095" t="s">
        <v>2116</v>
      </c>
      <c r="L1095">
        <v>2336</v>
      </c>
      <c r="M1095">
        <v>2336</v>
      </c>
      <c r="N1095">
        <v>2336</v>
      </c>
      <c r="O1095" t="s">
        <v>2116</v>
      </c>
      <c r="P1095" t="s">
        <v>9</v>
      </c>
      <c r="Q1095" t="s">
        <v>2117</v>
      </c>
      <c r="R1095" t="e">
        <f>VLOOKUP(Q1095,#REF!,2,FALSE)</f>
        <v>#REF!</v>
      </c>
      <c r="S1095">
        <v>1004</v>
      </c>
      <c r="T1095" t="s">
        <v>2225</v>
      </c>
      <c r="U1095" t="s">
        <v>2149</v>
      </c>
      <c r="V1095" s="1">
        <v>45651</v>
      </c>
      <c r="W1095" s="1">
        <v>45602</v>
      </c>
      <c r="X1095" t="s">
        <v>2119</v>
      </c>
      <c r="Y1095" t="s">
        <v>2120</v>
      </c>
      <c r="Z1095" t="s">
        <v>6</v>
      </c>
      <c r="AA1095" t="s">
        <v>2120</v>
      </c>
      <c r="AB1095" s="4">
        <f t="shared" si="89"/>
        <v>155733.33333333334</v>
      </c>
      <c r="AC1095" s="6">
        <v>0.02</v>
      </c>
      <c r="AD1095" s="4">
        <f t="shared" si="88"/>
        <v>3114.666666666667</v>
      </c>
      <c r="AE1095" s="4">
        <f t="shared" si="90"/>
        <v>778.66666666666697</v>
      </c>
    </row>
    <row r="1096" spans="1:31" x14ac:dyDescent="0.25">
      <c r="A1096" t="s">
        <v>0</v>
      </c>
      <c r="B1096" s="3" t="s">
        <v>2219</v>
      </c>
      <c r="C1096" t="s">
        <v>2150</v>
      </c>
      <c r="D1096" t="s">
        <v>69</v>
      </c>
      <c r="E1096" t="s">
        <v>12</v>
      </c>
      <c r="F1096" s="1"/>
      <c r="G1096" s="1"/>
      <c r="H1096" t="s">
        <v>4</v>
      </c>
      <c r="I1096" t="s">
        <v>5</v>
      </c>
      <c r="J1096" t="s">
        <v>6</v>
      </c>
      <c r="K1096" t="s">
        <v>2128</v>
      </c>
      <c r="L1096">
        <v>3436</v>
      </c>
      <c r="M1096">
        <v>3436</v>
      </c>
      <c r="N1096">
        <v>3436</v>
      </c>
      <c r="O1096" t="s">
        <v>2128</v>
      </c>
      <c r="P1096" t="s">
        <v>9</v>
      </c>
      <c r="Q1096" t="s">
        <v>2117</v>
      </c>
      <c r="R1096" t="e">
        <f>VLOOKUP(Q1096,#REF!,2,FALSE)</f>
        <v>#REF!</v>
      </c>
      <c r="S1096">
        <v>1004</v>
      </c>
      <c r="T1096" t="s">
        <v>2225</v>
      </c>
      <c r="U1096" t="s">
        <v>2151</v>
      </c>
      <c r="V1096" s="1">
        <v>45651</v>
      </c>
      <c r="W1096" s="1">
        <v>45560</v>
      </c>
      <c r="X1096" t="s">
        <v>2119</v>
      </c>
      <c r="Y1096" t="s">
        <v>2120</v>
      </c>
      <c r="Z1096" t="s">
        <v>6</v>
      </c>
      <c r="AA1096" t="s">
        <v>2120</v>
      </c>
      <c r="AB1096" s="4">
        <f t="shared" si="89"/>
        <v>229066.66666666669</v>
      </c>
      <c r="AC1096" s="6">
        <v>0.02</v>
      </c>
      <c r="AD1096" s="4">
        <f t="shared" si="88"/>
        <v>4581.3333333333339</v>
      </c>
      <c r="AE1096" s="4">
        <f t="shared" si="90"/>
        <v>1145.3333333333339</v>
      </c>
    </row>
    <row r="1097" spans="1:31" x14ac:dyDescent="0.25">
      <c r="A1097" t="s">
        <v>0</v>
      </c>
      <c r="B1097" s="3" t="s">
        <v>2219</v>
      </c>
      <c r="C1097" t="s">
        <v>2152</v>
      </c>
      <c r="D1097" t="s">
        <v>69</v>
      </c>
      <c r="E1097" t="s">
        <v>12</v>
      </c>
      <c r="F1097" s="1"/>
      <c r="G1097" s="1"/>
      <c r="H1097" t="s">
        <v>4</v>
      </c>
      <c r="I1097" t="s">
        <v>5</v>
      </c>
      <c r="J1097" t="s">
        <v>6</v>
      </c>
      <c r="K1097" t="s">
        <v>2116</v>
      </c>
      <c r="L1097">
        <v>3523</v>
      </c>
      <c r="M1097">
        <v>3523</v>
      </c>
      <c r="N1097">
        <v>3523</v>
      </c>
      <c r="O1097" t="s">
        <v>2116</v>
      </c>
      <c r="P1097" t="s">
        <v>9</v>
      </c>
      <c r="Q1097" t="s">
        <v>2117</v>
      </c>
      <c r="R1097" t="e">
        <f>VLOOKUP(Q1097,#REF!,2,FALSE)</f>
        <v>#REF!</v>
      </c>
      <c r="S1097">
        <v>1004</v>
      </c>
      <c r="T1097" t="s">
        <v>2225</v>
      </c>
      <c r="U1097" t="s">
        <v>2153</v>
      </c>
      <c r="V1097" s="1">
        <v>45651</v>
      </c>
      <c r="W1097" s="1">
        <v>45535</v>
      </c>
      <c r="X1097" t="s">
        <v>2119</v>
      </c>
      <c r="Y1097" t="s">
        <v>2120</v>
      </c>
      <c r="Z1097" t="s">
        <v>6</v>
      </c>
      <c r="AA1097" t="s">
        <v>2120</v>
      </c>
      <c r="AB1097" s="4">
        <f t="shared" si="89"/>
        <v>234866.66666666669</v>
      </c>
      <c r="AC1097" s="6">
        <v>0.02</v>
      </c>
      <c r="AD1097" s="4">
        <f t="shared" si="88"/>
        <v>4697.3333333333339</v>
      </c>
      <c r="AE1097" s="4">
        <f t="shared" si="90"/>
        <v>1174.3333333333339</v>
      </c>
    </row>
    <row r="1098" spans="1:31" x14ac:dyDescent="0.25">
      <c r="A1098" t="s">
        <v>0</v>
      </c>
      <c r="B1098" s="3" t="s">
        <v>2219</v>
      </c>
      <c r="C1098" t="s">
        <v>2154</v>
      </c>
      <c r="D1098" t="s">
        <v>69</v>
      </c>
      <c r="E1098" t="s">
        <v>12</v>
      </c>
      <c r="F1098" s="1"/>
      <c r="G1098" s="1"/>
      <c r="H1098" t="s">
        <v>4</v>
      </c>
      <c r="I1098" t="s">
        <v>5</v>
      </c>
      <c r="J1098" t="s">
        <v>6</v>
      </c>
      <c r="K1098" t="s">
        <v>2116</v>
      </c>
      <c r="L1098">
        <v>3334</v>
      </c>
      <c r="M1098">
        <v>3334</v>
      </c>
      <c r="N1098">
        <v>3334</v>
      </c>
      <c r="O1098" t="s">
        <v>2116</v>
      </c>
      <c r="P1098" t="s">
        <v>9</v>
      </c>
      <c r="Q1098" t="s">
        <v>2117</v>
      </c>
      <c r="R1098" t="e">
        <f>VLOOKUP(Q1098,#REF!,2,FALSE)</f>
        <v>#REF!</v>
      </c>
      <c r="S1098">
        <v>1004</v>
      </c>
      <c r="T1098" t="s">
        <v>2225</v>
      </c>
      <c r="U1098" t="s">
        <v>2155</v>
      </c>
      <c r="V1098" s="1">
        <v>45651</v>
      </c>
      <c r="W1098" s="1">
        <v>45540</v>
      </c>
      <c r="X1098" t="s">
        <v>2119</v>
      </c>
      <c r="Y1098" t="s">
        <v>2120</v>
      </c>
      <c r="Z1098" t="s">
        <v>6</v>
      </c>
      <c r="AA1098" t="s">
        <v>2120</v>
      </c>
      <c r="AB1098" s="4">
        <f t="shared" si="89"/>
        <v>222266.66666666669</v>
      </c>
      <c r="AC1098" s="6">
        <v>0.02</v>
      </c>
      <c r="AD1098" s="4">
        <f t="shared" si="88"/>
        <v>4445.3333333333339</v>
      </c>
      <c r="AE1098" s="4">
        <f t="shared" si="90"/>
        <v>1111.3333333333339</v>
      </c>
    </row>
    <row r="1099" spans="1:31" x14ac:dyDescent="0.25">
      <c r="A1099" t="s">
        <v>0</v>
      </c>
      <c r="B1099" s="3" t="s">
        <v>2219</v>
      </c>
      <c r="C1099" t="s">
        <v>2156</v>
      </c>
      <c r="D1099" t="s">
        <v>69</v>
      </c>
      <c r="E1099" t="s">
        <v>12</v>
      </c>
      <c r="F1099" s="1"/>
      <c r="G1099" s="1"/>
      <c r="H1099" t="s">
        <v>4</v>
      </c>
      <c r="I1099" t="s">
        <v>5</v>
      </c>
      <c r="J1099" t="s">
        <v>6</v>
      </c>
      <c r="K1099" t="s">
        <v>2116</v>
      </c>
      <c r="L1099">
        <v>3233</v>
      </c>
      <c r="M1099">
        <v>3233</v>
      </c>
      <c r="N1099">
        <v>3233</v>
      </c>
      <c r="O1099" t="s">
        <v>2116</v>
      </c>
      <c r="P1099" t="s">
        <v>9</v>
      </c>
      <c r="Q1099" t="s">
        <v>2117</v>
      </c>
      <c r="R1099" t="e">
        <f>VLOOKUP(Q1099,#REF!,2,FALSE)</f>
        <v>#REF!</v>
      </c>
      <c r="S1099">
        <v>1004</v>
      </c>
      <c r="T1099" t="s">
        <v>2225</v>
      </c>
      <c r="U1099" t="s">
        <v>2157</v>
      </c>
      <c r="V1099" s="1">
        <v>45651</v>
      </c>
      <c r="W1099" s="1">
        <v>45500</v>
      </c>
      <c r="X1099" t="s">
        <v>2119</v>
      </c>
      <c r="Y1099" t="s">
        <v>2120</v>
      </c>
      <c r="Z1099" t="s">
        <v>6</v>
      </c>
      <c r="AA1099" t="s">
        <v>2120</v>
      </c>
      <c r="AB1099" s="4">
        <f t="shared" si="89"/>
        <v>215533.33333333334</v>
      </c>
      <c r="AC1099" s="6">
        <v>0.02</v>
      </c>
      <c r="AD1099" s="4">
        <f t="shared" si="88"/>
        <v>4310.666666666667</v>
      </c>
      <c r="AE1099" s="4">
        <f t="shared" si="90"/>
        <v>1077.666666666667</v>
      </c>
    </row>
    <row r="1100" spans="1:31" x14ac:dyDescent="0.25">
      <c r="A1100">
        <v>4000</v>
      </c>
      <c r="B1100" s="3" t="s">
        <v>2220</v>
      </c>
      <c r="C1100" t="s">
        <v>2158</v>
      </c>
      <c r="D1100" t="s">
        <v>160</v>
      </c>
      <c r="E1100" t="s">
        <v>188</v>
      </c>
      <c r="F1100" s="1">
        <v>45876</v>
      </c>
      <c r="G1100" s="1">
        <v>45890</v>
      </c>
      <c r="H1100" t="s">
        <v>2159</v>
      </c>
      <c r="I1100" t="s">
        <v>66</v>
      </c>
      <c r="J1100" t="s">
        <v>6</v>
      </c>
      <c r="K1100" t="s">
        <v>4</v>
      </c>
      <c r="L1100" t="s">
        <v>2160</v>
      </c>
      <c r="M1100" t="s">
        <v>2160</v>
      </c>
      <c r="N1100" s="2">
        <v>422</v>
      </c>
      <c r="O1100" t="s">
        <v>2161</v>
      </c>
      <c r="P1100" t="s">
        <v>9</v>
      </c>
      <c r="Q1100" t="s">
        <v>10</v>
      </c>
      <c r="R1100" t="e">
        <f>VLOOKUP(Q1100,#REF!,2,FALSE)</f>
        <v>#REF!</v>
      </c>
      <c r="S1100" t="e">
        <v>#N/A</v>
      </c>
      <c r="T1100" t="e">
        <v>#N/A</v>
      </c>
      <c r="U1100" t="s">
        <v>2162</v>
      </c>
      <c r="V1100" s="1">
        <v>45876</v>
      </c>
      <c r="W1100" s="1">
        <v>45876</v>
      </c>
      <c r="X1100" t="s">
        <v>2163</v>
      </c>
      <c r="Y1100" t="s">
        <v>2164</v>
      </c>
      <c r="Z1100" t="s">
        <v>6</v>
      </c>
      <c r="AA1100" t="s">
        <v>2164</v>
      </c>
      <c r="AB1100" s="4">
        <f>L1100/0.01</f>
        <v>42200</v>
      </c>
      <c r="AC1100" s="6">
        <v>0.02</v>
      </c>
      <c r="AD1100" s="4">
        <f t="shared" ref="AD1100:AD1103" si="91">AB1100*AC1100</f>
        <v>844</v>
      </c>
      <c r="AE1100" s="4">
        <f t="shared" si="90"/>
        <v>422</v>
      </c>
    </row>
    <row r="1101" spans="1:31" x14ac:dyDescent="0.25">
      <c r="A1101">
        <v>4000</v>
      </c>
      <c r="B1101" s="3" t="s">
        <v>2220</v>
      </c>
      <c r="C1101" t="s">
        <v>2158</v>
      </c>
      <c r="D1101" t="s">
        <v>160</v>
      </c>
      <c r="E1101" t="s">
        <v>12</v>
      </c>
      <c r="F1101" s="1">
        <v>45876</v>
      </c>
      <c r="G1101" s="1">
        <v>45890</v>
      </c>
      <c r="H1101" t="s">
        <v>2159</v>
      </c>
      <c r="I1101" t="s">
        <v>66</v>
      </c>
      <c r="J1101" t="s">
        <v>6</v>
      </c>
      <c r="K1101" t="s">
        <v>4</v>
      </c>
      <c r="L1101" t="s">
        <v>2165</v>
      </c>
      <c r="M1101" t="s">
        <v>2165</v>
      </c>
      <c r="N1101" s="2">
        <v>24519</v>
      </c>
      <c r="O1101" t="s">
        <v>2161</v>
      </c>
      <c r="P1101" t="s">
        <v>9</v>
      </c>
      <c r="Q1101" t="s">
        <v>10</v>
      </c>
      <c r="R1101" t="e">
        <f>VLOOKUP(Q1101,#REF!,2,FALSE)</f>
        <v>#REF!</v>
      </c>
      <c r="S1101">
        <v>1408</v>
      </c>
      <c r="T1101" t="s">
        <v>2223</v>
      </c>
      <c r="U1101" t="s">
        <v>2162</v>
      </c>
      <c r="V1101" s="1">
        <v>45876</v>
      </c>
      <c r="W1101" s="1">
        <v>45876</v>
      </c>
      <c r="X1101" t="s">
        <v>2163</v>
      </c>
      <c r="Y1101" t="s">
        <v>2164</v>
      </c>
      <c r="Z1101" t="s">
        <v>6</v>
      </c>
      <c r="AA1101" t="s">
        <v>2164</v>
      </c>
      <c r="AB1101" s="4">
        <f>L1101/0.01</f>
        <v>2451900</v>
      </c>
      <c r="AC1101" s="6">
        <v>0.02</v>
      </c>
      <c r="AD1101" s="4">
        <f t="shared" si="91"/>
        <v>49038</v>
      </c>
      <c r="AE1101" s="4">
        <f t="shared" si="90"/>
        <v>24519</v>
      </c>
    </row>
    <row r="1102" spans="1:31" x14ac:dyDescent="0.25">
      <c r="A1102">
        <v>4000</v>
      </c>
      <c r="B1102" s="3" t="s">
        <v>2220</v>
      </c>
      <c r="C1102" t="s">
        <v>2158</v>
      </c>
      <c r="D1102" t="s">
        <v>160</v>
      </c>
      <c r="E1102" t="s">
        <v>3</v>
      </c>
      <c r="F1102" s="1">
        <v>45876</v>
      </c>
      <c r="G1102" s="1">
        <v>45890</v>
      </c>
      <c r="H1102" t="s">
        <v>2159</v>
      </c>
      <c r="I1102" t="s">
        <v>66</v>
      </c>
      <c r="J1102" t="s">
        <v>6</v>
      </c>
      <c r="K1102" t="s">
        <v>4</v>
      </c>
      <c r="L1102" t="s">
        <v>2166</v>
      </c>
      <c r="M1102" t="s">
        <v>2166</v>
      </c>
      <c r="N1102" s="2">
        <v>53478</v>
      </c>
      <c r="O1102" t="s">
        <v>2161</v>
      </c>
      <c r="P1102" t="s">
        <v>9</v>
      </c>
      <c r="Q1102" t="s">
        <v>10</v>
      </c>
      <c r="R1102" t="e">
        <f>VLOOKUP(Q1102,#REF!,2,FALSE)</f>
        <v>#REF!</v>
      </c>
      <c r="S1102">
        <v>1902</v>
      </c>
      <c r="T1102" t="s">
        <v>2228</v>
      </c>
      <c r="U1102" t="s">
        <v>2162</v>
      </c>
      <c r="V1102" s="1">
        <v>45876</v>
      </c>
      <c r="W1102" s="1">
        <v>45876</v>
      </c>
      <c r="X1102" t="s">
        <v>2163</v>
      </c>
      <c r="Y1102" t="s">
        <v>2164</v>
      </c>
      <c r="Z1102" t="s">
        <v>6</v>
      </c>
      <c r="AA1102" t="s">
        <v>2164</v>
      </c>
      <c r="AB1102" s="4">
        <f>L1102/0.01</f>
        <v>5347800</v>
      </c>
      <c r="AC1102" s="6">
        <v>0.02</v>
      </c>
      <c r="AD1102" s="4">
        <f t="shared" si="91"/>
        <v>106956</v>
      </c>
      <c r="AE1102" s="4">
        <f t="shared" si="90"/>
        <v>53478</v>
      </c>
    </row>
    <row r="1103" spans="1:31" x14ac:dyDescent="0.25">
      <c r="A1103">
        <v>4000</v>
      </c>
      <c r="B1103" s="3" t="s">
        <v>2220</v>
      </c>
      <c r="C1103" t="s">
        <v>2158</v>
      </c>
      <c r="D1103" t="s">
        <v>160</v>
      </c>
      <c r="E1103" t="s">
        <v>22</v>
      </c>
      <c r="F1103" s="1">
        <v>45876</v>
      </c>
      <c r="G1103" s="1">
        <v>45890</v>
      </c>
      <c r="H1103" t="s">
        <v>2159</v>
      </c>
      <c r="I1103" t="s">
        <v>66</v>
      </c>
      <c r="J1103" t="s">
        <v>6</v>
      </c>
      <c r="K1103" t="s">
        <v>4</v>
      </c>
      <c r="L1103" t="s">
        <v>2167</v>
      </c>
      <c r="M1103" t="s">
        <v>2167</v>
      </c>
      <c r="N1103" s="2">
        <v>85421</v>
      </c>
      <c r="O1103" t="s">
        <v>2161</v>
      </c>
      <c r="P1103" t="s">
        <v>9</v>
      </c>
      <c r="Q1103" t="s">
        <v>10</v>
      </c>
      <c r="R1103" t="e">
        <f>VLOOKUP(Q1103,#REF!,2,FALSE)</f>
        <v>#REF!</v>
      </c>
      <c r="S1103">
        <v>1001</v>
      </c>
      <c r="T1103" t="s">
        <v>2227</v>
      </c>
      <c r="U1103" t="s">
        <v>2162</v>
      </c>
      <c r="V1103" s="1">
        <v>45876</v>
      </c>
      <c r="W1103" s="1">
        <v>45876</v>
      </c>
      <c r="X1103" t="s">
        <v>2163</v>
      </c>
      <c r="Y1103" t="s">
        <v>2164</v>
      </c>
      <c r="Z1103" t="s">
        <v>6</v>
      </c>
      <c r="AA1103" t="s">
        <v>2164</v>
      </c>
      <c r="AB1103" s="4">
        <f>L1103/0.01</f>
        <v>8542100</v>
      </c>
      <c r="AC1103" s="6">
        <v>0.02</v>
      </c>
      <c r="AD1103" s="4">
        <f t="shared" si="91"/>
        <v>170842</v>
      </c>
      <c r="AE1103" s="4">
        <f t="shared" si="90"/>
        <v>85421</v>
      </c>
    </row>
    <row r="1104" spans="1:31" x14ac:dyDescent="0.25">
      <c r="A1104">
        <v>3000</v>
      </c>
      <c r="B1104" s="3" t="s">
        <v>2221</v>
      </c>
      <c r="C1104" t="s">
        <v>2168</v>
      </c>
      <c r="D1104" t="s">
        <v>160</v>
      </c>
      <c r="E1104" t="s">
        <v>1179</v>
      </c>
      <c r="F1104" s="1">
        <v>46081</v>
      </c>
      <c r="G1104" s="1">
        <v>46082</v>
      </c>
      <c r="H1104" t="s">
        <v>2168</v>
      </c>
      <c r="I1104" t="s">
        <v>66</v>
      </c>
      <c r="J1104" t="s">
        <v>6</v>
      </c>
      <c r="K1104" t="s">
        <v>4</v>
      </c>
      <c r="L1104" t="s">
        <v>2169</v>
      </c>
      <c r="M1104" t="s">
        <v>2169</v>
      </c>
      <c r="N1104" s="2">
        <v>21604</v>
      </c>
      <c r="O1104" t="s">
        <v>2170</v>
      </c>
      <c r="P1104" t="s">
        <v>9</v>
      </c>
      <c r="Q1104" t="s">
        <v>75</v>
      </c>
      <c r="R1104" t="e">
        <f>VLOOKUP(Q1104,#REF!,2,FALSE)</f>
        <v>#REF!</v>
      </c>
      <c r="S1104">
        <v>1001</v>
      </c>
      <c r="T1104" t="s">
        <v>2227</v>
      </c>
      <c r="U1104" t="s">
        <v>2171</v>
      </c>
      <c r="V1104" s="1">
        <v>46081</v>
      </c>
      <c r="W1104" s="1">
        <v>46081</v>
      </c>
      <c r="X1104" t="s">
        <v>77</v>
      </c>
      <c r="Y1104" t="s">
        <v>263</v>
      </c>
      <c r="Z1104" t="s">
        <v>6</v>
      </c>
      <c r="AA1104" t="s">
        <v>263</v>
      </c>
      <c r="AB1104" s="4">
        <f>L1104/0.1</f>
        <v>216040</v>
      </c>
      <c r="AC1104" s="5" t="s">
        <v>2215</v>
      </c>
      <c r="AD1104" s="4">
        <f t="shared" ref="AD1104:AD1106" si="92">AB1104/12</f>
        <v>18003.333333333332</v>
      </c>
      <c r="AE1104" s="4">
        <f t="shared" si="90"/>
        <v>-3600.6666666666679</v>
      </c>
    </row>
    <row r="1105" spans="1:31" x14ac:dyDescent="0.25">
      <c r="A1105">
        <v>3000</v>
      </c>
      <c r="B1105" s="3" t="s">
        <v>2221</v>
      </c>
      <c r="C1105" t="s">
        <v>2168</v>
      </c>
      <c r="D1105" t="s">
        <v>160</v>
      </c>
      <c r="E1105" t="s">
        <v>1181</v>
      </c>
      <c r="F1105" s="1">
        <v>46081</v>
      </c>
      <c r="G1105" s="1">
        <v>46082</v>
      </c>
      <c r="H1105" t="s">
        <v>2168</v>
      </c>
      <c r="I1105" t="s">
        <v>66</v>
      </c>
      <c r="J1105" t="s">
        <v>6</v>
      </c>
      <c r="K1105" t="s">
        <v>4</v>
      </c>
      <c r="L1105" t="s">
        <v>2172</v>
      </c>
      <c r="M1105" t="s">
        <v>2172</v>
      </c>
      <c r="N1105" s="2">
        <v>51994</v>
      </c>
      <c r="O1105" t="s">
        <v>2170</v>
      </c>
      <c r="P1105" t="s">
        <v>9</v>
      </c>
      <c r="Q1105" t="s">
        <v>75</v>
      </c>
      <c r="R1105" t="e">
        <f>VLOOKUP(Q1105,#REF!,2,FALSE)</f>
        <v>#REF!</v>
      </c>
      <c r="S1105">
        <v>1001</v>
      </c>
      <c r="T1105" t="s">
        <v>2227</v>
      </c>
      <c r="U1105" t="s">
        <v>2171</v>
      </c>
      <c r="V1105" s="1">
        <v>46081</v>
      </c>
      <c r="W1105" s="1">
        <v>46081</v>
      </c>
      <c r="X1105" t="s">
        <v>77</v>
      </c>
      <c r="Y1105" t="s">
        <v>263</v>
      </c>
      <c r="Z1105" t="s">
        <v>6</v>
      </c>
      <c r="AA1105" t="s">
        <v>263</v>
      </c>
      <c r="AB1105" s="4">
        <f>L1105/0.1</f>
        <v>519940</v>
      </c>
      <c r="AC1105" s="5" t="s">
        <v>2215</v>
      </c>
      <c r="AD1105" s="4">
        <f t="shared" si="92"/>
        <v>43328.333333333336</v>
      </c>
      <c r="AE1105" s="4">
        <f t="shared" si="90"/>
        <v>-8665.6666666666642</v>
      </c>
    </row>
    <row r="1106" spans="1:31" x14ac:dyDescent="0.25">
      <c r="A1106">
        <v>3000</v>
      </c>
      <c r="B1106" s="3" t="s">
        <v>2221</v>
      </c>
      <c r="C1106" t="s">
        <v>2168</v>
      </c>
      <c r="D1106" t="s">
        <v>160</v>
      </c>
      <c r="E1106" t="s">
        <v>1183</v>
      </c>
      <c r="F1106" s="1">
        <v>46081</v>
      </c>
      <c r="G1106" s="1">
        <v>46082</v>
      </c>
      <c r="H1106" t="s">
        <v>2168</v>
      </c>
      <c r="I1106" t="s">
        <v>66</v>
      </c>
      <c r="J1106" t="s">
        <v>6</v>
      </c>
      <c r="K1106" t="s">
        <v>4</v>
      </c>
      <c r="L1106" t="s">
        <v>2173</v>
      </c>
      <c r="M1106" t="s">
        <v>2173</v>
      </c>
      <c r="N1106" s="2">
        <v>90750</v>
      </c>
      <c r="O1106" t="s">
        <v>2170</v>
      </c>
      <c r="P1106" t="s">
        <v>9</v>
      </c>
      <c r="Q1106" t="s">
        <v>75</v>
      </c>
      <c r="R1106" t="e">
        <f>VLOOKUP(Q1106,#REF!,2,FALSE)</f>
        <v>#REF!</v>
      </c>
      <c r="S1106">
        <v>1001</v>
      </c>
      <c r="T1106" t="s">
        <v>2227</v>
      </c>
      <c r="U1106" t="s">
        <v>2171</v>
      </c>
      <c r="V1106" s="1">
        <v>46081</v>
      </c>
      <c r="W1106" s="1">
        <v>46081</v>
      </c>
      <c r="X1106" t="s">
        <v>77</v>
      </c>
      <c r="Y1106" t="s">
        <v>263</v>
      </c>
      <c r="Z1106" t="s">
        <v>6</v>
      </c>
      <c r="AA1106" t="s">
        <v>263</v>
      </c>
      <c r="AB1106" s="4">
        <f>L1106/0.1</f>
        <v>907500</v>
      </c>
      <c r="AC1106" s="5" t="s">
        <v>2215</v>
      </c>
      <c r="AD1106" s="4">
        <f t="shared" si="92"/>
        <v>75625</v>
      </c>
      <c r="AE1106" s="4">
        <f t="shared" si="90"/>
        <v>-15125</v>
      </c>
    </row>
    <row r="1107" spans="1:31" x14ac:dyDescent="0.25">
      <c r="A1107">
        <v>3000</v>
      </c>
      <c r="B1107" s="3" t="s">
        <v>2221</v>
      </c>
      <c r="C1107" t="s">
        <v>2168</v>
      </c>
      <c r="D1107" t="s">
        <v>160</v>
      </c>
      <c r="E1107" t="s">
        <v>1201</v>
      </c>
      <c r="F1107" s="1">
        <v>46081</v>
      </c>
      <c r="G1107" s="1">
        <v>46082</v>
      </c>
      <c r="H1107" t="s">
        <v>2168</v>
      </c>
      <c r="I1107" t="s">
        <v>66</v>
      </c>
      <c r="J1107" t="s">
        <v>6</v>
      </c>
      <c r="K1107" t="s">
        <v>4</v>
      </c>
      <c r="L1107" t="s">
        <v>1119</v>
      </c>
      <c r="M1107" t="s">
        <v>1119</v>
      </c>
      <c r="N1107" s="2">
        <v>863</v>
      </c>
      <c r="O1107" t="s">
        <v>2170</v>
      </c>
      <c r="P1107" t="s">
        <v>9</v>
      </c>
      <c r="Q1107" t="s">
        <v>86</v>
      </c>
      <c r="R1107" t="e">
        <f>VLOOKUP(Q1107,#REF!,2,FALSE)</f>
        <v>#REF!</v>
      </c>
      <c r="S1107">
        <v>1001</v>
      </c>
      <c r="T1107" t="s">
        <v>2227</v>
      </c>
      <c r="U1107" t="s">
        <v>2171</v>
      </c>
      <c r="V1107" s="1">
        <v>46081</v>
      </c>
      <c r="W1107" s="1">
        <v>46081</v>
      </c>
      <c r="X1107" t="s">
        <v>77</v>
      </c>
      <c r="Y1107" t="s">
        <v>263</v>
      </c>
      <c r="Z1107" t="s">
        <v>6</v>
      </c>
      <c r="AA1107" t="s">
        <v>263</v>
      </c>
      <c r="AB1107" s="4">
        <f>L1107/0.03</f>
        <v>28766.666666666668</v>
      </c>
      <c r="AC1107" s="6">
        <v>0.04</v>
      </c>
      <c r="AD1107" s="4">
        <f t="shared" ref="AD1107:AD1109" si="93">AB1107*AC1107</f>
        <v>1150.6666666666667</v>
      </c>
      <c r="AE1107" s="4">
        <f t="shared" si="90"/>
        <v>287.66666666666674</v>
      </c>
    </row>
    <row r="1108" spans="1:31" x14ac:dyDescent="0.25">
      <c r="A1108">
        <v>3000</v>
      </c>
      <c r="B1108" s="3" t="s">
        <v>2221</v>
      </c>
      <c r="C1108" t="s">
        <v>2168</v>
      </c>
      <c r="D1108" t="s">
        <v>160</v>
      </c>
      <c r="E1108" t="s">
        <v>1203</v>
      </c>
      <c r="F1108" s="1">
        <v>46081</v>
      </c>
      <c r="G1108" s="1">
        <v>46082</v>
      </c>
      <c r="H1108" t="s">
        <v>2168</v>
      </c>
      <c r="I1108" t="s">
        <v>66</v>
      </c>
      <c r="J1108" t="s">
        <v>6</v>
      </c>
      <c r="K1108" t="s">
        <v>4</v>
      </c>
      <c r="L1108" t="s">
        <v>2174</v>
      </c>
      <c r="M1108" t="s">
        <v>2174</v>
      </c>
      <c r="N1108" s="2">
        <v>2080</v>
      </c>
      <c r="O1108" t="s">
        <v>2170</v>
      </c>
      <c r="P1108" t="s">
        <v>9</v>
      </c>
      <c r="Q1108" t="s">
        <v>86</v>
      </c>
      <c r="R1108" t="e">
        <f>VLOOKUP(Q1108,#REF!,2,FALSE)</f>
        <v>#REF!</v>
      </c>
      <c r="S1108">
        <v>1001</v>
      </c>
      <c r="T1108" t="s">
        <v>2227</v>
      </c>
      <c r="U1108" t="s">
        <v>2171</v>
      </c>
      <c r="V1108" s="1">
        <v>46081</v>
      </c>
      <c r="W1108" s="1">
        <v>46081</v>
      </c>
      <c r="X1108" t="s">
        <v>77</v>
      </c>
      <c r="Y1108" t="s">
        <v>263</v>
      </c>
      <c r="Z1108" t="s">
        <v>6</v>
      </c>
      <c r="AA1108" t="s">
        <v>263</v>
      </c>
      <c r="AB1108" s="4">
        <f>L1108/0.03</f>
        <v>69333.333333333343</v>
      </c>
      <c r="AC1108" s="6">
        <v>0.04</v>
      </c>
      <c r="AD1108" s="4">
        <f t="shared" si="93"/>
        <v>2773.3333333333339</v>
      </c>
      <c r="AE1108" s="4">
        <f t="shared" si="90"/>
        <v>693.33333333333394</v>
      </c>
    </row>
    <row r="1109" spans="1:31" x14ac:dyDescent="0.25">
      <c r="A1109">
        <v>3000</v>
      </c>
      <c r="B1109" s="3" t="s">
        <v>2221</v>
      </c>
      <c r="C1109" t="s">
        <v>2168</v>
      </c>
      <c r="D1109" t="s">
        <v>160</v>
      </c>
      <c r="E1109" t="s">
        <v>1205</v>
      </c>
      <c r="F1109" s="1">
        <v>46081</v>
      </c>
      <c r="G1109" s="1">
        <v>46082</v>
      </c>
      <c r="H1109" t="s">
        <v>2168</v>
      </c>
      <c r="I1109" t="s">
        <v>66</v>
      </c>
      <c r="J1109" t="s">
        <v>6</v>
      </c>
      <c r="K1109" t="s">
        <v>4</v>
      </c>
      <c r="L1109" t="s">
        <v>2175</v>
      </c>
      <c r="M1109" t="s">
        <v>2175</v>
      </c>
      <c r="N1109" s="2">
        <v>3630</v>
      </c>
      <c r="O1109" t="s">
        <v>2170</v>
      </c>
      <c r="P1109" t="s">
        <v>9</v>
      </c>
      <c r="Q1109" t="s">
        <v>86</v>
      </c>
      <c r="R1109" t="e">
        <f>VLOOKUP(Q1109,#REF!,2,FALSE)</f>
        <v>#REF!</v>
      </c>
      <c r="S1109">
        <v>1001</v>
      </c>
      <c r="T1109" t="s">
        <v>2227</v>
      </c>
      <c r="U1109" t="s">
        <v>2171</v>
      </c>
      <c r="V1109" s="1">
        <v>46081</v>
      </c>
      <c r="W1109" s="1">
        <v>46081</v>
      </c>
      <c r="X1109" t="s">
        <v>77</v>
      </c>
      <c r="Y1109" t="s">
        <v>263</v>
      </c>
      <c r="Z1109" t="s">
        <v>6</v>
      </c>
      <c r="AA1109" t="s">
        <v>263</v>
      </c>
      <c r="AB1109" s="4">
        <f>L1109/0.03</f>
        <v>121000</v>
      </c>
      <c r="AC1109" s="6">
        <v>0.04</v>
      </c>
      <c r="AD1109" s="4">
        <f t="shared" si="93"/>
        <v>4840</v>
      </c>
      <c r="AE1109" s="4">
        <f t="shared" si="90"/>
        <v>1210</v>
      </c>
    </row>
    <row r="1110" spans="1:31" x14ac:dyDescent="0.25">
      <c r="A1110">
        <v>3000</v>
      </c>
      <c r="B1110" s="3" t="s">
        <v>2221</v>
      </c>
      <c r="C1110" t="s">
        <v>2176</v>
      </c>
      <c r="D1110" t="s">
        <v>160</v>
      </c>
      <c r="E1110" t="s">
        <v>1500</v>
      </c>
      <c r="F1110" s="1">
        <v>46081</v>
      </c>
      <c r="G1110" s="1">
        <v>46082</v>
      </c>
      <c r="H1110" t="s">
        <v>2176</v>
      </c>
      <c r="I1110" t="s">
        <v>66</v>
      </c>
      <c r="J1110" t="s">
        <v>6</v>
      </c>
      <c r="K1110" t="s">
        <v>4</v>
      </c>
      <c r="L1110" t="s">
        <v>2177</v>
      </c>
      <c r="M1110" t="s">
        <v>2177</v>
      </c>
      <c r="N1110" s="2">
        <v>148494</v>
      </c>
      <c r="O1110" t="s">
        <v>2178</v>
      </c>
      <c r="P1110" t="s">
        <v>9</v>
      </c>
      <c r="Q1110" t="s">
        <v>75</v>
      </c>
      <c r="R1110" t="e">
        <f>VLOOKUP(Q1110,#REF!,2,FALSE)</f>
        <v>#REF!</v>
      </c>
      <c r="S1110">
        <v>1001</v>
      </c>
      <c r="T1110" t="s">
        <v>2227</v>
      </c>
      <c r="U1110" t="s">
        <v>2179</v>
      </c>
      <c r="V1110" s="1">
        <v>46081</v>
      </c>
      <c r="W1110" s="1">
        <v>46081</v>
      </c>
      <c r="X1110" t="s">
        <v>77</v>
      </c>
      <c r="Y1110" t="s">
        <v>78</v>
      </c>
      <c r="Z1110" t="s">
        <v>6</v>
      </c>
      <c r="AA1110" t="s">
        <v>78</v>
      </c>
      <c r="AB1110" s="4">
        <f>L1110/0.1</f>
        <v>1484940</v>
      </c>
      <c r="AC1110" s="5" t="s">
        <v>2215</v>
      </c>
      <c r="AD1110" s="4">
        <f t="shared" ref="AD1110:AD1112" si="94">AB1110/12</f>
        <v>123745</v>
      </c>
      <c r="AE1110" s="4">
        <f t="shared" si="90"/>
        <v>-24749</v>
      </c>
    </row>
    <row r="1111" spans="1:31" x14ac:dyDescent="0.25">
      <c r="A1111">
        <v>3000</v>
      </c>
      <c r="B1111" s="3" t="s">
        <v>2221</v>
      </c>
      <c r="C1111" t="s">
        <v>2176</v>
      </c>
      <c r="D1111" t="s">
        <v>160</v>
      </c>
      <c r="E1111" t="s">
        <v>1502</v>
      </c>
      <c r="F1111" s="1">
        <v>46081</v>
      </c>
      <c r="G1111" s="1">
        <v>46082</v>
      </c>
      <c r="H1111" t="s">
        <v>2176</v>
      </c>
      <c r="I1111" t="s">
        <v>66</v>
      </c>
      <c r="J1111" t="s">
        <v>6</v>
      </c>
      <c r="K1111" t="s">
        <v>4</v>
      </c>
      <c r="L1111" t="s">
        <v>2180</v>
      </c>
      <c r="M1111" t="s">
        <v>2180</v>
      </c>
      <c r="N1111" s="2">
        <v>8999</v>
      </c>
      <c r="O1111" t="s">
        <v>2178</v>
      </c>
      <c r="P1111" t="s">
        <v>9</v>
      </c>
      <c r="Q1111" t="s">
        <v>75</v>
      </c>
      <c r="R1111" t="e">
        <f>VLOOKUP(Q1111,#REF!,2,FALSE)</f>
        <v>#REF!</v>
      </c>
      <c r="S1111">
        <v>1001</v>
      </c>
      <c r="T1111" t="s">
        <v>2227</v>
      </c>
      <c r="U1111" t="s">
        <v>2179</v>
      </c>
      <c r="V1111" s="1">
        <v>46081</v>
      </c>
      <c r="W1111" s="1">
        <v>46081</v>
      </c>
      <c r="X1111" t="s">
        <v>77</v>
      </c>
      <c r="Y1111" t="s">
        <v>78</v>
      </c>
      <c r="Z1111" t="s">
        <v>6</v>
      </c>
      <c r="AA1111" t="s">
        <v>78</v>
      </c>
      <c r="AB1111" s="4">
        <f>L1111/0.1</f>
        <v>89990</v>
      </c>
      <c r="AC1111" s="5" t="s">
        <v>2215</v>
      </c>
      <c r="AD1111" s="4">
        <f t="shared" si="94"/>
        <v>7499.166666666667</v>
      </c>
      <c r="AE1111" s="4">
        <f t="shared" si="90"/>
        <v>-1499.833333333333</v>
      </c>
    </row>
    <row r="1112" spans="1:31" x14ac:dyDescent="0.25">
      <c r="A1112">
        <v>3000</v>
      </c>
      <c r="B1112" s="3" t="s">
        <v>2221</v>
      </c>
      <c r="C1112" t="s">
        <v>2176</v>
      </c>
      <c r="D1112" t="s">
        <v>160</v>
      </c>
      <c r="E1112" t="s">
        <v>1504</v>
      </c>
      <c r="F1112" s="1">
        <v>46081</v>
      </c>
      <c r="G1112" s="1">
        <v>46082</v>
      </c>
      <c r="H1112" t="s">
        <v>2176</v>
      </c>
      <c r="I1112" t="s">
        <v>66</v>
      </c>
      <c r="J1112" t="s">
        <v>6</v>
      </c>
      <c r="K1112" t="s">
        <v>4</v>
      </c>
      <c r="L1112" t="s">
        <v>2181</v>
      </c>
      <c r="M1112" t="s">
        <v>2181</v>
      </c>
      <c r="N1112" s="2">
        <v>8801</v>
      </c>
      <c r="O1112" t="s">
        <v>2178</v>
      </c>
      <c r="P1112" t="s">
        <v>9</v>
      </c>
      <c r="Q1112" t="s">
        <v>75</v>
      </c>
      <c r="R1112" t="e">
        <f>VLOOKUP(Q1112,#REF!,2,FALSE)</f>
        <v>#REF!</v>
      </c>
      <c r="S1112">
        <v>1001</v>
      </c>
      <c r="T1112" t="s">
        <v>2227</v>
      </c>
      <c r="U1112" t="s">
        <v>2179</v>
      </c>
      <c r="V1112" s="1">
        <v>46081</v>
      </c>
      <c r="W1112" s="1">
        <v>46081</v>
      </c>
      <c r="X1112" t="s">
        <v>77</v>
      </c>
      <c r="Y1112" t="s">
        <v>78</v>
      </c>
      <c r="Z1112" t="s">
        <v>6</v>
      </c>
      <c r="AA1112" t="s">
        <v>78</v>
      </c>
      <c r="AB1112" s="4">
        <f>L1112/0.1</f>
        <v>88010</v>
      </c>
      <c r="AC1112" s="5" t="s">
        <v>2215</v>
      </c>
      <c r="AD1112" s="4">
        <f t="shared" si="94"/>
        <v>7334.166666666667</v>
      </c>
      <c r="AE1112" s="4">
        <f t="shared" si="90"/>
        <v>-1466.833333333333</v>
      </c>
    </row>
    <row r="1113" spans="1:31" x14ac:dyDescent="0.25">
      <c r="A1113">
        <v>3000</v>
      </c>
      <c r="B1113" s="3" t="s">
        <v>2221</v>
      </c>
      <c r="C1113" t="s">
        <v>2176</v>
      </c>
      <c r="D1113" t="s">
        <v>160</v>
      </c>
      <c r="E1113" t="s">
        <v>1506</v>
      </c>
      <c r="F1113" s="1">
        <v>46081</v>
      </c>
      <c r="G1113" s="1">
        <v>46082</v>
      </c>
      <c r="H1113" t="s">
        <v>2176</v>
      </c>
      <c r="I1113" t="s">
        <v>66</v>
      </c>
      <c r="J1113" t="s">
        <v>6</v>
      </c>
      <c r="K1113" t="s">
        <v>4</v>
      </c>
      <c r="L1113" t="s">
        <v>2182</v>
      </c>
      <c r="M1113" t="s">
        <v>2182</v>
      </c>
      <c r="N1113" s="2">
        <v>13349</v>
      </c>
      <c r="O1113" t="s">
        <v>2178</v>
      </c>
      <c r="P1113" t="s">
        <v>9</v>
      </c>
      <c r="Q1113" t="s">
        <v>82</v>
      </c>
      <c r="R1113" t="e">
        <f>VLOOKUP(Q1113,#REF!,2,FALSE)</f>
        <v>#REF!</v>
      </c>
      <c r="S1113">
        <v>1001</v>
      </c>
      <c r="T1113" t="s">
        <v>2227</v>
      </c>
      <c r="U1113" t="s">
        <v>2179</v>
      </c>
      <c r="V1113" s="1">
        <v>46081</v>
      </c>
      <c r="W1113" s="1">
        <v>46081</v>
      </c>
      <c r="X1113" t="s">
        <v>77</v>
      </c>
      <c r="Y1113" t="s">
        <v>78</v>
      </c>
      <c r="Z1113" t="s">
        <v>6</v>
      </c>
      <c r="AA1113" t="s">
        <v>78</v>
      </c>
      <c r="AB1113" s="4">
        <f>L1113/0.08</f>
        <v>166862.5</v>
      </c>
      <c r="AC1113" s="6">
        <v>0.1</v>
      </c>
      <c r="AD1113" s="4">
        <f>AB1113*AC1113</f>
        <v>16686.25</v>
      </c>
      <c r="AE1113" s="4">
        <f t="shared" si="90"/>
        <v>3337.25</v>
      </c>
    </row>
    <row r="1114" spans="1:31" x14ac:dyDescent="0.25">
      <c r="A1114">
        <v>3000</v>
      </c>
      <c r="B1114" s="3" t="s">
        <v>2221</v>
      </c>
      <c r="C1114" t="s">
        <v>2176</v>
      </c>
      <c r="D1114" t="s">
        <v>160</v>
      </c>
      <c r="E1114" t="s">
        <v>1508</v>
      </c>
      <c r="F1114" s="1">
        <v>46081</v>
      </c>
      <c r="G1114" s="1">
        <v>46082</v>
      </c>
      <c r="H1114" t="s">
        <v>2176</v>
      </c>
      <c r="I1114" t="s">
        <v>66</v>
      </c>
      <c r="J1114" t="s">
        <v>6</v>
      </c>
      <c r="K1114" t="s">
        <v>4</v>
      </c>
      <c r="L1114" t="s">
        <v>2183</v>
      </c>
      <c r="M1114" t="s">
        <v>2183</v>
      </c>
      <c r="N1114" s="2">
        <v>6473</v>
      </c>
      <c r="O1114" t="s">
        <v>2178</v>
      </c>
      <c r="P1114" t="s">
        <v>9</v>
      </c>
      <c r="Q1114" t="s">
        <v>86</v>
      </c>
      <c r="R1114" t="e">
        <f>VLOOKUP(Q1114,#REF!,2,FALSE)</f>
        <v>#REF!</v>
      </c>
      <c r="S1114">
        <v>1001</v>
      </c>
      <c r="T1114" t="s">
        <v>2227</v>
      </c>
      <c r="U1114" t="s">
        <v>2179</v>
      </c>
      <c r="V1114" s="1">
        <v>46081</v>
      </c>
      <c r="W1114" s="1">
        <v>46081</v>
      </c>
      <c r="X1114" t="s">
        <v>77</v>
      </c>
      <c r="Y1114" t="s">
        <v>78</v>
      </c>
      <c r="Z1114" t="s">
        <v>6</v>
      </c>
      <c r="AA1114" t="s">
        <v>78</v>
      </c>
      <c r="AB1114" s="4">
        <f>L1114/0.03</f>
        <v>215766.66666666669</v>
      </c>
      <c r="AC1114" s="6">
        <v>0.04</v>
      </c>
      <c r="AD1114" s="4">
        <f t="shared" ref="AD1114:AD1116" si="95">AB1114*AC1114</f>
        <v>8630.6666666666679</v>
      </c>
      <c r="AE1114" s="4">
        <f t="shared" si="90"/>
        <v>2157.6666666666679</v>
      </c>
    </row>
    <row r="1115" spans="1:31" x14ac:dyDescent="0.25">
      <c r="A1115">
        <v>3000</v>
      </c>
      <c r="B1115" s="3" t="s">
        <v>2221</v>
      </c>
      <c r="C1115" t="s">
        <v>2176</v>
      </c>
      <c r="D1115" t="s">
        <v>160</v>
      </c>
      <c r="E1115" t="s">
        <v>1510</v>
      </c>
      <c r="F1115" s="1">
        <v>46081</v>
      </c>
      <c r="G1115" s="1">
        <v>46082</v>
      </c>
      <c r="H1115" t="s">
        <v>2176</v>
      </c>
      <c r="I1115" t="s">
        <v>66</v>
      </c>
      <c r="J1115" t="s">
        <v>6</v>
      </c>
      <c r="K1115" t="s">
        <v>4</v>
      </c>
      <c r="L1115" t="s">
        <v>2184</v>
      </c>
      <c r="M1115" t="s">
        <v>2184</v>
      </c>
      <c r="N1115" s="2">
        <v>360</v>
      </c>
      <c r="O1115" t="s">
        <v>2178</v>
      </c>
      <c r="P1115" t="s">
        <v>9</v>
      </c>
      <c r="Q1115" t="s">
        <v>86</v>
      </c>
      <c r="R1115" t="e">
        <f>VLOOKUP(Q1115,#REF!,2,FALSE)</f>
        <v>#REF!</v>
      </c>
      <c r="S1115">
        <v>1001</v>
      </c>
      <c r="T1115" t="s">
        <v>2227</v>
      </c>
      <c r="U1115" t="s">
        <v>2179</v>
      </c>
      <c r="V1115" s="1">
        <v>46081</v>
      </c>
      <c r="W1115" s="1">
        <v>46081</v>
      </c>
      <c r="X1115" t="s">
        <v>77</v>
      </c>
      <c r="Y1115" t="s">
        <v>78</v>
      </c>
      <c r="Z1115" t="s">
        <v>6</v>
      </c>
      <c r="AA1115" t="s">
        <v>78</v>
      </c>
      <c r="AB1115" s="4">
        <f>L1115/0.03</f>
        <v>12000</v>
      </c>
      <c r="AC1115" s="6">
        <v>0.04</v>
      </c>
      <c r="AD1115" s="4">
        <f t="shared" si="95"/>
        <v>480</v>
      </c>
      <c r="AE1115" s="4">
        <f t="shared" si="90"/>
        <v>120</v>
      </c>
    </row>
    <row r="1116" spans="1:31" x14ac:dyDescent="0.25">
      <c r="A1116">
        <v>3000</v>
      </c>
      <c r="B1116" s="3" t="s">
        <v>2221</v>
      </c>
      <c r="C1116" t="s">
        <v>2176</v>
      </c>
      <c r="D1116" t="s">
        <v>160</v>
      </c>
      <c r="E1116" t="s">
        <v>1512</v>
      </c>
      <c r="F1116" s="1">
        <v>46081</v>
      </c>
      <c r="G1116" s="1">
        <v>46082</v>
      </c>
      <c r="H1116" t="s">
        <v>2176</v>
      </c>
      <c r="I1116" t="s">
        <v>66</v>
      </c>
      <c r="J1116" t="s">
        <v>6</v>
      </c>
      <c r="K1116" t="s">
        <v>4</v>
      </c>
      <c r="L1116" t="s">
        <v>2185</v>
      </c>
      <c r="M1116" t="s">
        <v>2185</v>
      </c>
      <c r="N1116" s="2">
        <v>352</v>
      </c>
      <c r="O1116" t="s">
        <v>2178</v>
      </c>
      <c r="P1116" t="s">
        <v>9</v>
      </c>
      <c r="Q1116" t="s">
        <v>86</v>
      </c>
      <c r="R1116" t="e">
        <f>VLOOKUP(Q1116,#REF!,2,FALSE)</f>
        <v>#REF!</v>
      </c>
      <c r="S1116">
        <v>1001</v>
      </c>
      <c r="T1116" t="s">
        <v>2227</v>
      </c>
      <c r="U1116" t="s">
        <v>2179</v>
      </c>
      <c r="V1116" s="1">
        <v>46081</v>
      </c>
      <c r="W1116" s="1">
        <v>46081</v>
      </c>
      <c r="X1116" t="s">
        <v>77</v>
      </c>
      <c r="Y1116" t="s">
        <v>78</v>
      </c>
      <c r="Z1116" t="s">
        <v>6</v>
      </c>
      <c r="AA1116" t="s">
        <v>78</v>
      </c>
      <c r="AB1116" s="4">
        <f>L1116/0.03</f>
        <v>11733.333333333334</v>
      </c>
      <c r="AC1116" s="6">
        <v>0.04</v>
      </c>
      <c r="AD1116" s="4">
        <f t="shared" si="95"/>
        <v>469.33333333333337</v>
      </c>
      <c r="AE1116" s="4">
        <f t="shared" si="90"/>
        <v>117.33333333333337</v>
      </c>
    </row>
    <row r="1117" spans="1:31" x14ac:dyDescent="0.25">
      <c r="A1117">
        <v>3000</v>
      </c>
      <c r="B1117" s="3" t="s">
        <v>2221</v>
      </c>
      <c r="C1117" t="s">
        <v>2186</v>
      </c>
      <c r="D1117" t="s">
        <v>160</v>
      </c>
      <c r="E1117" t="s">
        <v>1408</v>
      </c>
      <c r="F1117" s="1">
        <v>46088</v>
      </c>
      <c r="G1117" s="1">
        <v>46094</v>
      </c>
      <c r="H1117" t="s">
        <v>2187</v>
      </c>
      <c r="I1117" t="s">
        <v>5</v>
      </c>
      <c r="J1117" t="s">
        <v>6</v>
      </c>
      <c r="K1117" t="s">
        <v>4</v>
      </c>
      <c r="L1117" t="s">
        <v>2169</v>
      </c>
      <c r="M1117" t="s">
        <v>2169</v>
      </c>
      <c r="N1117" s="2">
        <v>21604</v>
      </c>
      <c r="O1117" t="s">
        <v>2170</v>
      </c>
      <c r="P1117" t="s">
        <v>9</v>
      </c>
      <c r="Q1117" t="s">
        <v>75</v>
      </c>
      <c r="R1117" t="e">
        <f>VLOOKUP(Q1117,#REF!,2,FALSE)</f>
        <v>#REF!</v>
      </c>
      <c r="S1117">
        <v>1015</v>
      </c>
      <c r="T1117" t="s">
        <v>2226</v>
      </c>
      <c r="U1117" t="s">
        <v>2188</v>
      </c>
      <c r="V1117" s="1">
        <v>46081</v>
      </c>
      <c r="W1117" s="1">
        <v>46081</v>
      </c>
      <c r="X1117" t="s">
        <v>77</v>
      </c>
      <c r="Y1117" t="s">
        <v>263</v>
      </c>
      <c r="Z1117" t="s">
        <v>6</v>
      </c>
      <c r="AA1117" t="s">
        <v>263</v>
      </c>
      <c r="AB1117" s="4">
        <f>L1117/0.1</f>
        <v>216040</v>
      </c>
      <c r="AC1117" s="5" t="s">
        <v>2215</v>
      </c>
      <c r="AD1117" s="4">
        <f t="shared" ref="AD1117:AD1119" si="96">AB1117/12</f>
        <v>18003.333333333332</v>
      </c>
      <c r="AE1117" s="4">
        <f t="shared" si="90"/>
        <v>-3600.6666666666679</v>
      </c>
    </row>
    <row r="1118" spans="1:31" x14ac:dyDescent="0.25">
      <c r="A1118">
        <v>3000</v>
      </c>
      <c r="B1118" s="3" t="s">
        <v>2221</v>
      </c>
      <c r="C1118" t="s">
        <v>2186</v>
      </c>
      <c r="D1118" t="s">
        <v>160</v>
      </c>
      <c r="E1118" t="s">
        <v>1410</v>
      </c>
      <c r="F1118" s="1">
        <v>46088</v>
      </c>
      <c r="G1118" s="1">
        <v>46094</v>
      </c>
      <c r="H1118" t="s">
        <v>2187</v>
      </c>
      <c r="I1118" t="s">
        <v>5</v>
      </c>
      <c r="J1118" t="s">
        <v>6</v>
      </c>
      <c r="K1118" t="s">
        <v>4</v>
      </c>
      <c r="L1118" t="s">
        <v>2172</v>
      </c>
      <c r="M1118" t="s">
        <v>2172</v>
      </c>
      <c r="N1118" s="2">
        <v>51994</v>
      </c>
      <c r="O1118" t="s">
        <v>2170</v>
      </c>
      <c r="P1118" t="s">
        <v>9</v>
      </c>
      <c r="Q1118" t="s">
        <v>75</v>
      </c>
      <c r="R1118" t="e">
        <f>VLOOKUP(Q1118,#REF!,2,FALSE)</f>
        <v>#REF!</v>
      </c>
      <c r="S1118">
        <v>1015</v>
      </c>
      <c r="T1118" t="s">
        <v>2226</v>
      </c>
      <c r="U1118" t="s">
        <v>2188</v>
      </c>
      <c r="V1118" s="1">
        <v>46081</v>
      </c>
      <c r="W1118" s="1">
        <v>46081</v>
      </c>
      <c r="X1118" t="s">
        <v>77</v>
      </c>
      <c r="Y1118" t="s">
        <v>263</v>
      </c>
      <c r="Z1118" t="s">
        <v>6</v>
      </c>
      <c r="AA1118" t="s">
        <v>263</v>
      </c>
      <c r="AB1118" s="4">
        <f>L1118/0.1</f>
        <v>519940</v>
      </c>
      <c r="AC1118" s="5" t="s">
        <v>2215</v>
      </c>
      <c r="AD1118" s="4">
        <f t="shared" si="96"/>
        <v>43328.333333333336</v>
      </c>
      <c r="AE1118" s="4">
        <f t="shared" si="90"/>
        <v>-8665.6666666666642</v>
      </c>
    </row>
    <row r="1119" spans="1:31" x14ac:dyDescent="0.25">
      <c r="A1119">
        <v>3000</v>
      </c>
      <c r="B1119" s="3" t="s">
        <v>2221</v>
      </c>
      <c r="C1119" t="s">
        <v>2186</v>
      </c>
      <c r="D1119" t="s">
        <v>160</v>
      </c>
      <c r="E1119" t="s">
        <v>1412</v>
      </c>
      <c r="F1119" s="1">
        <v>46088</v>
      </c>
      <c r="G1119" s="1">
        <v>46094</v>
      </c>
      <c r="H1119" t="s">
        <v>2187</v>
      </c>
      <c r="I1119" t="s">
        <v>5</v>
      </c>
      <c r="J1119" t="s">
        <v>6</v>
      </c>
      <c r="K1119" t="s">
        <v>4</v>
      </c>
      <c r="L1119" t="s">
        <v>2173</v>
      </c>
      <c r="M1119" t="s">
        <v>2173</v>
      </c>
      <c r="N1119" s="2">
        <v>90750</v>
      </c>
      <c r="O1119" t="s">
        <v>2170</v>
      </c>
      <c r="P1119" t="s">
        <v>9</v>
      </c>
      <c r="Q1119" t="s">
        <v>75</v>
      </c>
      <c r="R1119" t="e">
        <f>VLOOKUP(Q1119,#REF!,2,FALSE)</f>
        <v>#REF!</v>
      </c>
      <c r="S1119">
        <v>1015</v>
      </c>
      <c r="T1119" t="s">
        <v>2226</v>
      </c>
      <c r="U1119" t="s">
        <v>2188</v>
      </c>
      <c r="V1119" s="1">
        <v>46081</v>
      </c>
      <c r="W1119" s="1">
        <v>46081</v>
      </c>
      <c r="X1119" t="s">
        <v>77</v>
      </c>
      <c r="Y1119" t="s">
        <v>263</v>
      </c>
      <c r="Z1119" t="s">
        <v>6</v>
      </c>
      <c r="AA1119" t="s">
        <v>263</v>
      </c>
      <c r="AB1119" s="4">
        <f>L1119/0.1</f>
        <v>907500</v>
      </c>
      <c r="AC1119" s="5" t="s">
        <v>2215</v>
      </c>
      <c r="AD1119" s="4">
        <f t="shared" si="96"/>
        <v>75625</v>
      </c>
      <c r="AE1119" s="4">
        <f t="shared" si="90"/>
        <v>-15125</v>
      </c>
    </row>
    <row r="1120" spans="1:31" x14ac:dyDescent="0.25">
      <c r="A1120">
        <v>3000</v>
      </c>
      <c r="B1120" s="3" t="s">
        <v>2221</v>
      </c>
      <c r="C1120" t="s">
        <v>2186</v>
      </c>
      <c r="D1120" t="s">
        <v>160</v>
      </c>
      <c r="E1120" t="s">
        <v>1414</v>
      </c>
      <c r="F1120" s="1">
        <v>46088</v>
      </c>
      <c r="G1120" s="1">
        <v>46094</v>
      </c>
      <c r="H1120" t="s">
        <v>2187</v>
      </c>
      <c r="I1120" t="s">
        <v>5</v>
      </c>
      <c r="J1120" t="s">
        <v>6</v>
      </c>
      <c r="K1120" t="s">
        <v>4</v>
      </c>
      <c r="L1120" t="s">
        <v>1119</v>
      </c>
      <c r="M1120" t="s">
        <v>1119</v>
      </c>
      <c r="N1120" s="2">
        <v>863</v>
      </c>
      <c r="O1120" t="s">
        <v>2170</v>
      </c>
      <c r="P1120" t="s">
        <v>9</v>
      </c>
      <c r="Q1120" t="s">
        <v>86</v>
      </c>
      <c r="R1120" t="e">
        <f>VLOOKUP(Q1120,#REF!,2,FALSE)</f>
        <v>#REF!</v>
      </c>
      <c r="S1120">
        <v>1015</v>
      </c>
      <c r="T1120" t="s">
        <v>2226</v>
      </c>
      <c r="U1120" t="s">
        <v>2188</v>
      </c>
      <c r="V1120" s="1">
        <v>46081</v>
      </c>
      <c r="W1120" s="1">
        <v>46081</v>
      </c>
      <c r="X1120" t="s">
        <v>77</v>
      </c>
      <c r="Y1120" t="s">
        <v>263</v>
      </c>
      <c r="Z1120" t="s">
        <v>6</v>
      </c>
      <c r="AA1120" t="s">
        <v>263</v>
      </c>
      <c r="AB1120" s="4">
        <f>L1120/0.03</f>
        <v>28766.666666666668</v>
      </c>
      <c r="AC1120" s="6">
        <v>0.04</v>
      </c>
      <c r="AD1120" s="4">
        <f t="shared" ref="AD1120:AD1122" si="97">AB1120*AC1120</f>
        <v>1150.6666666666667</v>
      </c>
      <c r="AE1120" s="4">
        <f t="shared" si="90"/>
        <v>287.66666666666674</v>
      </c>
    </row>
    <row r="1121" spans="1:31" x14ac:dyDescent="0.25">
      <c r="A1121">
        <v>3000</v>
      </c>
      <c r="B1121" s="3" t="s">
        <v>2221</v>
      </c>
      <c r="C1121" t="s">
        <v>2186</v>
      </c>
      <c r="D1121" t="s">
        <v>160</v>
      </c>
      <c r="E1121" t="s">
        <v>1416</v>
      </c>
      <c r="F1121" s="1">
        <v>46088</v>
      </c>
      <c r="G1121" s="1">
        <v>46094</v>
      </c>
      <c r="H1121" t="s">
        <v>2187</v>
      </c>
      <c r="I1121" t="s">
        <v>5</v>
      </c>
      <c r="J1121" t="s">
        <v>6</v>
      </c>
      <c r="K1121" t="s">
        <v>4</v>
      </c>
      <c r="L1121" t="s">
        <v>2174</v>
      </c>
      <c r="M1121" t="s">
        <v>2174</v>
      </c>
      <c r="N1121" s="2">
        <v>2080</v>
      </c>
      <c r="O1121" t="s">
        <v>2170</v>
      </c>
      <c r="P1121" t="s">
        <v>9</v>
      </c>
      <c r="Q1121" t="s">
        <v>86</v>
      </c>
      <c r="R1121" t="e">
        <f>VLOOKUP(Q1121,#REF!,2,FALSE)</f>
        <v>#REF!</v>
      </c>
      <c r="S1121">
        <v>1015</v>
      </c>
      <c r="T1121" t="s">
        <v>2226</v>
      </c>
      <c r="U1121" t="s">
        <v>2188</v>
      </c>
      <c r="V1121" s="1">
        <v>46081</v>
      </c>
      <c r="W1121" s="1">
        <v>46081</v>
      </c>
      <c r="X1121" t="s">
        <v>77</v>
      </c>
      <c r="Y1121" t="s">
        <v>263</v>
      </c>
      <c r="Z1121" t="s">
        <v>6</v>
      </c>
      <c r="AA1121" t="s">
        <v>263</v>
      </c>
      <c r="AB1121" s="4">
        <f>L1121/0.03</f>
        <v>69333.333333333343</v>
      </c>
      <c r="AC1121" s="6">
        <v>0.04</v>
      </c>
      <c r="AD1121" s="4">
        <f t="shared" si="97"/>
        <v>2773.3333333333339</v>
      </c>
      <c r="AE1121" s="4">
        <f t="shared" si="90"/>
        <v>693.33333333333394</v>
      </c>
    </row>
    <row r="1122" spans="1:31" x14ac:dyDescent="0.25">
      <c r="A1122">
        <v>3000</v>
      </c>
      <c r="B1122" s="3" t="s">
        <v>2221</v>
      </c>
      <c r="C1122" t="s">
        <v>2186</v>
      </c>
      <c r="D1122" t="s">
        <v>160</v>
      </c>
      <c r="E1122" t="s">
        <v>1418</v>
      </c>
      <c r="F1122" s="1">
        <v>46088</v>
      </c>
      <c r="G1122" s="1">
        <v>46094</v>
      </c>
      <c r="H1122" t="s">
        <v>2187</v>
      </c>
      <c r="I1122" t="s">
        <v>5</v>
      </c>
      <c r="J1122" t="s">
        <v>6</v>
      </c>
      <c r="K1122" t="s">
        <v>4</v>
      </c>
      <c r="L1122" t="s">
        <v>2175</v>
      </c>
      <c r="M1122" t="s">
        <v>2175</v>
      </c>
      <c r="N1122" s="2">
        <v>3630</v>
      </c>
      <c r="O1122" t="s">
        <v>2170</v>
      </c>
      <c r="P1122" t="s">
        <v>9</v>
      </c>
      <c r="Q1122" t="s">
        <v>86</v>
      </c>
      <c r="R1122" t="e">
        <f>VLOOKUP(Q1122,#REF!,2,FALSE)</f>
        <v>#REF!</v>
      </c>
      <c r="S1122">
        <v>1015</v>
      </c>
      <c r="T1122" t="s">
        <v>2226</v>
      </c>
      <c r="U1122" t="s">
        <v>2188</v>
      </c>
      <c r="V1122" s="1">
        <v>46081</v>
      </c>
      <c r="W1122" s="1">
        <v>46081</v>
      </c>
      <c r="X1122" t="s">
        <v>77</v>
      </c>
      <c r="Y1122" t="s">
        <v>263</v>
      </c>
      <c r="Z1122" t="s">
        <v>6</v>
      </c>
      <c r="AA1122" t="s">
        <v>263</v>
      </c>
      <c r="AB1122" s="4">
        <f>L1122/0.03</f>
        <v>121000</v>
      </c>
      <c r="AC1122" s="6">
        <v>0.04</v>
      </c>
      <c r="AD1122" s="4">
        <f t="shared" si="97"/>
        <v>4840</v>
      </c>
      <c r="AE1122" s="4">
        <f t="shared" si="90"/>
        <v>1210</v>
      </c>
    </row>
  </sheetData>
  <autoFilter ref="A1:AE112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Office</cp:lastModifiedBy>
  <cp:revision>1</cp:revision>
  <dcterms:created xsi:type="dcterms:W3CDTF">2026-06-16T08:36:35Z</dcterms:created>
  <dcterms:modified xsi:type="dcterms:W3CDTF">2026-06-18T06:15:04Z</dcterms:modified>
  <cp:category/>
</cp:coreProperties>
</file>